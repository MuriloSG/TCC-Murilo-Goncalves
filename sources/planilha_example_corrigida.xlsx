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ário - Graduação" sheetId="1" r:id="rId5"/>
    <sheet state="visible" name="Horário - Ensino Médio" sheetId="2" r:id="rId6"/>
    <sheet state="visible" name="Ensalamento - Geral" sheetId="3" r:id="rId7"/>
    <sheet state="visible" name="Horário - Professor - 1" sheetId="4" r:id="rId8"/>
    <sheet state="visible" name="Eng. Alimentos" sheetId="5" r:id="rId9"/>
    <sheet state="visible" name="Eng. Florestal" sheetId="6" r:id="rId10"/>
    <sheet state="visible" name="BSI" sheetId="7" r:id="rId11"/>
    <sheet state="visible" name="Med. Veterinária" sheetId="8" r:id="rId12"/>
    <sheet state="visible" name="Lic. Ciências Biológicas" sheetId="9" r:id="rId13"/>
    <sheet state="visible" name="Lic. em Física" sheetId="10" r:id="rId14"/>
    <sheet state="visible" name="Lic. em Matemática" sheetId="11" r:id="rId15"/>
    <sheet state="visible" name="Lic. em Química" sheetId="12" r:id="rId16"/>
    <sheet state="visible" name="Lic. em Pedagogia" sheetId="13" r:id="rId17"/>
    <sheet state="visible" name="Horário - Professor" sheetId="14" r:id="rId18"/>
    <sheet state="visible" name="Horário - Professor - Separado" sheetId="15" r:id="rId19"/>
    <sheet state="visible" name="Validação de Dados" sheetId="16" r:id="rId20"/>
  </sheets>
  <definedNames/>
  <calcPr/>
</workbook>
</file>

<file path=xl/sharedStrings.xml><?xml version="1.0" encoding="utf-8"?>
<sst xmlns="http://schemas.openxmlformats.org/spreadsheetml/2006/main" count="3380" uniqueCount="1010">
  <si>
    <t>E</t>
  </si>
  <si>
    <t>Jamerson Jardel</t>
  </si>
  <si>
    <t xml:space="preserve">AGROINDÚSTRIA </t>
  </si>
  <si>
    <t>(1/3)</t>
  </si>
  <si>
    <t>#</t>
  </si>
  <si>
    <t>AGROPECUÁRIA</t>
  </si>
  <si>
    <t xml:space="preserve">INFORMÁTICA </t>
  </si>
  <si>
    <t>QUÍMICA</t>
  </si>
  <si>
    <t>MEIO AMBIENTE</t>
  </si>
  <si>
    <t>BACHARELADO EM ENGENHARIA FLORESTAL</t>
  </si>
  <si>
    <t>BACHARELADO EM SISTEMAS DE INFORMAÇÃO</t>
  </si>
  <si>
    <t>TERÇA</t>
  </si>
  <si>
    <t>QUARTA</t>
  </si>
  <si>
    <t>QUINTA</t>
  </si>
  <si>
    <t>SEXTA</t>
  </si>
  <si>
    <t>BACHARELADO EM MEDICINA VETERINÁRIA</t>
  </si>
  <si>
    <t>LICENCIATURA EM CIÊNCIAS BIOLÓGICAS</t>
  </si>
  <si>
    <t>CH - Total</t>
  </si>
  <si>
    <t>LICENCIATURA EM FÍSICA</t>
  </si>
  <si>
    <t>LICENCIATURA EM MATEMÁTICA</t>
  </si>
  <si>
    <t>DIA</t>
  </si>
  <si>
    <t>LICENCIATURA EM QUÍMICA</t>
  </si>
  <si>
    <t>LICENCIATURA EM PEDAGOGIA</t>
  </si>
  <si>
    <t>HORÁRIO</t>
  </si>
  <si>
    <t>2º PERÍODO
Eng. Alimento</t>
  </si>
  <si>
    <t>3-16</t>
  </si>
  <si>
    <t>17-30</t>
  </si>
  <si>
    <t>4º PERÍODO
Eng. Alimentos</t>
  </si>
  <si>
    <t>31-44</t>
  </si>
  <si>
    <t>6º PERÍODO
Eng. Alimentos</t>
  </si>
  <si>
    <t>45-58</t>
  </si>
  <si>
    <t>59-72</t>
  </si>
  <si>
    <t>8º PERÍODO
Eng. Alimentos</t>
  </si>
  <si>
    <t xml:space="preserve">10º PERÍODO
Eng. Alimentos </t>
  </si>
  <si>
    <t>2º PERÍODO
Eng. Florestal</t>
  </si>
  <si>
    <t>3-22</t>
  </si>
  <si>
    <t>4º PERÍODO
Eng. Florestal</t>
  </si>
  <si>
    <t>23-42</t>
  </si>
  <si>
    <t>43-62</t>
  </si>
  <si>
    <t>6º PERÍODO
Eng. Florestal</t>
  </si>
  <si>
    <t>63-82</t>
  </si>
  <si>
    <t>83-102</t>
  </si>
  <si>
    <t>8º PERÍODO
Eng. Florestal</t>
  </si>
  <si>
    <t>10º PERÍODO
Eng. Florestal</t>
  </si>
  <si>
    <t>2º PERÍODO
Sist. de Informação</t>
  </si>
  <si>
    <t>4º PERÍODO
Sist. de Informação</t>
  </si>
  <si>
    <t>6º PERÍODO
Sist. de Informação</t>
  </si>
  <si>
    <t>8º PERÍODO
Sist. de Informação</t>
  </si>
  <si>
    <t>2º PERÍODO
Med. Veterinária</t>
  </si>
  <si>
    <t>4º PERÍODO
Med. Veterinária</t>
  </si>
  <si>
    <t>6º PERÍODO
Med. Veterinária</t>
  </si>
  <si>
    <t>8º PERÍODO
Med. Veterinária</t>
  </si>
  <si>
    <t>10º PERÍODO
Med. Veterinária</t>
  </si>
  <si>
    <t>2º PERÍODO
Lic. Biológicas</t>
  </si>
  <si>
    <t>4º PERÍODO
Lic. Biológicas</t>
  </si>
  <si>
    <t>SEG</t>
  </si>
  <si>
    <t>6º PERÍODO
Lic. Biológicas</t>
  </si>
  <si>
    <t>8º PERÍODO
Lic. Biológicas</t>
  </si>
  <si>
    <t>TER</t>
  </si>
  <si>
    <t>2º PERÍODO
Lic. Física</t>
  </si>
  <si>
    <t>QUA</t>
  </si>
  <si>
    <t>4º PERÍODO
Lic. Física</t>
  </si>
  <si>
    <t>QUI</t>
  </si>
  <si>
    <t>6º PERÍODO
Lic. Física</t>
  </si>
  <si>
    <t>SEX</t>
  </si>
  <si>
    <t>8º PERÍODO
Lic. Física</t>
  </si>
  <si>
    <t>2º PERÍODO
Lic. Matemática</t>
  </si>
  <si>
    <t>4º PERÍODO
Lic. Matemática</t>
  </si>
  <si>
    <t>6º PERÍODO
Lic. Matemática</t>
  </si>
  <si>
    <t>8º PERÍODO
Lic. Matemática</t>
  </si>
  <si>
    <t>2º PERÍODO
Lic. Química</t>
  </si>
  <si>
    <t>4º PERÍODO
Lic. Química</t>
  </si>
  <si>
    <t>6º PERÍODO
Lic. Química</t>
  </si>
  <si>
    <t>8º PERÍODO
Lic. Química</t>
  </si>
  <si>
    <t>2º PERÍODO
Lic. Pedagogia</t>
  </si>
  <si>
    <t>4º PERÍODO
Lic. Pedagogia</t>
  </si>
  <si>
    <t>6º PERÍODO
Lic. Pedagogia</t>
  </si>
  <si>
    <t>8º PERÍODO
Lic. Pedagogia</t>
  </si>
  <si>
    <t xml:space="preserve">SEGUNDA </t>
  </si>
  <si>
    <t>07:20 - 08:10</t>
  </si>
  <si>
    <t>1º ANO A
Agroindústria</t>
  </si>
  <si>
    <t>1º ANO B
Agroindústria</t>
  </si>
  <si>
    <t>2º ANO A
Agroindústria</t>
  </si>
  <si>
    <t>2º ANO B
Agroindústria</t>
  </si>
  <si>
    <t>3º ANO A
Agroindústria</t>
  </si>
  <si>
    <t>3º ANO B
Agroindústria</t>
  </si>
  <si>
    <t xml:space="preserve">Operações Unitárias III (Isis)  (Lab. Fenôm. de Transportes) </t>
  </si>
  <si>
    <t>Anatomia e Morfologia Vegetal (Jerffson Lucas) (3/7)</t>
  </si>
  <si>
    <t>Patologia Florestal (Giovanni) (3/8)</t>
  </si>
  <si>
    <t>Política e Legislação Florestal  (Jane Bruna) (3/9)</t>
  </si>
  <si>
    <t>Gestão Ambiental (optativa) (Élcio José) (3/10)</t>
  </si>
  <si>
    <t xml:space="preserve">Parasitologia Veterinária (Fernanda) (HV 2)
</t>
  </si>
  <si>
    <t>UCE 2 (Eduardo Garrido/ Thaís/ Antônio )(HV 3)</t>
  </si>
  <si>
    <t>Clínica Médica Grandes Animais II (Lídia) (HV 4)</t>
  </si>
  <si>
    <t>1º ANO A
Agropecuária</t>
  </si>
  <si>
    <t>1º ANO B
Agropecuária</t>
  </si>
  <si>
    <t>2º ANO A
Agropecuária</t>
  </si>
  <si>
    <t>2º ANO B
Agropecuária</t>
  </si>
  <si>
    <t>3º ANO A
Agropecuária</t>
  </si>
  <si>
    <t>3º ANO B
Agropecuária</t>
  </si>
  <si>
    <t>1º ANO A
Informática</t>
  </si>
  <si>
    <t>1º ANO B
Informática</t>
  </si>
  <si>
    <t>2º ANO A
Informática</t>
  </si>
  <si>
    <t>2º ANO B
Informática</t>
  </si>
  <si>
    <t>3º ANO A
Informática</t>
  </si>
  <si>
    <t>3º ANO B
Informática</t>
  </si>
  <si>
    <t>1º ANO   Química</t>
  </si>
  <si>
    <t>1º ANO - Meio Ambiente</t>
  </si>
  <si>
    <t xml:space="preserve">SEGUNDA-FEIRA </t>
  </si>
  <si>
    <t>08:10 - 09:00</t>
  </si>
  <si>
    <t>Química
 (Juliana Diniz) (Mini 1)</t>
  </si>
  <si>
    <t>INTERVALO</t>
  </si>
  <si>
    <t>Biologia
(Érica)(2/2)</t>
  </si>
  <si>
    <t>09:20 - 10:10</t>
  </si>
  <si>
    <t>CÁLCULO III (Viviane) (2/6)</t>
  </si>
  <si>
    <t>Laboratório II(Anál. sensorial e Anál. F.Q) (Alexandre)
(Sl. Análise Sensorial)</t>
  </si>
  <si>
    <t>Métodos e Técnicas de Estudo e Pesquisa (Jane Bruna) (3/7)</t>
  </si>
  <si>
    <t>Gênese e Morfologia do Solo (Élcio José) (3/8)</t>
  </si>
  <si>
    <t>Estrutura Anatômica e Composição da Madeira  (Wagner) (Lab. de Madeira)</t>
  </si>
  <si>
    <t>Melhoramento Florestal (Giovanni) (3/9)</t>
  </si>
  <si>
    <t>10:10 - 11:00</t>
  </si>
  <si>
    <t>11:00 - 11:50</t>
  </si>
  <si>
    <t>Ed. Física (Gera Jr.)</t>
  </si>
  <si>
    <t xml:space="preserve">   Tecnologia de Leite
(Ramon) (Agroin. 1)</t>
  </si>
  <si>
    <t>ALMOÇO</t>
  </si>
  <si>
    <t>Física
 (Rafael) (1/13)</t>
  </si>
  <si>
    <t>13:20 - 14:10</t>
  </si>
  <si>
    <t>QUÍMICA ORGÂNICA (Elza)  (1/13)</t>
  </si>
  <si>
    <t>UCE I (Edilson) (1/11)</t>
  </si>
  <si>
    <t>Planejamento e Projeto (Isis) (Sl. Fenômenos)</t>
  </si>
  <si>
    <t>Entomologia Básica (Tatianne) (3/8)</t>
  </si>
  <si>
    <t>Hidráulica e Irrigação Aplicada (Marcelo Rossi) (3/7)</t>
  </si>
  <si>
    <t>CÁLCULO DIFERENCIAL E INTEGRAL I (Frederico)  (3/10)</t>
  </si>
  <si>
    <t>Programação Orientada a Objetos I (Leonardo Humberto) (Lab. 1 - Info)</t>
  </si>
  <si>
    <t>Anatomia Vet. II (Walter)(HV 1)</t>
  </si>
  <si>
    <t>Nutrição Animal (Antônio)  ( HV 2)</t>
  </si>
  <si>
    <t>UCE 2 (Eduardo Garrido/ Thaís/ Antônio/ Lídia )(HV 3)</t>
  </si>
  <si>
    <t>Saúde Pública e Saneamento (Vanessa Paulino) (HV 4)</t>
  </si>
  <si>
    <t>14:10 - 15:00</t>
  </si>
  <si>
    <t>Nutrição Animal (Antônio) ( HV 2)</t>
  </si>
  <si>
    <t>Agricultura Geral e Olericultura
(Cani) (3/11)</t>
  </si>
  <si>
    <t>15:20 - 16:10</t>
  </si>
  <si>
    <t>História
 (Crhistophe) (2/3)</t>
  </si>
  <si>
    <t>Introdução à Geologia (Élcio José) (3/7)</t>
  </si>
  <si>
    <t>Viveiros Florestais (Giovanni) (3/9)</t>
  </si>
  <si>
    <t>Produtos Florestais (Wagner) (3/10)</t>
  </si>
  <si>
    <t>Arquitetura de Computadores (Zélia) (Lab. 2 - Info)</t>
  </si>
  <si>
    <t>Banco de Dados (Patrícia Lucas) (Lab. 4 - Info)</t>
  </si>
  <si>
    <t>Suinocultura (Fernando Matos) (Zoo II)</t>
  </si>
  <si>
    <t>Desemho Téc. e Topografia
 (Rodrigo Nogueira) (Sala de Topografia)</t>
  </si>
  <si>
    <t>Culturas Anuais e Forragicultura
(Leandro) (Agricult. II)</t>
  </si>
  <si>
    <t>Química
 (Magnovaldo) (1/14)</t>
  </si>
  <si>
    <t>Irrigação e Drenagem
(Marcelo Rossi) (1/15)</t>
  </si>
  <si>
    <t>Filosofia
 (Lucas Fernando) (2/4)</t>
  </si>
  <si>
    <t>16:10 - 17:00</t>
  </si>
  <si>
    <t>17:00 - 17:50</t>
  </si>
  <si>
    <t>Língua Espanhola 
(Luana) (2/5)</t>
  </si>
  <si>
    <t>ESTATÍSTICA BÁSICA (EAD) (Arilson) (1/10)</t>
  </si>
  <si>
    <t>Introdução à economia (Mário) (3/9)</t>
  </si>
  <si>
    <t>Sistemas Distribuídos (Zélia) (Lab. 4 - Info)</t>
  </si>
  <si>
    <t>ESTATÍSTICA BÁSICA (EAD) (Agnaldo)</t>
  </si>
  <si>
    <t>História da Educação I (Bergston) (2/1)</t>
  </si>
  <si>
    <t>Geografia
 (Márcia Martins) (1/10)</t>
  </si>
  <si>
    <t xml:space="preserve">UCE VII: Tecendo a FormAÇÃO: ação-reflexãoação (Laio) (2/4) </t>
  </si>
  <si>
    <t>18:10 - 19:00</t>
  </si>
  <si>
    <t>Estágio Curricular Supervisionado lV (Rosi) (1/8)</t>
  </si>
  <si>
    <t>MECÂNICA CLÁSSICA (Luciano) (1/11)</t>
  </si>
  <si>
    <t>Estágio Supervisionado IV (Lucas Diego)</t>
  </si>
  <si>
    <t xml:space="preserve">Estágio Supervisionado IV (Willian Andrade) (Lab. Química II) </t>
  </si>
  <si>
    <t>Sociologia
 (Márlio)  (1/11)</t>
  </si>
  <si>
    <t>História da Educação I (Bergston)(2/1)</t>
  </si>
  <si>
    <t>Matemática (Nilsa)(1/16)</t>
  </si>
  <si>
    <t>UCE VII: Tecendo a FormAÇÃO: ação-reflexãoação (Laio) (2/4)</t>
  </si>
  <si>
    <t>Biologia (Rosi) (1/17)</t>
  </si>
  <si>
    <t>19:00 - 19:50</t>
  </si>
  <si>
    <t>Geografia
(Tiago Caminha)(1/4)</t>
  </si>
  <si>
    <t>UCE II - Ferramentas Computacionais na Educação (Geycy) (Lab. 1 - Info)</t>
  </si>
  <si>
    <t>Optativa III - Métodos Ágeis (Zélia)   (Lab. 4 - Info)</t>
  </si>
  <si>
    <t xml:space="preserve"> Bioquímica (Cristiane)
 (1/6)</t>
  </si>
  <si>
    <t>Investigação Científica (Vanessa Santana) (1/7)</t>
  </si>
  <si>
    <t>Tópicos Especiais em Biologia lll (Rosi) (1/8)</t>
  </si>
  <si>
    <t>FÍSICA GERAL II (Rafael) (1/10)</t>
  </si>
  <si>
    <t>Tendências em Educação Matemática (Lucas Diego) (LEM)</t>
  </si>
  <si>
    <t>Química
 (Juliana Diniz) (2/1)</t>
  </si>
  <si>
    <t xml:space="preserve">   Tecnologia de Leite
(Ramon)(Agroin. 1)</t>
  </si>
  <si>
    <t>Funções de uma variável complexa (Viviane) (1/16)</t>
  </si>
  <si>
    <t>Físico-Química III (Magnovaldo) (1/9)</t>
  </si>
  <si>
    <t>Relações Étnico-Raciais na Educação Infantil e SIEF (Márlio) (2/1)</t>
  </si>
  <si>
    <t>Filosofia
 (Lucas Fernando) (2/5)</t>
  </si>
  <si>
    <t>Língua Espanhola
(Luana)(1/5)</t>
  </si>
  <si>
    <t>Fundamentos e Metodologia da Matemática na Educação Infantil  (Lilian)  (2/2)</t>
  </si>
  <si>
    <t>Educação do Campo (Patrícia Lima)  (2/3)</t>
  </si>
  <si>
    <t>Optativa II: Neurociência e Educação (Giuliana) (2/4)</t>
  </si>
  <si>
    <t>19:50 - 20:40</t>
  </si>
  <si>
    <t>Optativa III - Métodos Ágeis (Zélia)  (Lab. 4 - Info)</t>
  </si>
  <si>
    <t>Fundamentos  filosóficos da Educação (Emille) (1/5)</t>
  </si>
  <si>
    <t>Prática Pedagógica Xll: Processo de Ensino-Aprendizagem em Ciências e Biologia (Rosi) (1/8)</t>
  </si>
  <si>
    <t>Educação do Campo (Patrícia Lima) (2/3)</t>
  </si>
  <si>
    <t>21:00 - 21:50</t>
  </si>
  <si>
    <t>Optativa IV - Tópicos Especiais em Computação I (Geycy)  (Lab. 3 - Info)</t>
  </si>
  <si>
    <t>Diversidade dos Vegetais (Michellia) (1/6)</t>
  </si>
  <si>
    <t xml:space="preserve"> Ecologia de Populações (Tatianne) (1/7)</t>
  </si>
  <si>
    <t>FÍSICA GERAL III (Rodrigo Freitas)  (Lab. Física - Rec. Didáticos)</t>
  </si>
  <si>
    <t>EVOLUÇÃO DAS IDEIAS DA FÍSICA (Luciano) (1/12)</t>
  </si>
  <si>
    <t>Física Geral I (Diego Carvalho / Poliana) (1/14)</t>
  </si>
  <si>
    <t>UCE 04 - Projeto Formação de Professores de Matemática (Lucas Diego) (LEM)</t>
  </si>
  <si>
    <t>Estatística Básica (Arilson e Agnaldo) (1/16)</t>
  </si>
  <si>
    <t>Físico-Química I (Magnovaldo)  (1/12)</t>
  </si>
  <si>
    <t>Matemática Básica (Fabiano) (2/1)</t>
  </si>
  <si>
    <t>Estágio V - Estágio Curricular Supervisionado V: Docência nas SIEF (Giuliana) (2/3)</t>
  </si>
  <si>
    <t>21:50 - 22:40</t>
  </si>
  <si>
    <t>HIGIENE NA INDÚSTRIA DE ALIMENTOS (Bruna Porto)  (1/10)</t>
  </si>
  <si>
    <t>Fotogrametria e Fotointerpretação (Rodrigo Nogueira) (Sala de Topografia)</t>
  </si>
  <si>
    <t>Inventário Florestal (Vinícius) (3/8)</t>
  </si>
  <si>
    <t>Produção e Gestão do Conhecimento (Jerffson Lucas) (3/9)</t>
  </si>
  <si>
    <t>Fisiologia Animal I (Valéria) (HV 1)</t>
  </si>
  <si>
    <t>Patologia Clínica Veterinária (Eduardo Garrido) (HV 3)</t>
  </si>
  <si>
    <t>Clinica Médica de Pequenos Animais II (Thaís) (HV 4)</t>
  </si>
  <si>
    <t>MICROBIOLOGIA (Vanessa Santana) (1/11)</t>
  </si>
  <si>
    <t>HIGIENE NA INDÚSTRIA DE ALIMENTOS (Bruna Porto) (1/10)</t>
  </si>
  <si>
    <t>Patologia Florestal (Giovanni) (3/9)</t>
  </si>
  <si>
    <t>Colheita e Transporte Florestal (Alessandro) (3/10)</t>
  </si>
  <si>
    <t>Painéis de Madeira, Adesivos e
Adesão - Optativa (Wagner) (3/11)</t>
  </si>
  <si>
    <t>Diagnóstico por Imagem ( Leonardo Coelho) (HV 3)</t>
  </si>
  <si>
    <t>Matemática
 (Fabiano) (2/1)</t>
  </si>
  <si>
    <t>Física
(Rafael) (2/2)</t>
  </si>
  <si>
    <t>Geografia
 (Márcia Martins)(1/6)</t>
  </si>
  <si>
    <t>Sociologia (Márlio)(1/13)</t>
  </si>
  <si>
    <t>Filosofia 
(Lucas Fernando) (2/3)</t>
  </si>
  <si>
    <t>Irrigação e Drenagem 
(Marcelo Rossi)  (1/14)</t>
  </si>
  <si>
    <t>Química
 (Magnovaldo) (1/15)</t>
  </si>
  <si>
    <t>Língua Espanhola 
(Luana) (2/4)</t>
  </si>
  <si>
    <t>Biologia
(Érica)(2/5)</t>
  </si>
  <si>
    <t>Des. de sistema 
(Leonardo Humberto) 
(Lab. 1 - Info)</t>
  </si>
  <si>
    <t>Montagem e Manut. 
(Geycy) (Lab. 3 - Info)</t>
  </si>
  <si>
    <t>SECAGEM DE GRÃOS (Jean) (1/12)</t>
  </si>
  <si>
    <t>História
(Renata) (1/16)</t>
  </si>
  <si>
    <t>Matemática (Nilsa) (1/17)</t>
  </si>
  <si>
    <t>Educação Física
(Jairo)</t>
  </si>
  <si>
    <t>História
(Crhistophe) (1/5)</t>
  </si>
  <si>
    <t>Sistemas de Informações Geográficas (Rodrigo Nogueira) (Sala de Topografia)</t>
  </si>
  <si>
    <t>Língua Espanhola (Luana)(2/1)</t>
  </si>
  <si>
    <t>Química
 (Juliana Diniz)(2/2)</t>
  </si>
  <si>
    <t>Biologia
 (Rosi) (1/12)</t>
  </si>
  <si>
    <t>Matemática 
(Nilsa) (1/13)</t>
  </si>
  <si>
    <t>MATÉRIAS PRIMAS ALIMENTÍCIAS (Bruna Porto) (1/13)</t>
  </si>
  <si>
    <t>Física II (Diego Carvalho) (1/7)</t>
  </si>
  <si>
    <t>TECNOLOGIA DE CARNES (Felipe Cimino) (2/6)</t>
  </si>
  <si>
    <t>UCE III (Andreia) (1/17)</t>
  </si>
  <si>
    <t>Sociologia e Extensão RuralSociologia e Extensão Rural (Patrícia Lima) (3/7)</t>
  </si>
  <si>
    <t>CÁLCULO DIFERENCIAL E INTEGRAL I (Frederico) (3/10)</t>
  </si>
  <si>
    <t>Programação Orientada a Objetos I (Leonardo Humberto) (Lab. 2 - Info)</t>
  </si>
  <si>
    <t>UCE IV - Projeto de Sistemas de Informação (Danielle Miranda) (Lab. 4 - Info)</t>
  </si>
  <si>
    <t>Irrigação e Drenagem 
(Marcelo Rossi) (1/14)</t>
  </si>
  <si>
    <t>Histologia (Fernanda) (HV 1)</t>
  </si>
  <si>
    <t>Patologia Geral (Eduardo Garrido) (HV 2)</t>
  </si>
  <si>
    <t>Doenças Parasitárias (Vanessa Paulino) (HV 3)</t>
  </si>
  <si>
    <t>Cirurgia e Obstetrícia (Walter) (HV 4)</t>
  </si>
  <si>
    <t>Geografia
 (Tiago Caminha)(2/4)</t>
  </si>
  <si>
    <t>UCE II (Jerffson Lucas)   (Sala de Topografia)</t>
  </si>
  <si>
    <t>Construções de Madeira (Alessandro) (3/11)</t>
  </si>
  <si>
    <t>Gestão Ambiental (optativa) (Élcio José) (3/8)</t>
  </si>
  <si>
    <t>Engenharia de Software II (Danielle Miranda) (Lab. 2 - Info)</t>
  </si>
  <si>
    <t>QUÍMICA ORGÂNICA (Elza) (1/13)</t>
  </si>
  <si>
    <t>UCE II (Jane Bruna)  (Sala de Topografia)</t>
  </si>
  <si>
    <t>Algoritmos e Estruturas de Dados II (Alison Zille)
 (Lab. 1 - Info)</t>
  </si>
  <si>
    <t>Banco de Dados (Patrícia Lucas) (Lab. 2 - Info)</t>
  </si>
  <si>
    <t xml:space="preserve"> Optativa I - Sistemas de Apoi à Decisão (Zélia)   (Lab. 4 - Info)</t>
  </si>
  <si>
    <t>Prática Pedagógica V: Laboratório de Genética (Turma Extra Pré Horário) (Vanessa Santana)</t>
  </si>
  <si>
    <t>UCE 02 - Projeto Tecnologias na Educação (Viviane)  (1/14)</t>
  </si>
  <si>
    <t xml:space="preserve">Laboratório de Química Geral II (Bruno)   (Lab. Química I) </t>
  </si>
  <si>
    <t>Unidade Curricular de Extensão (UCE) II (Cristiane) (1/9)</t>
  </si>
  <si>
    <t>Pesquisa e Prática Pedagógica IV (Giuliana)  (2/2)</t>
  </si>
  <si>
    <t>Educação: Corpo e Ludicidade (Jairo / Fabiene) (2/4)</t>
  </si>
  <si>
    <t>Filosofia (Lucas Fernando)(1/5)</t>
  </si>
  <si>
    <t>Algoritmos e Estruturas de Dados II (Alison Zille)
(Lab. 1 - Info)</t>
  </si>
  <si>
    <t>Física
(Rodrigo Freitas) (1/6)</t>
  </si>
  <si>
    <t>Prática Pedagógica V: Laboratório de Genética (Turma Extra Pré Horário) (Vanessa Santana) (1/8)</t>
  </si>
  <si>
    <t>ESTÁGIO CURRICULAR SUPERVISIONADO II (Emille) (1/11)</t>
  </si>
  <si>
    <t>FÍSICA CONTEMPORÂNEA (Luciano) (1/12)</t>
  </si>
  <si>
    <t>Estágio Supervisionado II (120 h/a) (Lucas Diego) (LEM)</t>
  </si>
  <si>
    <t xml:space="preserve">Laboratório de Química Geral II (Bruno)  (Lab. Química I) </t>
  </si>
  <si>
    <t>Metodologia Científica (Geycy) (Lab. 2 - Info)</t>
  </si>
  <si>
    <t>Histologia (Valéria) (1/5)</t>
  </si>
  <si>
    <t>Matemática
 (Nilsa) (1/13)</t>
  </si>
  <si>
    <t>Filosofia (Lucas Fernando) (2/3)</t>
  </si>
  <si>
    <t>Parasitologia (Filipe) (1/6)</t>
  </si>
  <si>
    <t>ESTATÍSTICA BÁSICA (EAD) (Arilson)</t>
  </si>
  <si>
    <t>Educação Profissional (Laio) (1/8)</t>
  </si>
  <si>
    <t>Cálculo Diferencial e integral III (Eilson Santiago) (1/11)</t>
  </si>
  <si>
    <t>Geografia (Márcia Martins)(1/8)</t>
  </si>
  <si>
    <t>Língua Portuguesa(Luana) (1/9)</t>
  </si>
  <si>
    <t>Biologia
(Érica) (1/14)</t>
  </si>
  <si>
    <t xml:space="preserve"> Matemática (Viviane)(1/15)</t>
  </si>
  <si>
    <t>Sociologia (Márlio) (1/10)</t>
  </si>
  <si>
    <t>História
(Renata) (1/17)</t>
  </si>
  <si>
    <t>UCE IV - ROBÓTICA EDUCACIONAL (Rodrigo Freitas) (1/11)</t>
  </si>
  <si>
    <t>Geometria Euclidiana Plana (oferta especial) (Aldemi)  (1/13)</t>
  </si>
  <si>
    <t>Física
(Rafael)(1/4)</t>
  </si>
  <si>
    <t>História 
(Crhistophe)(2/2)</t>
  </si>
  <si>
    <t>Língua Estrangeira 
(Carla/André Canela) 
(CELIN 1)</t>
  </si>
  <si>
    <t>Língua Estrangeira (Thaís Rios/André Canela)
 (CELIN 3)</t>
  </si>
  <si>
    <t>História
(Renata) (1/12)</t>
  </si>
  <si>
    <t>UCE 02 - Projeto Tecnologias na Educação (Viviane) (LEM)</t>
  </si>
  <si>
    <t>Educação Profissional (Laio) (1/16)</t>
  </si>
  <si>
    <t xml:space="preserve">Análise Orgânica (Bruno) (1/17) </t>
  </si>
  <si>
    <t>Letramento (s): Dimensão Plural  (Cláudia) (2/1)</t>
  </si>
  <si>
    <t>Estágio Supervisionado III: Alfabetização e Avaliações Institucionais (Edna / Admilson)  (2/2)</t>
  </si>
  <si>
    <t xml:space="preserve">
Gestão da Educação em espaços não escolares
 (Emille) (2/3)</t>
  </si>
  <si>
    <t>Organização da Educação Brasileira (Gerson) (2/5)/  Optativa II: Pedagogia Empresarial  (Lilian) (2/4)</t>
  </si>
  <si>
    <t xml:space="preserve">Educação Física (Jairo) </t>
  </si>
  <si>
    <t>Sociologia
 (Patrícia Lima) (1/8)</t>
  </si>
  <si>
    <t>Cult. Perenes e Fruticultura (Leandro) (Agricult. III)</t>
  </si>
  <si>
    <t>Filosofia 
(Admilson) (2/6)</t>
  </si>
  <si>
    <t>Química
(Juliana Diniz)(2/4)</t>
  </si>
  <si>
    <t>Geografia
 (Tiago Caminha)(2/5)</t>
  </si>
  <si>
    <t>Sistemas Distribuídos (Zélia)(Lab. 4 - Info)</t>
  </si>
  <si>
    <t>Educação Física 
(Gera Jr.)</t>
  </si>
  <si>
    <t>Filosofia (Lucas Fernando) (1/16)</t>
  </si>
  <si>
    <t>Física (Rafael) (1/17)</t>
  </si>
  <si>
    <t>Geometria Euclidiana Plana (oferta especial) (Aldemi) (1/13)</t>
  </si>
  <si>
    <t>UCE 02 - Projeto Tecnologias na Educação (Viviane) (1/14)</t>
  </si>
  <si>
    <t>Educação Profissional (Laio)(1/16)</t>
  </si>
  <si>
    <t>UCE IV: Alfaletrar: Práticas de Alfabetização na Escola (Admilson e Giuliana)  (2/2)</t>
  </si>
  <si>
    <t>Biologia
(Érica)(1/4)</t>
  </si>
  <si>
    <t>UCE II - Ferramentas Computacionais na Educação (Geycy) (Lab. 2 - Info)</t>
  </si>
  <si>
    <t>Desenvolvimento WEB II (Arthur) (Lab. 1 - Info)</t>
  </si>
  <si>
    <t>Biologia
(Lays)(1/5)</t>
  </si>
  <si>
    <t>Genética (Marinalva / Vanessa Santana) (1/5)</t>
  </si>
  <si>
    <t>Biologia
(Érica)(2/1)</t>
  </si>
  <si>
    <t>Educação, Sociedade e Trabalho (Márlio) (1/6)</t>
  </si>
  <si>
    <t>Geografia 
(Márcia Martins)(1/9)</t>
  </si>
  <si>
    <t>Língua Espanhola 
(Luana)(1/4)</t>
  </si>
  <si>
    <t>História 
(Crhistophe)(2/1)</t>
  </si>
  <si>
    <t>Matemática
 (Fabiano) (2/2)</t>
  </si>
  <si>
    <t>Biologia
 (Marinalva / Vanessa Santana)(1/6)</t>
  </si>
  <si>
    <t>Geografia 
(Márcia Martins) (1/7)</t>
  </si>
  <si>
    <t>Matemática
 (Nilsa) (1/12)</t>
  </si>
  <si>
    <t>Pesquisa e Educação: Produtos Educacionais 1 (Laio) (1/7)</t>
  </si>
  <si>
    <t>Fundamentos de Geologia e Paleontologia (Élcio José) (1/8)</t>
  </si>
  <si>
    <t>Geografia (Tiago Caminha) (2/3)</t>
  </si>
  <si>
    <t>Biologia
(Érica) (2/4)</t>
  </si>
  <si>
    <t>Educação, Sociedade e Trabalho (Márlio)(1/6)</t>
  </si>
  <si>
    <t>Língua Estrangeira
(Carla/Luana) (CELIN 1)</t>
  </si>
  <si>
    <t>Língua Estrangeira
(Thaís Rios/Luana) (CELIN 2)</t>
  </si>
  <si>
    <t>Química
(Juliana Diniz)(2/5)</t>
  </si>
  <si>
    <t xml:space="preserve">Química Inorgânica II (2023) (Aline)  (1/17) </t>
  </si>
  <si>
    <t>Física (Rafael) (1/16)</t>
  </si>
  <si>
    <t>Físico-Química I (Magnovaldo)  (1/9)</t>
  </si>
  <si>
    <t>Filosofia (Lucas Fernando) (1/17)</t>
  </si>
  <si>
    <t>Mineralogia
(Elza) (1/4)</t>
  </si>
  <si>
    <t>Matemática
 (Frederico)(1/5)</t>
  </si>
  <si>
    <t>Fundamentos e Metodologia da Língua Portuguesa na Educação Infantil (Emille)  (2/2)</t>
  </si>
  <si>
    <t>Biologia
(Érica)(2/4)</t>
  </si>
  <si>
    <t xml:space="preserve">Matemática
 (Frederico)(1/5)
</t>
  </si>
  <si>
    <t>Pesquisa e Educação: Produtos Educacionais 1 (Laio)  (1/7)</t>
  </si>
  <si>
    <t>EVOLUÇÃO DAS IDEIAS DA FÍSICA (Luciano)(1/12)</t>
  </si>
  <si>
    <t xml:space="preserve">Química Inorgânica II (2023) (Aline) (1/17) </t>
  </si>
  <si>
    <t>Refrigeração (Isis) (Sl. Fenômenos)</t>
  </si>
  <si>
    <t>Química Analítica (Aldo Gomes) (3/8)</t>
  </si>
  <si>
    <t>Inventário Florestal (Vinícius) (3/9)</t>
  </si>
  <si>
    <t>Recuperação de Áreas Degradadas (Alessandro) (3/10)</t>
  </si>
  <si>
    <t>Embriologia (Lídia) (HV 1)</t>
  </si>
  <si>
    <t>Farmacologia Veterinária (Valéria) (HV 2)</t>
  </si>
  <si>
    <t>Tecnologia de Leite (Juliana Zara) (HV 3)</t>
  </si>
  <si>
    <t>Inspeção de Produtos de Origem Animal (Paulo Henrique) (HV 4)</t>
  </si>
  <si>
    <t>1º ANO A - Agroindústria</t>
  </si>
  <si>
    <t>1º ANO B - Agroindústria</t>
  </si>
  <si>
    <t>2º ANO A - Agroindústria</t>
  </si>
  <si>
    <t>2º ANO B - Agroindústria</t>
  </si>
  <si>
    <t>3º ANO A - Agroindústria</t>
  </si>
  <si>
    <t>3º ANO B - Agroindústria</t>
  </si>
  <si>
    <t>CÁLCULO III (Viviane) (1/13)</t>
  </si>
  <si>
    <t>PRINCÍPIOS DE CONSERVAÇÃO DE ALIMENTOS (Felipe Cimino) (Lab. Bromatologia)</t>
  </si>
  <si>
    <t>1º ANO A - Agropecuária</t>
  </si>
  <si>
    <t>Dendrologia (Vinícius) (3/8)</t>
  </si>
  <si>
    <t>Genética (Marinalva)</t>
  </si>
  <si>
    <t>1º ANO B - Agropecuária</t>
  </si>
  <si>
    <t>UCE I (Higor)</t>
  </si>
  <si>
    <t>2º ANO A - Agropecuária</t>
  </si>
  <si>
    <t>2º ANO B - Agropecuária</t>
  </si>
  <si>
    <t>3º ANO A - Agropecuária</t>
  </si>
  <si>
    <t>3º ANO B - Agropecuária</t>
  </si>
  <si>
    <t>1º ANO A - Informática</t>
  </si>
  <si>
    <t>1º ANO B - Informática</t>
  </si>
  <si>
    <t>2º ANO A - Informática</t>
  </si>
  <si>
    <t>2º ANO B - Informática</t>
  </si>
  <si>
    <t>3º ANO A - Informática</t>
  </si>
  <si>
    <t>3º ANO B - Informática</t>
  </si>
  <si>
    <t>1º ANO - Química</t>
  </si>
  <si>
    <t>1º ANO -  Meio Ambiente</t>
  </si>
  <si>
    <t xml:space="preserve">TERÇA-FEIRA </t>
  </si>
  <si>
    <t>Estatística Experimental (Vinícius) (Lab. 4 - Info)</t>
  </si>
  <si>
    <t>Estrutura Anatômica e Composição da Madeira (Wagner) (3/8)</t>
  </si>
  <si>
    <t>Engenharia de Software II (Danielle Miranda)(Lab. 1 - Info)</t>
  </si>
  <si>
    <t>Administração de Serviços de Redes de Computadores (Jamerson Jardel) (Lab. Redes)</t>
  </si>
  <si>
    <t>Melhoramento Genético (Sérgio) (HV 2)</t>
  </si>
  <si>
    <t>Doenças Infecciosas (Eduardo Garrido) (HV 3)</t>
  </si>
  <si>
    <t>Ciência e Tecnologia de Produtos de Origem Vegetal
(Andreia) (Agroin. 2)</t>
  </si>
  <si>
    <t>Filosofia
 (Lucas Fernando) (2/2)</t>
  </si>
  <si>
    <t>Laboratório II(Anál. sensorial e Anál. F.Q) (Daniela)
(Sl. Análise Sensorial)</t>
  </si>
  <si>
    <t>Química (Cristiane)(1/7)</t>
  </si>
  <si>
    <t>Anál. de Alim. 
(Alexandre)  (Lab. Bromatologia)</t>
  </si>
  <si>
    <t>Geografia
(Tiago Caminha)(1/13)</t>
  </si>
  <si>
    <t>Biologia
(Érica) (2/3)</t>
  </si>
  <si>
    <t>Língua Portuguesa (Luana)(1/8)</t>
  </si>
  <si>
    <t>Sociologia
 (Patrícia Lima) (1/9)</t>
  </si>
  <si>
    <t>Geografia 
(Márcia Martins)(1/14)</t>
  </si>
  <si>
    <t>Produção de Ruminantes
 (Sérgio) (Zoo III)</t>
  </si>
  <si>
    <t>Software 
(Patrícia Lucas) (2/4)</t>
  </si>
  <si>
    <t xml:space="preserve">Anál. e Proj. de sist. 
(Danielle Miranda) 
(Lab. 4 - Info) </t>
  </si>
  <si>
    <t>Matemática (Nilsa) (1/16)</t>
  </si>
  <si>
    <t>Matemática
(Eilson Santiago)(1/4)</t>
  </si>
  <si>
    <t>Matemática (Frederico) (1/5)</t>
  </si>
  <si>
    <t>Matemática
(Fabiano) (2/2)</t>
  </si>
  <si>
    <t>Química (Cristiane) (1/7)</t>
  </si>
  <si>
    <t>Biologia (Rosi) (1/16)</t>
  </si>
  <si>
    <t>Libras ll (EAD)</t>
  </si>
  <si>
    <t>LIBRAS II (EaD)</t>
  </si>
  <si>
    <t>Língua Portuguesa
(Ana Clara) (2/2)</t>
  </si>
  <si>
    <t>Ciência e Tecnologia de Produtos de Origem animal
(Ramon) (Agroin. 1)</t>
  </si>
  <si>
    <t>Introdução à Inteligência Artificial (Alison Zille) (Lab. 1 - Info)</t>
  </si>
  <si>
    <t>História
(Renata) (1/13)</t>
  </si>
  <si>
    <t>Líng. espanhola (Luana) (2/3)</t>
  </si>
  <si>
    <t>Geografia 
(Márcia Martins)(1/8)</t>
  </si>
  <si>
    <t>Produção de Monogástricos
(Fernando Matos) (Zoo II)</t>
  </si>
  <si>
    <t xml:space="preserve">Cult. Perenes e Fruticultura 
(Leandro) (Agricult. III)
</t>
  </si>
  <si>
    <t>Produção de Ruminantes 
(Sérgio) (Zoo III)</t>
  </si>
  <si>
    <t>Libras I - EaD (Luciene)</t>
  </si>
  <si>
    <t>Estágio Curricular Supervisionado IV: Gestão Escolar (Lilian) (2/4)</t>
  </si>
  <si>
    <t>Software 
(Patrícia Lucas) (2/6)</t>
  </si>
  <si>
    <t>Anál. e Proj. de sist. 
(Danielle Miranda) (Lab. 4 - Info)</t>
  </si>
  <si>
    <t>Matemática (Nilsa)(1/17)</t>
  </si>
  <si>
    <t>Laboratório em Química
(Luiz Fernando /Elza)</t>
  </si>
  <si>
    <t>Física Geral III (Rodrigo Freitas) (Lab. Física - Rec. Didáticos)</t>
  </si>
  <si>
    <t>Trabalho de Conclusão de Curso – TCC II (Lucas Diego) (LEM)</t>
  </si>
  <si>
    <t>UCE II: Educação e Diversidade (Emille) (2/1)</t>
  </si>
  <si>
    <t>Optativa I - Sistemas de Apoi à Decisão (Zélia)   (Lab. 1 - Info)</t>
  </si>
  <si>
    <t>Didática I (Gerson) (1/6)</t>
  </si>
  <si>
    <t>Fundamentos de Geologia e Paleontologia (Filipe) (1/8)</t>
  </si>
  <si>
    <t>Didática I (Gerson)(1/6)</t>
  </si>
  <si>
    <t xml:space="preserve">Química Inorgânica II (2023) (Aline)(1/17) </t>
  </si>
  <si>
    <t>Química Analítica Quantitativa (Aldo Gomes) (1/9)</t>
  </si>
  <si>
    <t>Físico-Química III (Magnovaldo) (1/12)</t>
  </si>
  <si>
    <t>Filosofia e Infância (Admilson) (2/1)</t>
  </si>
  <si>
    <t>Psicologia da Educação II (Emille)  (2/2)</t>
  </si>
  <si>
    <t>Microbiologia Ambiental (Érica)</t>
  </si>
  <si>
    <t>Introdução à Análise Real (Nilmar) (1/16)</t>
  </si>
  <si>
    <t>Gestão da qualidade 
(Bruna Porto)(2/1)</t>
  </si>
  <si>
    <t>Fundamentos e Metodologia da Educação de Jovens e Adultos (Edna) (2/3)</t>
  </si>
  <si>
    <t>Geografia
(Tiago Caminha) (2/2)</t>
  </si>
  <si>
    <t>Língua Estrangeira (Carla/André Canela) (CELIN 1)</t>
  </si>
  <si>
    <t>Língua Estrangeira (Thaís Rios/André Canela) (CELIN 3)</t>
  </si>
  <si>
    <t>História
(Renata) (2/3)</t>
  </si>
  <si>
    <t>Biologia
 (Lays)(1/8)</t>
  </si>
  <si>
    <t>Língua Portuguesa
 (Ana Clara) (1/17)</t>
  </si>
  <si>
    <t>Língua Portuguesa
(Willian Fernandes)(1/5)</t>
  </si>
  <si>
    <t>Filosofia
 (Lucas Fernando)(2/1)</t>
  </si>
  <si>
    <t>Literatura
(Wesley) (1/7)</t>
  </si>
  <si>
    <t>Embriologia (Lídia) (1/5)</t>
  </si>
  <si>
    <t>Física Experimental para o Ensino Fundamental (Rodrigo Freitas) (1/6)</t>
  </si>
  <si>
    <t>Leitura e Produção de Textos Acadêmicos (Evelyn)  (1/7)</t>
  </si>
  <si>
    <t>Língua Espanhola (Luana) (2/6)</t>
  </si>
  <si>
    <t>Prática Pedagógica X: Laboratório de Botânica (Lays) (1/8)</t>
  </si>
  <si>
    <t>Matemática
 (Nilsa) (1/14)</t>
  </si>
  <si>
    <t>Biologia
(Érica)(1/15)</t>
  </si>
  <si>
    <t>Educação e Diversidade (Emille)(1/12) /FÍSICA CONTEMPORÂNEA (Luciano) (1/17)</t>
  </si>
  <si>
    <t>Cálculo II (oferta especial) (Nilmar) (1/14)</t>
  </si>
  <si>
    <t>Leitura e Produção de Textos Acadêmicos (Evelyn) (1/15)</t>
  </si>
  <si>
    <t>Educação e Diversidade (Emille) (1/12)</t>
  </si>
  <si>
    <t>Educação e Diversidade (Emille)(1/12) / TCC I  - Química  (Gerson) (1/9)</t>
  </si>
  <si>
    <t>Fundamentos e Metodologia das Ciências na Educação Infantil (Laio)</t>
  </si>
  <si>
    <t>Educação e Diversidade (Emille)(1/12) FÍSICA CONTEMPORÂNEA (Luciano) (1/17)</t>
  </si>
  <si>
    <t>Cálculo II (oferta especial) (Nilmar)(1/14)</t>
  </si>
  <si>
    <t>Educação e Diversidade (Emille) (1/12)/ TCC I  - Química  (Gerson)</t>
  </si>
  <si>
    <t>Matemática (Aldemi) (1/10)</t>
  </si>
  <si>
    <t>Língua Portuguesa
 (Patrícia Ramires) (1/11)</t>
  </si>
  <si>
    <t>Ciência e Tecnologia de Produtos de Origem Vegetal
(Márcia Antunes) (Agroin. 2)</t>
  </si>
  <si>
    <t>Educação Física (Jairo)</t>
  </si>
  <si>
    <t>Língua Portuguesa (Patrícia Ramires) (1/6)</t>
  </si>
  <si>
    <t>Geografia
(Márcia Martins) (1/12)</t>
  </si>
  <si>
    <t>Desenvolv. Ext. Rural 
(Márlio)(2/3)</t>
  </si>
  <si>
    <t>Geografia
 (Tiago Caminha) (2/3)</t>
  </si>
  <si>
    <t>Matemática
 (Eilson Santiago) (1/8)</t>
  </si>
  <si>
    <t>Ed. Física 
(Gera Jr.)</t>
  </si>
  <si>
    <t>Algorítmos 
(Alison Zille) (Lab. 3 - Info)</t>
  </si>
  <si>
    <t>História
(Bergston) (2/5)</t>
  </si>
  <si>
    <t>Literatura
(Wesley) (1/10)</t>
  </si>
  <si>
    <t>Matemática
 (Aldemi) (1/11)</t>
  </si>
  <si>
    <t>Desenvolv. WEB
(Arthur) (Lab. 1 - Info)</t>
  </si>
  <si>
    <t>SECAGEM DE GRÃOS (Jean) (1/14)</t>
  </si>
  <si>
    <t>Filosofia (Lucas Fernando)(1/4)</t>
  </si>
  <si>
    <t>Literatura
 (Wesley) (1/6)</t>
  </si>
  <si>
    <t>Matemática 
(Eilson Santiago) (1/8)</t>
  </si>
  <si>
    <t>Língua Portuguesa
 (Patrícia Ramires) (1/10)</t>
  </si>
  <si>
    <t xml:space="preserve">Arte 
(Jamerson Rezende) </t>
  </si>
  <si>
    <t xml:space="preserve">Etol. Bioclim. Bem estar (Paulo Henrique) (HV 2)
</t>
  </si>
  <si>
    <t>Reprodução Animal II (Leonardo Coelho) (HV 4)</t>
  </si>
  <si>
    <t>Língua Portuguesa (Willian Fernandes)(1/4)</t>
  </si>
  <si>
    <t>NUTRIÇÃO HUMANA (Jean) (1/14)</t>
  </si>
  <si>
    <t>Matemática e Português para o Cotidiano (Roberta, Fabiano, Evelyn) (2/2)</t>
  </si>
  <si>
    <t>UCE I (Higor) (2/6)</t>
  </si>
  <si>
    <t xml:space="preserve">Ciência da Natureza (Isis, Aline, Marinalva, Clayton) (Sl. Análise Sensorial)
</t>
  </si>
  <si>
    <t>Óleos e Gorduras (OPTATIVA I) (Bruna Porto) (Sl. Fenômenos) / Massas e Panificação (OPTATIVA II) (Márcia Antunes) (Sl. Oficina)</t>
  </si>
  <si>
    <t>Filosofia
(Admilson)(2/6)</t>
  </si>
  <si>
    <t>Colheita e Transporte Florestal (Alessandro)(3/8)</t>
  </si>
  <si>
    <t>Literatura (Wesley)(2/3)</t>
  </si>
  <si>
    <t>Biologia
 (Lays) (1/9)</t>
  </si>
  <si>
    <t>Língua Portuguesa 
(Willian Fernandes) (1/14)</t>
  </si>
  <si>
    <t>Genética (Marinalva) (HV 1)</t>
  </si>
  <si>
    <t>Geografia 
(Tiago Caminha)(1/15)</t>
  </si>
  <si>
    <t>História
(Bergston) (2/4)</t>
  </si>
  <si>
    <t>UCE 2 (Eduardo Garrido / Thaís / Antônio / Lídia) (HV 3)</t>
  </si>
  <si>
    <t>Fundamentos do Design e Webdesign (Jamerson Rezende) (Lab. 4 - Info)</t>
  </si>
  <si>
    <t>Geografia
 (Márcia Martins) (1/11)</t>
  </si>
  <si>
    <t>Língua estrangeira
 (Carla/André Canela) (CELIN 1)</t>
  </si>
  <si>
    <t>Estatística Aplicada
(Rodrigo Freitas) (1/4)</t>
  </si>
  <si>
    <t>Introdução ao Estudo do Meio Ambiente (Jane Bruna, Vinícius)(1/5)</t>
  </si>
  <si>
    <t>Matemática e Português para o Cotidiano (Roberta, Fabiano, Evelyn) (2/1)</t>
  </si>
  <si>
    <t>Matemática (Aldemi) (1/6)</t>
  </si>
  <si>
    <t>Colheita e Transporte Florestal (Alessandro) (3/8)</t>
  </si>
  <si>
    <t>UCE 2 (Eduardo Garrido/ Thaís/ Antônio/ Lídia) (HV 3)</t>
  </si>
  <si>
    <t>História
(Renata) (1/4)</t>
  </si>
  <si>
    <t>UCE IV (Élcio José/Marcelo Rossi)  (3/10)</t>
  </si>
  <si>
    <t>Física II (Diego Carvalho) (3/11)</t>
  </si>
  <si>
    <t>OPERAÇÕES UNITÁRIAS I (Higor) (Lab. Fenôm. de Transportes)</t>
  </si>
  <si>
    <t>Geometria Analítica e Álgebra Linear (Marco Aurélio) (3/7)</t>
  </si>
  <si>
    <t>Arborização e Paisagismo (Jerffson Lucas) (3/9)</t>
  </si>
  <si>
    <t>UCE IV (Élcio José) (3/10)</t>
  </si>
  <si>
    <t>Algoritmos e Estruturas de Dados II (Alison Zille) (Lab. 2 - Info)</t>
  </si>
  <si>
    <t xml:space="preserve">QUARTA-FEIRA </t>
  </si>
  <si>
    <t>Língua Portuguesa
(Ana Clara) (2/1)</t>
  </si>
  <si>
    <t>Química
(Cristiane)(1/6)</t>
  </si>
  <si>
    <t>Sociologia
(Márlio)(1/7)</t>
  </si>
  <si>
    <t xml:space="preserve">Anál. Sensorial 
(Daniela) (Sl. Análise Sensorial)
</t>
  </si>
  <si>
    <t>Zootecnia Geral e Pequenas Criações (Paulo Eduardo) (Zoo I)</t>
  </si>
  <si>
    <t>Imunologia (Vanessa Paulino) (HV 2)</t>
  </si>
  <si>
    <t>Química
(Luiz Fernando)(2/3)</t>
  </si>
  <si>
    <t>Tóp. Esp. Insp. Prod. Anim. - Paulo / Prát. Emerg. Clinica e Cirurg. - (Walter) ( Valéria) (HV 4) / Clínica, Cirurgia e Patologia de Animais Silvestres (Thaís) (HV 1)/ Cirurgia de Grandes Animais (Leonardo Coelho) (HV5)</t>
  </si>
  <si>
    <t>Máquinas Agrícolas
 (Cani) (Agricult. I)</t>
  </si>
  <si>
    <t>Matemática 
(Eilson Santiago) (1/9)</t>
  </si>
  <si>
    <t>Construções Rurais e Ambiência
 (Leandro / Rodrigo Nogueira) (Sala de Topografia)</t>
  </si>
  <si>
    <t>Língua Portuguesa
(Mayara) (2/4)</t>
  </si>
  <si>
    <t>Matemática 
(Kélcio)(2/5)</t>
  </si>
  <si>
    <t>Química (Aline)  (1/10)</t>
  </si>
  <si>
    <t>Redes de comput. 
(Jamerson Jardel) (Lab. Redes)</t>
  </si>
  <si>
    <t>Geografia
(Márcia Martins)(1/17)</t>
  </si>
  <si>
    <t>UCE III (Márcia Antunes) (Sl. Oficina)</t>
  </si>
  <si>
    <t>Química Geral e Inorgânica
(Willian Andrade)(1/4)</t>
  </si>
  <si>
    <t>Geografia
(Tiago Caminha)(1/5)</t>
  </si>
  <si>
    <t xml:space="preserve">Ecologia de populações (Tatianne) 
</t>
  </si>
  <si>
    <t>Tóp. Esp. Insp. Prod. Anim. - (Paulo Henrique) / Prát. Emerg. Clinica e Cirurg. - (Walter , Valéria) (HV 4) / Clínica, Cirurgia e Patologia de Animais Silvestres (Thaís) (HV 1)/ Cirurgia de Grandes Animais (Leonardo Coelho) (HV5)</t>
  </si>
  <si>
    <t>Física 
(Clayton) (1/15)</t>
  </si>
  <si>
    <t>Química (Aline) (1/10)</t>
  </si>
  <si>
    <t>Biologia (Lays)  (1/11)</t>
  </si>
  <si>
    <t>FÍSICO-QUÍMICA II (Luiz Fernando) (1/13)</t>
  </si>
  <si>
    <t>Física Geral I (Diego Carvalho)
(3/7)</t>
  </si>
  <si>
    <t>Fisiologia Vegetal (Michellia) (3/8)</t>
  </si>
  <si>
    <t>UCE IV (Marcelo Rossi) (3/10)</t>
  </si>
  <si>
    <t>MATEMÁTICA DISCRETA (Nilmar) (3/11)</t>
  </si>
  <si>
    <t>Introdução à Inteligência Artificial (Alison Zille) (Lab. 2 - Info)</t>
  </si>
  <si>
    <t>Literatura
(Mayara)(2/1)</t>
  </si>
  <si>
    <t>Sociologia
(Márlio) (1/6)</t>
  </si>
  <si>
    <t>História 
(Rosana) (1/7)</t>
  </si>
  <si>
    <t>Optativa III - Métodos Ágeis (Zélia) (Lab. 2 - Info)</t>
  </si>
  <si>
    <t>Língua Portuguesa
(Cláudia) (2/3)</t>
  </si>
  <si>
    <t>Física
 (Clayton) (1/9)</t>
  </si>
  <si>
    <t>Literatura (Wesley) (2/4)</t>
  </si>
  <si>
    <t>Geografia
(Márcia Martins)(1/16)</t>
  </si>
  <si>
    <t>Pesquisa Aplicada à Educação III – TCC III (Edna) (2/4)</t>
  </si>
  <si>
    <t>Projeto Integrador I - Química e Sociedade
 (Cristiane/Lucas Fernando)(1/4)</t>
  </si>
  <si>
    <t>Língua Inglesa
(Adailton)(1/5)</t>
  </si>
  <si>
    <t>Geografia
(Tiago Caminha)(2/1)</t>
  </si>
  <si>
    <t>Língua Portuguesa (Patrícia Ramires) (1/7)</t>
  </si>
  <si>
    <t>Química
(Luiz Fernando) (2/3)</t>
  </si>
  <si>
    <t>História
(Rosana) (1/8)</t>
  </si>
  <si>
    <t>Língua Portuguesa
(Mayara) (2/5)</t>
  </si>
  <si>
    <t>Biologia (Lays)  (1/10)</t>
  </si>
  <si>
    <t>Química (Aline)  (1/11)</t>
  </si>
  <si>
    <t>Língua Inglesa
(Adailton)(1/4)</t>
  </si>
  <si>
    <t>MATEMÁTICA DISCRETA (Nilmar) (EaD)</t>
  </si>
  <si>
    <t>Química
(Willian Andrade)(1/5)</t>
  </si>
  <si>
    <t>Matemática 
(Aldemi) (1/7)</t>
  </si>
  <si>
    <t>Estágio Curricular Supervisionado lll (Érica)  (1/7)</t>
  </si>
  <si>
    <t>Sociologia 
(Patrícia Lima) (1/12)</t>
  </si>
  <si>
    <t>Matemática (Nilsa) (1/13)</t>
  </si>
  <si>
    <t>Língua Portuguesa
(Cláudia) (2/4)</t>
  </si>
  <si>
    <t>Literatura
 (Wesley) (1/9)</t>
  </si>
  <si>
    <t>Física 
(Clayton) (1/14)</t>
  </si>
  <si>
    <t>Estágio Curricular Supervisionado II
(Química) (Laio) (1/9)</t>
  </si>
  <si>
    <t>Língua Inglesa
 (Adailton) (2/4)</t>
  </si>
  <si>
    <t>Língua Portuguesa
(Ana Clara) (1/16)</t>
  </si>
  <si>
    <t>Direito Digital (Joaquim Comini) (CeaD)</t>
  </si>
  <si>
    <t>Zoologia comparada de Invertebrados ll (Filipe) (1/5)</t>
  </si>
  <si>
    <t>Bioquímica (Cristiane) (1/6)</t>
  </si>
  <si>
    <t>Sistemática de Angiospermas (Michellia)  (1/7)</t>
  </si>
  <si>
    <t xml:space="preserve"> Prática Pedagógica Vlll: Laboratório de Ecologia (Vanessa Santana) (1/8)</t>
  </si>
  <si>
    <t>Cálculo Diferencial e integral III (Eilson Santiago) (1/11) / Física Experimental II (Gera Magela/Luciano)</t>
  </si>
  <si>
    <t>UCE VI - SELFÍS (Rafael) (1/12) / Laboratório de Física Moderna (Clayton)</t>
  </si>
  <si>
    <t>Funções de uma variável complexa (Viviane)
 (1/16)</t>
  </si>
  <si>
    <t>Bioquímica (Cristiane) /  Fundamentos e Métodos Instrumentais de Análise (Aldo Gomes) (1/9)</t>
  </si>
  <si>
    <t>Fundamentos e Metodologia da História e Geografia na Educação Infantil  (Laio)
  (2/2)</t>
  </si>
  <si>
    <t>Organização da Educação Brasileira (Gerson) (2/3)</t>
  </si>
  <si>
    <t>Cálculo Diferencial e integral III (Eilson Santiago) (1/11) Física Experimental II (Gera Magela/Luciano)</t>
  </si>
  <si>
    <t>Fundamentos e Metodologia da História e Geografia na Educação Infantil  (Laio)  (2/2)</t>
  </si>
  <si>
    <t>Trabalho de Conclusão de Curso II (Arthur) (Lab. 2 - Info)</t>
  </si>
  <si>
    <t>Educação e Relações Étnico-Raciais (Márlio)  (1/7)</t>
  </si>
  <si>
    <t>Prática Pedagógica lX: Educação e Saúde (Filipe) (1/8)</t>
  </si>
  <si>
    <t>Física Geral II (Rafael) (1/10)</t>
  </si>
  <si>
    <t>PRODUÇÃO E GESTÃO DO CONHECIMENTO (Laio) (1/11)</t>
  </si>
  <si>
    <t>Introdução à Análise Real (Nilmar)  (1/16)</t>
  </si>
  <si>
    <t>História da Educação II (Renata)  (2/1)</t>
  </si>
  <si>
    <t>Fundamentos e Metodologia da Alfabetização e Letramento (Edna)  (2/2)</t>
  </si>
  <si>
    <t>Educação: Corpo e Ludicidade (Jairo / Fabiene)(2/4)</t>
  </si>
  <si>
    <t>Física Geral II (Rafael)(1/10)</t>
  </si>
  <si>
    <t>História da Educação II (Renata ) (2/1)</t>
  </si>
  <si>
    <t xml:space="preserve">QUÍMICA ORGÂNICA (Elza) (Lab. Química I) </t>
  </si>
  <si>
    <t>TECNOLOGIA DE VEGETAIS (Andreia) (Setor de Vegetais)</t>
  </si>
  <si>
    <t>Avaliação de Impactos Ambientais e Recuperação de Áreas Degradadas (Alessandro/ Élcio José) (3/8)</t>
  </si>
  <si>
    <t>Deontologia Veterinária ( Fernanda ) (HV 2)</t>
  </si>
  <si>
    <t>Toxicologia Veterinária (Lídia) (HV 3)</t>
  </si>
  <si>
    <t>Atendimento clínico de pequenos animais (Eduardo Garrido e Thaís) (Ambulatórios)</t>
  </si>
  <si>
    <t>QUINTA-FEIRA</t>
  </si>
  <si>
    <t>CIÊNCIA E MECÂNICA DOS MATERIAIS (Higor) (1/16)</t>
  </si>
  <si>
    <t>Química Orgânica (Willian Andrade) (3/7)</t>
  </si>
  <si>
    <t>Anatomia Vet. II ( Walter)(HV 1)</t>
  </si>
  <si>
    <t>Parasitologia Veterinária (Fernanda) (HV 2)</t>
  </si>
  <si>
    <t>Atendimento clínico de pequenos animais (Eduardo Garrido, Thaís) (Ambulatórios)</t>
  </si>
  <si>
    <t>Artes 
(Jamerson Rezende) (2/1)</t>
  </si>
  <si>
    <t>Língua Inglêsa (Adailton) (2/2)</t>
  </si>
  <si>
    <t>Ciência e Tecnologia de Produtos de Origem animal
(Juliana Zara) (Agroin. 1)</t>
  </si>
  <si>
    <t>Física
(Clayton)(1/7)</t>
  </si>
  <si>
    <t>TCC I (Bruna Porto)  (Sl. Oficina)</t>
  </si>
  <si>
    <t>Química
 (Juliana Diniz) (1/12)</t>
  </si>
  <si>
    <t>Gestão Agroindustrial 
(Felipe Ferres) (1/13)</t>
  </si>
  <si>
    <t>Matemática (Marco Aurélio) (2/4)</t>
  </si>
  <si>
    <t>História
(Crhistophe) (1/15)</t>
  </si>
  <si>
    <t>Literatura (Wesley) (2/5)</t>
  </si>
  <si>
    <t>Língua Portuguesa
(Patrícia Ramires) (1/10)</t>
  </si>
  <si>
    <t>Física 
(Poliana)  (1/11)</t>
  </si>
  <si>
    <t>Educação Física (Fabiene)</t>
  </si>
  <si>
    <t>Literatura
(Evelyn)(1/4)</t>
  </si>
  <si>
    <t>Solos e Recuperação de Áreas Degradadas (Alessandro)(1/5)</t>
  </si>
  <si>
    <t>Laboratório I (Microbiologia)
(Roberta) (Agroin. 2)</t>
  </si>
  <si>
    <t>Gestão da qualidade 
(Bruna Porto)(2/2)</t>
  </si>
  <si>
    <t>Matemática
 (Aldemi)(1/7)</t>
  </si>
  <si>
    <t>FÍSICO-QUÍMICA II (Luiz Fernando) (1/17)</t>
  </si>
  <si>
    <t>Laboratório de Fenômenos de Transporte (Higor) (Lab. Fenôm. de Transportes)</t>
  </si>
  <si>
    <t>Embalagens (Edilson)  (Sl. Oficina)</t>
  </si>
  <si>
    <t>História
(Rosana) (1/10)</t>
  </si>
  <si>
    <t>Arte
(Jamerson Rezende) (1/4)</t>
  </si>
  <si>
    <t>Gestão Ambiental (Élcio José) (3/9)</t>
  </si>
  <si>
    <t xml:space="preserve">Ciência e Tecnologia de Produtos de Origem Vegetal
(Andreia) (Sl. Análise Sensorial)
</t>
  </si>
  <si>
    <t>Gestão Agroindustrial 
(Felipe Ferres) (1/12)</t>
  </si>
  <si>
    <t>Química
 (Juliana Diniz) (1/13)</t>
  </si>
  <si>
    <t>Língua Inglêsa (Adailton) 
(CELIN 1)</t>
  </si>
  <si>
    <t>Física (Poliana) (2/2)</t>
  </si>
  <si>
    <t>Sociologia 
(Patrícia Lima) (1/15)</t>
  </si>
  <si>
    <t>Artes
 (Jamerson Rezende) (2/5)</t>
  </si>
  <si>
    <t>Língua Portuguesa
 (Patrícia Ramires)  (1/11)</t>
  </si>
  <si>
    <t>Língua Portuguesa
(Ana Clara)(1/17)</t>
  </si>
  <si>
    <t>Matemática
 (Aldemi)(1/6)</t>
  </si>
  <si>
    <t>Língua Portuguesa
 (Patrícia Ramires)(1/7)</t>
  </si>
  <si>
    <t>Matemática (Marco Aurélio) (2/3)</t>
  </si>
  <si>
    <t>Língua Portuguesa 
(Willian Fernandes) (1/15)</t>
  </si>
  <si>
    <t>Língua Estrangeira
(Thaís Rios) (CELIN 3)</t>
  </si>
  <si>
    <t>História
(Rosana) (1/11)</t>
  </si>
  <si>
    <t>Língua estrangeira 
(Carla)(1/17)</t>
  </si>
  <si>
    <t>Arte
 (Jamerson Rezende) (1/5)</t>
  </si>
  <si>
    <t>Nutrição
(Jean) (1/7)</t>
  </si>
  <si>
    <t>MICROBIOLOGIA (Vanessa Santana) (1/17)</t>
  </si>
  <si>
    <t>Inglês Instrumental  (3/11)</t>
  </si>
  <si>
    <t>Diagnóstico por Imagem (Leonardo Coelho) (HV 4)</t>
  </si>
  <si>
    <t>Física (Rafael) (1/12)</t>
  </si>
  <si>
    <t>Língua Portuguesa
 (Cláudia) (1/13)</t>
  </si>
  <si>
    <t>Língua Inglêsa
 (Adailton) (2/2)</t>
  </si>
  <si>
    <t>Literatura
 (Wesley)(1/8)</t>
  </si>
  <si>
    <t>Matemática 
(Kélcio) (2/5)</t>
  </si>
  <si>
    <t>Língua Estrangeira
(Thaís Rios)  (CELIN 3)</t>
  </si>
  <si>
    <t>Sociologia (Patrícia Lima) (1/16)</t>
  </si>
  <si>
    <t>Língua estrangeira
 (Carla)(1/17)</t>
  </si>
  <si>
    <t xml:space="preserve">Laboratório de Química Orgânica II (Oferta especial) (Bruno) (Lab. Química I) </t>
  </si>
  <si>
    <t>Pesquisa e Prática Pedagógica III (Edna)     (2/2)</t>
  </si>
  <si>
    <t>Física (Rafael) (2/1)</t>
  </si>
  <si>
    <t>Nutrição
(Jean) (1/6)</t>
  </si>
  <si>
    <t>Língua Portuguesa
 (Cláudia) (1/12)</t>
  </si>
  <si>
    <t xml:space="preserve">Literatura 
(Mayara)(1/13)
</t>
  </si>
  <si>
    <t>Física (Rodrigo Freitas) (2/3)</t>
  </si>
  <si>
    <t>Desenvolv. Ext. Rural 
(Patrícia Lima) (2/2)</t>
  </si>
  <si>
    <t>Proc. Agroindústria 
(Edilson) (1/8)</t>
  </si>
  <si>
    <t>Química
 (Elza) (1/9)</t>
  </si>
  <si>
    <t>Educação Física
 (Fabiene)</t>
  </si>
  <si>
    <t>Inglês Instrumental
 (Adailton)(2/4)</t>
  </si>
  <si>
    <t>Literatura
(Wesley) (1/11)</t>
  </si>
  <si>
    <t>Administração  (Felipe Ferres)(1/16)</t>
  </si>
  <si>
    <t>Fundamentos de medidas
(Poliana) (1/5)</t>
  </si>
  <si>
    <t>Língua Portuguesa
 (Patrícia Ramires)(1/6)</t>
  </si>
  <si>
    <t xml:space="preserve">Literatura 
(Mayara)(1/12)
</t>
  </si>
  <si>
    <t>Matemática (Aldemi) (1/11)</t>
  </si>
  <si>
    <t>UCE V: Educação Popular (Emille e Bergston) (2/3)</t>
  </si>
  <si>
    <t>Língua Portuguesa (Willian Fernandes) (1/4)</t>
  </si>
  <si>
    <t>Química Orgânica (Bruno) (1/5)</t>
  </si>
  <si>
    <t>Prática Pedagógica Xl: Educação Ambienntal (Vanessa Santana) (1/8)</t>
  </si>
  <si>
    <t>UCE VI - SELFIS (Clayton) (1/12)</t>
  </si>
  <si>
    <t xml:space="preserve">Ciência da Natureza (Juliana Diniz, Lays, Poliana, Andreia) (2/1)
</t>
  </si>
  <si>
    <t>História
 (Rosana)(1/6)</t>
  </si>
  <si>
    <t>Educação Física
(Fabiene)</t>
  </si>
  <si>
    <t>Literatura (Evelyn) (2/3)</t>
  </si>
  <si>
    <t>Língua Portuguesa
(Cláudia) (2/2)</t>
  </si>
  <si>
    <t>Química
 (Elza) (1/8)</t>
  </si>
  <si>
    <t xml:space="preserve">Gestão Agropecuária 
(Felipe Ferres) (1/15)
</t>
  </si>
  <si>
    <t>Física
 (Jéssica) (2/4)</t>
  </si>
  <si>
    <t>Língua Inglesa
 (Adailton) (2/5)</t>
  </si>
  <si>
    <t>Sociologia (Patrícia Lima) (1/17)</t>
  </si>
  <si>
    <t>Física
(Clayton)(1/4)</t>
  </si>
  <si>
    <t>Microbiologia Ambiental (Érica) (1/5)</t>
  </si>
  <si>
    <t>Ciência da Natureza (Juliana Diniz, Lays, Poliana, Andreia) (Agroin. 2)</t>
  </si>
  <si>
    <t>Matemática Financeira (Felipe Ferres) (1/14)</t>
  </si>
  <si>
    <t>Estruturas Algébricas (Kélcio) (1/15)</t>
  </si>
  <si>
    <t xml:space="preserve">"Laboratório de Química Inorgânica (2023)
(Aline)" (Lab. Química I) </t>
  </si>
  <si>
    <t xml:space="preserve">Laboratório de Química Analítica Quantitativa (Aldo Gomes) (Lab. Química II) </t>
  </si>
  <si>
    <t>UCE V: Educação Popular (Emille e Bergston ) (2/3)</t>
  </si>
  <si>
    <t>História Indígena e Educação (Bergston) (2/4)</t>
  </si>
  <si>
    <t>Sociologia (Patrícia Lima)</t>
  </si>
  <si>
    <t>Estágio Supervisionado II - Docência e Identidade  (Emille) (2/1)</t>
  </si>
  <si>
    <t>Matemática 
(Kélcio)(2/4)</t>
  </si>
  <si>
    <t>Física
 (Jéssica) (2/5)</t>
  </si>
  <si>
    <t>Administração  (Felipe Ferres)(1/17)</t>
  </si>
  <si>
    <t>Física
(Clayton) (1/4)</t>
  </si>
  <si>
    <t>Física
(Rafael)(1/5)</t>
  </si>
  <si>
    <t>Biofísica (Clayton)  (1/7)</t>
  </si>
  <si>
    <t>PRÁTICA DE ENSINO DE FÍSICA II (Rodrigo Freitas)  (Lab. Física - Rec. Didáticos)</t>
  </si>
  <si>
    <t>Estruturas Algébricas (Kélcio)  (1/15)</t>
  </si>
  <si>
    <t>Fundamentos e Métodos Instrumentais de Análise (Aldo Gomes)  (1/17)</t>
  </si>
  <si>
    <t xml:space="preserve">SEXTA-FEIRA </t>
  </si>
  <si>
    <t>Pesquisa Aplicada à Educação I – TCC I (Laio) (2/3)</t>
  </si>
  <si>
    <t>História Indígena e Educação (Bergston)(2/4)</t>
  </si>
  <si>
    <t>Língua Inglêsa
 (Adailton) (2/1)</t>
  </si>
  <si>
    <t>Fundamentos e Metodologia da Alfabetização e Letramento (Edna) (2/2)</t>
  </si>
  <si>
    <t>Biologia
 (Marinalva) (1/13)</t>
  </si>
  <si>
    <t>História
(Rosana) (1/9)</t>
  </si>
  <si>
    <t xml:space="preserve">Gestão Agropecuária 
(Felipe Ferres) (1/14)
</t>
  </si>
  <si>
    <t>Língua Portuguesa
(Mayara)(2/4)</t>
  </si>
  <si>
    <t>Banco de dados 
(Danielle Miranda) 
(Lab. 4 - Info)</t>
  </si>
  <si>
    <t>Fundamentos do Design e Webdesign (Jamerson Rezende) (Lab. 1 - Info)</t>
  </si>
  <si>
    <t>Química (Bruno) (1/16)</t>
  </si>
  <si>
    <t>Educação Física
(Jairo)(1/5)</t>
  </si>
  <si>
    <t>Língua Espanhola 
(Luana) (2/2)</t>
  </si>
  <si>
    <t>Física
 (Clayton)(1/8)</t>
  </si>
  <si>
    <t>Inglês Instrumental
 (Adailton) (2/5)</t>
  </si>
  <si>
    <t>Literatura
(Mayara)(2/2)</t>
  </si>
  <si>
    <t>História
 (Rosana)(1/7)</t>
  </si>
  <si>
    <t>Arte (Jamerson Rezende) (2/3)</t>
  </si>
  <si>
    <t>Proc. Agroindústria 
(Edilson) (1/9)</t>
  </si>
  <si>
    <t>História
(Crhistophe) (1/14)</t>
  </si>
  <si>
    <t>Matemática 
(Kélcio) (2/4)</t>
  </si>
  <si>
    <t>Física (Poliana) (1/10)</t>
  </si>
  <si>
    <t>Química (Bruno) (1/17)</t>
  </si>
  <si>
    <t>Literatura
(Evelyn)(1/5)</t>
  </si>
  <si>
    <t>Artes
 (Jamerson Rezende)(2/2)</t>
  </si>
  <si>
    <t>Biologia
 (Marinalva)(1/7)</t>
  </si>
  <si>
    <t>Ed. Física
 (Gera Jr.)</t>
  </si>
  <si>
    <t>Biologia 
(Érica) (1/15)</t>
  </si>
  <si>
    <t>Artes (Jamerson Rezende) (2/4)</t>
  </si>
  <si>
    <t>Língua Portuguesa (Luana)(1/9)</t>
  </si>
  <si>
    <t>Biologia 
(Érica) (1/14)</t>
  </si>
  <si>
    <t>Janela</t>
  </si>
  <si>
    <t>BACHARELADO EM ENGENHARIA DE ALIMENTOS</t>
  </si>
  <si>
    <t>2º PERÍODO
Eng. Alimentos</t>
  </si>
  <si>
    <t>4º PERÍODO
Eng. Alimento</t>
  </si>
  <si>
    <t>SEGUNDA</t>
  </si>
  <si>
    <t>Segunda</t>
  </si>
  <si>
    <t>Terça</t>
  </si>
  <si>
    <t>Quarta</t>
  </si>
  <si>
    <t>V6</t>
  </si>
  <si>
    <t>Quinta</t>
  </si>
  <si>
    <t>N1</t>
  </si>
  <si>
    <t>N2</t>
  </si>
  <si>
    <t>N3</t>
  </si>
  <si>
    <t>N4</t>
  </si>
  <si>
    <t>Sexta</t>
  </si>
  <si>
    <t>17:00 -17:50</t>
  </si>
  <si>
    <t>1º PERÍODO
Lic. Química</t>
  </si>
  <si>
    <t>3º PERÍODO
Lic. Química</t>
  </si>
  <si>
    <t>5º PERÍODO
Lic. Química</t>
  </si>
  <si>
    <t>7º PERÍODO
Lic. Química</t>
  </si>
  <si>
    <t>Lilian</t>
  </si>
  <si>
    <t>Médio</t>
  </si>
  <si>
    <t>Clayton</t>
  </si>
  <si>
    <t>Graduação</t>
  </si>
  <si>
    <t>07:00 - 07:50</t>
  </si>
  <si>
    <t>07:50 - 08:40</t>
  </si>
  <si>
    <t>09:10 - 10:00</t>
  </si>
  <si>
    <t>10:00 - 10:50</t>
  </si>
  <si>
    <t>10:50 - 11:40</t>
  </si>
  <si>
    <t>Disciplina (Professor)</t>
  </si>
  <si>
    <t>Salas Disponíveis</t>
  </si>
  <si>
    <t>Adailton</t>
  </si>
  <si>
    <t>(1/10)</t>
  </si>
  <si>
    <t>Admilson</t>
  </si>
  <si>
    <t>(1/11)</t>
  </si>
  <si>
    <t>Agnaldo</t>
  </si>
  <si>
    <t>(1/12)</t>
  </si>
  <si>
    <t>Aldemi</t>
  </si>
  <si>
    <t>(1/13)</t>
  </si>
  <si>
    <t>Aldo Gomes</t>
  </si>
  <si>
    <t>(1/14)</t>
  </si>
  <si>
    <t>Alessandro</t>
  </si>
  <si>
    <t>(1/15)</t>
  </si>
  <si>
    <t>Alexandre</t>
  </si>
  <si>
    <t>(1/16)</t>
  </si>
  <si>
    <t>Aline</t>
  </si>
  <si>
    <t>(1/17)</t>
  </si>
  <si>
    <t>Alison Zille</t>
  </si>
  <si>
    <t>Ana Clara</t>
  </si>
  <si>
    <t>(1/4)</t>
  </si>
  <si>
    <t>André Canela</t>
  </si>
  <si>
    <t>(1/5)</t>
  </si>
  <si>
    <t>Andreia</t>
  </si>
  <si>
    <t>(1/6)</t>
  </si>
  <si>
    <t>Antônio</t>
  </si>
  <si>
    <t>(1/7)</t>
  </si>
  <si>
    <t>Arilson</t>
  </si>
  <si>
    <t>(1/8)</t>
  </si>
  <si>
    <t>Arthur</t>
  </si>
  <si>
    <t>(1/9)</t>
  </si>
  <si>
    <t>Ataliba</t>
  </si>
  <si>
    <t>(2/1)</t>
  </si>
  <si>
    <t>Bergston</t>
  </si>
  <si>
    <t>(2/2)</t>
  </si>
  <si>
    <t>Bruna Porto</t>
  </si>
  <si>
    <t>(2/3)</t>
  </si>
  <si>
    <t>Bruno</t>
  </si>
  <si>
    <t>(2/4)</t>
  </si>
  <si>
    <t>Cani</t>
  </si>
  <si>
    <t>(2/5)</t>
  </si>
  <si>
    <t>Carla</t>
  </si>
  <si>
    <t>(2/6)</t>
  </si>
  <si>
    <t>Cláudia</t>
  </si>
  <si>
    <t>(3/10)</t>
  </si>
  <si>
    <t>(3/11)</t>
  </si>
  <si>
    <t>Crhistophe</t>
  </si>
  <si>
    <t>(3/7)</t>
  </si>
  <si>
    <t>Cristiane</t>
  </si>
  <si>
    <t>(3/8)</t>
  </si>
  <si>
    <t>Daniela</t>
  </si>
  <si>
    <t>(3/9)</t>
  </si>
  <si>
    <t>Danielle Miranda</t>
  </si>
  <si>
    <t>(Agricult. I)</t>
  </si>
  <si>
    <t>Diego Carvalho</t>
  </si>
  <si>
    <t>(Agricult. II)</t>
  </si>
  <si>
    <t>Edilson</t>
  </si>
  <si>
    <t>(Agricult. III)</t>
  </si>
  <si>
    <t>Edna</t>
  </si>
  <si>
    <t>(Agroin. 1)</t>
  </si>
  <si>
    <t>Eduardo Garrido</t>
  </si>
  <si>
    <t>(Agroin. 2)</t>
  </si>
  <si>
    <t>Eilson Santiago</t>
  </si>
  <si>
    <t>(Anexo Lab. Solos)</t>
  </si>
  <si>
    <t>Élcio José</t>
  </si>
  <si>
    <t>(CELIN 1)</t>
  </si>
  <si>
    <t>Elza</t>
  </si>
  <si>
    <t>(CELIN 2)</t>
  </si>
  <si>
    <t>Emille</t>
  </si>
  <si>
    <t>(HV 1)</t>
  </si>
  <si>
    <t>Érica</t>
  </si>
  <si>
    <t>(HV 2)</t>
  </si>
  <si>
    <t>Evelyn</t>
  </si>
  <si>
    <t>(HV 3)</t>
  </si>
  <si>
    <t>Fabiano</t>
  </si>
  <si>
    <t>(HV 4)</t>
  </si>
  <si>
    <t>Fabiene</t>
  </si>
  <si>
    <t>(Lab. 1 - Info)</t>
  </si>
  <si>
    <t>Felipe Cimino</t>
  </si>
  <si>
    <t>(Lab. 2 - Info)</t>
  </si>
  <si>
    <t>Felipe Ferres</t>
  </si>
  <si>
    <t>(Lab. 3 - Info)</t>
  </si>
  <si>
    <t>Fernanda</t>
  </si>
  <si>
    <t>(Lab. 4 - Info)</t>
  </si>
  <si>
    <t>Fernando Matos</t>
  </si>
  <si>
    <t>(Lab. Análise Alim.)</t>
  </si>
  <si>
    <t>Filipe</t>
  </si>
  <si>
    <t>(Lab. Bromatologia)</t>
  </si>
  <si>
    <t>Frederico</t>
  </si>
  <si>
    <t>Gera Jr.</t>
  </si>
  <si>
    <t>(Lab. Carnes)</t>
  </si>
  <si>
    <t>Gera Magela</t>
  </si>
  <si>
    <t>(Lab. Fenôm. de Transportes)</t>
  </si>
  <si>
    <t>Gerson</t>
  </si>
  <si>
    <t>(Lab. Fis. Quim.)</t>
  </si>
  <si>
    <t>Geycy</t>
  </si>
  <si>
    <t>(Lab. Física - Experimental)</t>
  </si>
  <si>
    <t>Giovanni</t>
  </si>
  <si>
    <t>(Lab. Física - Moderna)</t>
  </si>
  <si>
    <t>Giuliana</t>
  </si>
  <si>
    <t>(Lab. Física - Rec. Didáticos)</t>
  </si>
  <si>
    <t>Guilherme Carvalho</t>
  </si>
  <si>
    <t>(Lab. Física - Robótica)</t>
  </si>
  <si>
    <t>Higor</t>
  </si>
  <si>
    <t>(Lab. Invertebrados)</t>
  </si>
  <si>
    <t>Isis</t>
  </si>
  <si>
    <t>(Lab. Microscopia)</t>
  </si>
  <si>
    <t>Jairo</t>
  </si>
  <si>
    <t>(Lab. Práticas Pedagógicas)</t>
  </si>
  <si>
    <t>(Lab. Química I)</t>
  </si>
  <si>
    <t>Jamerson Rezende</t>
  </si>
  <si>
    <t>(Lab. Química II)</t>
  </si>
  <si>
    <t>Jane Bruna</t>
  </si>
  <si>
    <t>(Lab. Química)</t>
  </si>
  <si>
    <t>Jean</t>
  </si>
  <si>
    <t>(Lab. Redes)</t>
  </si>
  <si>
    <t>Jerffson Lucas</t>
  </si>
  <si>
    <t>(LEM)</t>
  </si>
  <si>
    <t>Jéssica</t>
  </si>
  <si>
    <t>(Mini 1)</t>
  </si>
  <si>
    <t>Joaquim Comini</t>
  </si>
  <si>
    <t>(Mini 2)</t>
  </si>
  <si>
    <t>Juliana Diniz</t>
  </si>
  <si>
    <t>(Sala de Topografia)</t>
  </si>
  <si>
    <t>Juliana Zara</t>
  </si>
  <si>
    <t>(Sala Suinocultura)</t>
  </si>
  <si>
    <t>Kélcio</t>
  </si>
  <si>
    <t>(Setor de Vegetais)</t>
  </si>
  <si>
    <t>Kelly</t>
  </si>
  <si>
    <t>(Sl. Análise Alim.)</t>
  </si>
  <si>
    <t>Laio</t>
  </si>
  <si>
    <t>(Sl. Análise Sensorial)</t>
  </si>
  <si>
    <t>Lays</t>
  </si>
  <si>
    <t>(Sl. Fenômenos)</t>
  </si>
  <si>
    <t>Leandro</t>
  </si>
  <si>
    <t>(Sl. Oficina)</t>
  </si>
  <si>
    <t>Leonardo Coelho</t>
  </si>
  <si>
    <t>(Zoo II)</t>
  </si>
  <si>
    <t>Leonardo Humberto</t>
  </si>
  <si>
    <t>(Zoo III)</t>
  </si>
  <si>
    <t>Lídia</t>
  </si>
  <si>
    <t>CELIN 3</t>
  </si>
  <si>
    <t>Clínica do HV</t>
  </si>
  <si>
    <t>Lívia</t>
  </si>
  <si>
    <t>Lab. Paras. Vet.</t>
  </si>
  <si>
    <t>Luana</t>
  </si>
  <si>
    <t>Lab. de Anat. Vet.</t>
  </si>
  <si>
    <t>Lucas Diego</t>
  </si>
  <si>
    <t>Lab. de Histologia</t>
  </si>
  <si>
    <t>Lucas Fernando</t>
  </si>
  <si>
    <t>Lab. de Imagem</t>
  </si>
  <si>
    <t>Luciano</t>
  </si>
  <si>
    <t>Lab. de Madeira</t>
  </si>
  <si>
    <t>Luciene</t>
  </si>
  <si>
    <t>Lab. de Microbio. Vet.</t>
  </si>
  <si>
    <t>Luiz Fernando</t>
  </si>
  <si>
    <t>Lab. Microbiologia</t>
  </si>
  <si>
    <t>Magalhães</t>
  </si>
  <si>
    <t>Lab. Pat. Animal</t>
  </si>
  <si>
    <t>Magnovaldo</t>
  </si>
  <si>
    <t>Lab. Reprodução Animal</t>
  </si>
  <si>
    <t>Marcelo Rossi</t>
  </si>
  <si>
    <t>(Zoo I)</t>
  </si>
  <si>
    <t>Márcia Antunes</t>
  </si>
  <si>
    <t>(HV5)</t>
  </si>
  <si>
    <t>Márcia Martins</t>
  </si>
  <si>
    <t>(EaD)</t>
  </si>
  <si>
    <t>Marco Aurélio</t>
  </si>
  <si>
    <t>(CeaD)</t>
  </si>
  <si>
    <t>Maria Madalena</t>
  </si>
  <si>
    <t>(Ambulatórios)</t>
  </si>
  <si>
    <t>Marinalva</t>
  </si>
  <si>
    <t>Mário</t>
  </si>
  <si>
    <t>Márlio</t>
  </si>
  <si>
    <t>Mayara</t>
  </si>
  <si>
    <t>Michellia</t>
  </si>
  <si>
    <t>Nilmar</t>
  </si>
  <si>
    <t>Nilsa</t>
  </si>
  <si>
    <t>Patrícia Lima</t>
  </si>
  <si>
    <t>Patrícia Lucas</t>
  </si>
  <si>
    <t>Patrícia Ramires</t>
  </si>
  <si>
    <t>Paulo Eduardo</t>
  </si>
  <si>
    <t>Paulo Henrique</t>
  </si>
  <si>
    <t>Poliana</t>
  </si>
  <si>
    <t>Rafael</t>
  </si>
  <si>
    <t>Ramon</t>
  </si>
  <si>
    <t>Renata</t>
  </si>
  <si>
    <t>Ricardo</t>
  </si>
  <si>
    <t>Roberta</t>
  </si>
  <si>
    <t>Roberto</t>
  </si>
  <si>
    <t>Rodrigo Freitas</t>
  </si>
  <si>
    <t>Rodrigo Nogueira</t>
  </si>
  <si>
    <t>Rosana</t>
  </si>
  <si>
    <t>Rosi</t>
  </si>
  <si>
    <t>Sérgio</t>
  </si>
  <si>
    <t>Tatianne</t>
  </si>
  <si>
    <t>Thaís</t>
  </si>
  <si>
    <t>Thaís Larissa</t>
  </si>
  <si>
    <t>Thaís Rios</t>
  </si>
  <si>
    <t>Tiago Caminha</t>
  </si>
  <si>
    <t>Vailton</t>
  </si>
  <si>
    <t>Valéria</t>
  </si>
  <si>
    <t>Vanessa Paulino</t>
  </si>
  <si>
    <t>Vanessa Santana</t>
  </si>
  <si>
    <t>Vinícius</t>
  </si>
  <si>
    <t>Vinícius Figueiredo</t>
  </si>
  <si>
    <t>Viviane</t>
  </si>
  <si>
    <t>Wagner</t>
  </si>
  <si>
    <t>Walter</t>
  </si>
  <si>
    <t>Wesley</t>
  </si>
  <si>
    <t>Willian Andrade</t>
  </si>
  <si>
    <t>Willian Fernandes</t>
  </si>
  <si>
    <t>Zélia</t>
  </si>
  <si>
    <t>CH - Médio</t>
  </si>
  <si>
    <t>CH - Grad.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</si>
</sst>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12.0"/>
      <color rgb="FF000000"/>
      <name val="Arial"/>
    </font>
    <font>
      <color theme="1"/>
      <name val="Arial"/>
    </font>
    <font>
      <b/>
      <sz val="10.0"/>
      <color theme="1"/>
      <name val="Arial"/>
    </font>
    <font>
      <b/>
      <sz val="11.0"/>
      <color rgb="FF000000"/>
      <name val="Arial"/>
    </font>
    <font/>
    <font>
      <b/>
      <sz val="18.0"/>
      <color theme="1"/>
      <name val="Arial"/>
    </font>
    <font>
      <b/>
      <sz val="20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b/>
      <color theme="1"/>
      <name val="Arial"/>
    </font>
    <font>
      <sz val="10.0"/>
      <color theme="1"/>
      <name val="Arial"/>
    </font>
    <font>
      <sz val="9.0"/>
      <color rgb="FF000000"/>
      <name val="Arial"/>
    </font>
    <font>
      <b/>
      <color rgb="FF000000"/>
      <name val="Arial"/>
    </font>
    <font>
      <color rgb="FF000000"/>
      <name val="Arial"/>
    </font>
    <font>
      <sz val="10.0"/>
      <color rgb="FF000000"/>
      <name val="Arial"/>
    </font>
    <font>
      <sz val="8.0"/>
      <color theme="1"/>
      <name val="Arial"/>
    </font>
    <font>
      <sz val="10.0"/>
      <color rgb="FF1F1F1F"/>
      <name val="Aptos"/>
    </font>
    <font>
      <b/>
      <sz val="8.0"/>
      <color rgb="FF000000"/>
      <name val="Arial"/>
    </font>
    <font>
      <sz val="10.0"/>
      <color rgb="FF1F1F1F"/>
      <name val="Arial"/>
    </font>
    <font>
      <sz val="10.0"/>
      <color rgb="FFFF0000"/>
      <name val="Arial"/>
    </font>
    <font>
      <color rgb="FFFF0000"/>
      <name val="Arial"/>
    </font>
    <font>
      <sz val="10.0"/>
      <color theme="1"/>
      <name val="Calibri"/>
    </font>
    <font>
      <b/>
      <sz val="8.0"/>
      <color theme="1"/>
      <name val="Arial"/>
    </font>
    <font>
      <sz val="12.0"/>
      <color theme="1"/>
      <name val="Arial"/>
    </font>
    <font>
      <sz val="12.0"/>
      <color rgb="FF0000FF"/>
      <name val="Arial"/>
    </font>
    <font>
      <b/>
      <sz val="12.0"/>
      <color theme="1"/>
      <name val="Arial"/>
    </font>
    <font>
      <sz val="11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AF2F8"/>
        <bgColor rgb="FFEAF2F8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0" fillId="3" fontId="7" numFmtId="0" xfId="0" applyAlignment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3" fillId="2" fontId="9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3" fillId="2" fontId="10" numFmtId="0" xfId="0" applyAlignment="1" applyBorder="1" applyFill="1" applyFont="1">
      <alignment horizontal="center" shrinkToFit="0" vertical="center" wrapText="1"/>
    </xf>
    <xf borderId="2" fillId="2" fontId="9" numFmtId="0" xfId="0" applyAlignment="1" applyBorder="1" applyFill="1" applyFont="1">
      <alignment horizontal="center" shrinkToFit="0" vertical="center" wrapText="1"/>
    </xf>
    <xf borderId="3" fillId="2" fontId="11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ill="1" applyFont="1">
      <alignment horizontal="center" shrinkToFit="0" textRotation="90" vertical="center" wrapText="1"/>
    </xf>
    <xf borderId="3" fillId="2" fontId="12" numFmtId="0" xfId="0" applyAlignment="1" applyBorder="1" applyFill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3" fillId="2" fontId="14" numFmtId="0" xfId="0" applyAlignment="1" applyBorder="1" applyFill="1" applyFont="1">
      <alignment horizontal="center" shrinkToFit="0" vertical="center" wrapText="1"/>
    </xf>
    <xf borderId="3" fillId="6" fontId="9" numFmtId="0" xfId="0" applyAlignment="1" applyBorder="1" applyFill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7" fontId="12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0" fillId="0" fontId="16" numFmtId="0" xfId="0" applyFont="1"/>
    <xf borderId="3" fillId="3" fontId="12" numFmtId="0" xfId="0" applyAlignment="1" applyBorder="1" applyFill="1" applyFont="1">
      <alignment horizontal="center" shrinkToFit="0" vertical="center" wrapText="1"/>
    </xf>
    <xf borderId="7" fillId="2" fontId="14" numFmtId="0" xfId="0" applyAlignment="1" applyBorder="1" applyFill="1" applyFont="1">
      <alignment horizontal="center" shrinkToFit="0" vertical="center" wrapText="1"/>
    </xf>
    <xf borderId="3" fillId="2" fontId="10" numFmtId="0" xfId="0" applyAlignment="1" applyBorder="1" applyFill="1" applyFont="1">
      <alignment horizontal="center" shrinkToFit="0" wrapText="1"/>
    </xf>
    <xf borderId="8" fillId="0" fontId="6" numFmtId="0" xfId="0" applyBorder="1" applyFont="1"/>
    <xf borderId="6" fillId="2" fontId="11" numFmtId="0" xfId="0" applyAlignment="1" applyBorder="1" applyFill="1" applyFont="1">
      <alignment horizontal="center" shrinkToFit="0" textRotation="90" vertical="center" wrapText="1"/>
    </xf>
    <xf borderId="3" fillId="8" fontId="17" numFmtId="0" xfId="0" applyAlignment="1" applyBorder="1" applyFill="1" applyFont="1">
      <alignment horizontal="center" shrinkToFit="0" vertical="center" wrapText="1"/>
    </xf>
    <xf borderId="3" fillId="9" fontId="3" numFmtId="0" xfId="0" applyAlignment="1" applyBorder="1" applyFill="1" applyFont="1">
      <alignment horizontal="center" shrinkToFit="0" vertical="center" wrapText="1"/>
    </xf>
    <xf borderId="3" fillId="6" fontId="12" numFmtId="0" xfId="0" applyAlignment="1" applyBorder="1" applyFill="1" applyFont="1">
      <alignment horizontal="center" shrinkToFit="0" vertical="center" wrapText="1"/>
    </xf>
    <xf borderId="7" fillId="9" fontId="3" numFmtId="0" xfId="0" applyAlignment="1" applyBorder="1" applyFill="1" applyFont="1">
      <alignment horizontal="center" shrinkToFit="0" vertical="center" wrapText="1"/>
    </xf>
    <xf borderId="3" fillId="8" fontId="10" numFmtId="0" xfId="0" applyAlignment="1" applyBorder="1" applyFill="1" applyFont="1">
      <alignment horizontal="center" shrinkToFit="0" vertical="center" wrapText="1"/>
    </xf>
    <xf borderId="9" fillId="9" fontId="3" numFmtId="0" xfId="0" applyAlignment="1" applyBorder="1" applyFill="1" applyFont="1">
      <alignment horizontal="center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3" fillId="10" fontId="3" numFmtId="0" xfId="0" applyAlignment="1" applyBorder="1" applyFill="1" applyFont="1">
      <alignment horizontal="center" shrinkToFit="0" vertical="center" wrapText="1"/>
    </xf>
    <xf borderId="7" fillId="10" fontId="3" numFmtId="0" xfId="0" applyAlignment="1" applyBorder="1" applyFill="1" applyFont="1">
      <alignment horizontal="center" shrinkToFit="0" vertical="center" wrapText="1"/>
    </xf>
    <xf borderId="2" fillId="10" fontId="3" numFmtId="0" xfId="0" applyAlignment="1" applyBorder="1" applyFill="1" applyFont="1">
      <alignment horizontal="center" shrinkToFit="0" vertical="center" wrapText="1"/>
    </xf>
    <xf borderId="9" fillId="10" fontId="3" numFmtId="0" xfId="0" applyAlignment="1" applyBorder="1" applyFill="1" applyFont="1">
      <alignment horizontal="center" shrinkToFit="0" vertical="center" wrapText="1"/>
    </xf>
    <xf borderId="3" fillId="11" fontId="12" numFmtId="0" xfId="0" applyAlignment="1" applyBorder="1" applyFill="1" applyFont="1">
      <alignment horizontal="center" shrinkToFit="0" vertical="center" wrapText="1"/>
    </xf>
    <xf borderId="9" fillId="12" fontId="3" numFmtId="0" xfId="0" applyAlignment="1" applyBorder="1" applyFill="1" applyFont="1">
      <alignment horizontal="center" shrinkToFit="0" vertical="center" wrapText="1"/>
    </xf>
    <xf borderId="3" fillId="13" fontId="12" numFmtId="0" xfId="0" applyAlignment="1" applyBorder="1" applyFill="1" applyFont="1">
      <alignment horizontal="center" shrinkToFit="0" vertical="center" wrapText="1"/>
    </xf>
    <xf borderId="7" fillId="12" fontId="3" numFmtId="0" xfId="0" applyAlignment="1" applyBorder="1" applyFill="1" applyFont="1">
      <alignment horizontal="center" shrinkToFit="0" vertical="center" wrapText="1"/>
    </xf>
    <xf borderId="3" fillId="13" fontId="16" numFmtId="0" xfId="0" applyAlignment="1" applyBorder="1" applyFill="1" applyFont="1">
      <alignment horizontal="center" shrinkToFit="0" vertical="center" wrapText="1"/>
    </xf>
    <xf borderId="2" fillId="12" fontId="3" numFmtId="0" xfId="0" applyAlignment="1" applyBorder="1" applyFill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9" fillId="14" fontId="3" numFmtId="0" xfId="0" applyAlignment="1" applyBorder="1" applyFill="1" applyFont="1">
      <alignment horizontal="center" shrinkToFit="0" vertical="center" wrapText="1"/>
    </xf>
    <xf borderId="3" fillId="13" fontId="3" numFmtId="0" xfId="0" applyAlignment="1" applyBorder="1" applyFill="1" applyFont="1">
      <alignment vertical="center"/>
    </xf>
    <xf borderId="3" fillId="15" fontId="18" numFmtId="0" xfId="0" applyAlignment="1" applyBorder="1" applyFill="1" applyFont="1">
      <alignment horizontal="center" shrinkToFit="0" vertical="center" wrapText="1"/>
    </xf>
    <xf borderId="9" fillId="12" fontId="3" numFmtId="0" xfId="0" applyAlignment="1" applyBorder="1" applyFill="1" applyFont="1">
      <alignment vertical="center"/>
    </xf>
    <xf borderId="3" fillId="3" fontId="16" numFmtId="0" xfId="0" applyAlignment="1" applyBorder="1" applyFill="1" applyFont="1">
      <alignment horizontal="center" shrinkToFit="0" vertical="center" wrapText="1"/>
    </xf>
    <xf borderId="3" fillId="13" fontId="3" numFmtId="0" xfId="0" applyAlignment="1" applyBorder="1" applyFill="1" applyFont="1">
      <alignment horizontal="center" vertical="center"/>
    </xf>
    <xf borderId="3" fillId="6" fontId="14" numFmtId="0" xfId="0" applyAlignment="1" applyBorder="1" applyFill="1" applyFont="1">
      <alignment horizontal="center" shrinkToFit="0" vertical="center" wrapText="1"/>
    </xf>
    <xf borderId="3" fillId="6" fontId="12" numFmtId="0" xfId="0" applyAlignment="1" applyBorder="1" applyFill="1" applyFont="1">
      <alignment vertical="center"/>
    </xf>
    <xf borderId="7" fillId="6" fontId="3" numFmtId="0" xfId="0" applyAlignment="1" applyBorder="1" applyFill="1" applyFont="1">
      <alignment vertical="center"/>
    </xf>
    <xf borderId="7" fillId="0" fontId="6" numFmtId="0" xfId="0" applyBorder="1" applyFont="1"/>
    <xf borderId="3" fillId="6" fontId="10" numFmtId="0" xfId="0" applyAlignment="1" applyBorder="1" applyFill="1" applyFont="1">
      <alignment horizontal="center" shrinkToFit="0" wrapText="1"/>
    </xf>
    <xf borderId="9" fillId="6" fontId="3" numFmtId="0" xfId="0" applyAlignment="1" applyBorder="1" applyFill="1" applyFont="1">
      <alignment vertical="center"/>
    </xf>
    <xf borderId="3" fillId="3" fontId="1" numFmtId="0" xfId="0" applyAlignment="1" applyBorder="1" applyFill="1" applyFont="1">
      <alignment horizontal="center" shrinkToFit="0" vertical="center" wrapText="1"/>
    </xf>
    <xf borderId="9" fillId="16" fontId="3" numFmtId="0" xfId="0" applyAlignment="1" applyBorder="1" applyFill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3" fillId="16" fontId="3" numFmtId="0" xfId="0" applyAlignment="1" applyBorder="1" applyFill="1" applyFont="1">
      <alignment vertical="center"/>
    </xf>
    <xf borderId="3" fillId="6" fontId="3" numFmtId="0" xfId="0" applyAlignment="1" applyBorder="1" applyFill="1" applyFont="1">
      <alignment vertical="center"/>
    </xf>
    <xf borderId="7" fillId="14" fontId="3" numFmtId="0" xfId="0" applyAlignment="1" applyBorder="1" applyFill="1" applyFont="1">
      <alignment horizontal="center" shrinkToFit="0" vertical="center" wrapText="1"/>
    </xf>
    <xf borderId="7" fillId="13" fontId="3" numFmtId="0" xfId="0" applyAlignment="1" applyBorder="1" applyFill="1" applyFont="1">
      <alignment horizontal="center" shrinkToFit="0" vertical="center" wrapText="1"/>
    </xf>
    <xf borderId="2" fillId="10" fontId="3" numFmtId="0" xfId="0" applyAlignment="1" applyBorder="1" applyFill="1" applyFont="1">
      <alignment vertical="center"/>
    </xf>
    <xf borderId="3" fillId="6" fontId="10" numFmtId="0" xfId="0" applyAlignment="1" applyBorder="1" applyFill="1" applyFont="1">
      <alignment horizontal="center" shrinkToFit="0" vertical="center" wrapText="1"/>
    </xf>
    <xf borderId="3" fillId="12" fontId="3" numFmtId="0" xfId="0" applyAlignment="1" applyBorder="1" applyFill="1" applyFont="1">
      <alignment horizontal="center" vertical="center"/>
    </xf>
    <xf borderId="3" fillId="3" fontId="19" numFmtId="0" xfId="0" applyAlignment="1" applyBorder="1" applyFill="1" applyFont="1">
      <alignment horizontal="center" shrinkToFit="0" vertical="center" wrapText="1"/>
    </xf>
    <xf borderId="9" fillId="13" fontId="3" numFmtId="0" xfId="0" applyAlignment="1" applyBorder="1" applyFill="1" applyFont="1">
      <alignment horizontal="center" shrinkToFit="0" vertical="center" wrapText="1"/>
    </xf>
    <xf borderId="3" fillId="13" fontId="12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3" fillId="9" fontId="3" numFmtId="0" xfId="0" applyAlignment="1" applyBorder="1" applyFill="1" applyFont="1">
      <alignment vertical="center"/>
    </xf>
    <xf borderId="3" fillId="0" fontId="20" numFmtId="0" xfId="0" applyAlignment="1" applyBorder="1" applyFont="1">
      <alignment horizontal="center" shrinkToFit="0" vertical="center" wrapText="1"/>
    </xf>
    <xf borderId="9" fillId="10" fontId="3" numFmtId="0" xfId="0" applyAlignment="1" applyBorder="1" applyFill="1" applyFont="1">
      <alignment vertical="center"/>
    </xf>
    <xf borderId="3" fillId="7" fontId="3" numFmtId="0" xfId="0" applyAlignment="1" applyBorder="1" applyFill="1" applyFont="1">
      <alignment horizontal="center" shrinkToFit="0" vertical="center" wrapText="1"/>
    </xf>
    <xf borderId="2" fillId="14" fontId="3" numFmtId="0" xfId="0" applyAlignment="1" applyBorder="1" applyFill="1" applyFont="1">
      <alignment vertical="center"/>
    </xf>
    <xf borderId="3" fillId="13" fontId="3" numFmtId="0" xfId="0" applyAlignment="1" applyBorder="1" applyFill="1" applyFont="1">
      <alignment horizontal="center" shrinkToFit="0" vertical="center" wrapText="1"/>
    </xf>
    <xf borderId="3" fillId="3" fontId="21" numFmtId="0" xfId="0" applyAlignment="1" applyBorder="1" applyFill="1" applyFont="1">
      <alignment horizontal="center" shrinkToFit="0" vertical="center" wrapText="1"/>
    </xf>
    <xf borderId="7" fillId="10" fontId="3" numFmtId="0" xfId="0" applyAlignment="1" applyBorder="1" applyFill="1" applyFont="1">
      <alignment vertical="center"/>
    </xf>
    <xf borderId="3" fillId="12" fontId="3" numFmtId="0" xfId="0" applyAlignment="1" applyBorder="1" applyFill="1" applyFont="1">
      <alignment horizontal="center" shrinkToFit="0" vertical="center" wrapText="1"/>
    </xf>
    <xf borderId="3" fillId="14" fontId="3" numFmtId="0" xfId="0" applyAlignment="1" applyBorder="1" applyFill="1" applyFont="1">
      <alignment horizontal="center" vertical="center"/>
    </xf>
    <xf borderId="3" fillId="7" fontId="20" numFmtId="0" xfId="0" applyAlignment="1" applyBorder="1" applyFill="1" applyFont="1">
      <alignment horizontal="center" shrinkToFit="0" vertical="center" wrapText="1"/>
    </xf>
    <xf borderId="3" fillId="17" fontId="15" numFmtId="0" xfId="0" applyAlignment="1" applyBorder="1" applyFill="1" applyFont="1">
      <alignment horizontal="center" shrinkToFit="0" vertical="center" wrapText="1"/>
    </xf>
    <xf borderId="3" fillId="17" fontId="3" numFmtId="0" xfId="0" applyAlignment="1" applyBorder="1" applyFill="1" applyFont="1">
      <alignment vertical="center"/>
    </xf>
    <xf borderId="7" fillId="17" fontId="3" numFmtId="0" xfId="0" applyAlignment="1" applyBorder="1" applyFill="1" applyFont="1">
      <alignment vertical="center"/>
    </xf>
    <xf borderId="9" fillId="17" fontId="3" numFmtId="0" xfId="0" applyAlignment="1" applyBorder="1" applyFill="1" applyFont="1">
      <alignment vertical="center"/>
    </xf>
    <xf borderId="7" fillId="2" fontId="11" numFmtId="0" xfId="0" applyAlignment="1" applyBorder="1" applyFill="1" applyFont="1">
      <alignment horizontal="center" shrinkToFit="0" vertical="center" wrapText="1"/>
    </xf>
    <xf borderId="9" fillId="2" fontId="11" numFmtId="0" xfId="0" applyAlignment="1" applyBorder="1" applyFill="1" applyFont="1">
      <alignment horizontal="center" shrinkToFit="0" vertical="center" wrapText="1"/>
    </xf>
    <xf borderId="3" fillId="2" fontId="16" numFmtId="0" xfId="0" applyAlignment="1" applyBorder="1" applyFill="1" applyFont="1">
      <alignment horizontal="center" shrinkToFit="0" vertical="center" wrapText="1"/>
    </xf>
    <xf borderId="3" fillId="3" fontId="22" numFmtId="0" xfId="0" applyAlignment="1" applyBorder="1" applyFill="1" applyFont="1">
      <alignment horizontal="center" shrinkToFit="0" vertical="center" wrapText="1"/>
    </xf>
    <xf borderId="3" fillId="14" fontId="3" numFmtId="0" xfId="0" applyAlignment="1" applyBorder="1" applyFill="1" applyFont="1">
      <alignment horizontal="center" shrinkToFit="0" vertical="center" wrapText="1"/>
    </xf>
    <xf borderId="3" fillId="17" fontId="12" numFmtId="0" xfId="0" applyAlignment="1" applyBorder="1" applyFill="1" applyFont="1">
      <alignment horizontal="center" shrinkToFit="0" vertical="center" wrapText="1"/>
    </xf>
    <xf borderId="3" fillId="6" fontId="16" numFmtId="0" xfId="0" applyAlignment="1" applyBorder="1" applyFill="1" applyFont="1">
      <alignment horizontal="center" shrinkToFit="0" vertical="center" wrapText="1"/>
    </xf>
    <xf borderId="2" fillId="12" fontId="3" numFmtId="0" xfId="0" applyAlignment="1" applyBorder="1" applyFill="1" applyFont="1">
      <alignment vertical="center"/>
    </xf>
    <xf borderId="3" fillId="16" fontId="12" numFmtId="0" xfId="0" applyAlignment="1" applyBorder="1" applyFill="1" applyFont="1">
      <alignment horizontal="center" shrinkToFit="0" vertical="center" wrapText="1"/>
    </xf>
    <xf borderId="2" fillId="14" fontId="3" numFmtId="0" xfId="0" applyAlignment="1" applyBorder="1" applyFill="1" applyFont="1">
      <alignment horizontal="center" shrinkToFit="0" vertical="center" wrapText="1"/>
    </xf>
    <xf borderId="7" fillId="12" fontId="3" numFmtId="0" xfId="0" applyAlignment="1" applyBorder="1" applyFill="1" applyFont="1">
      <alignment vertical="center"/>
    </xf>
    <xf borderId="7" fillId="16" fontId="3" numFmtId="0" xfId="0" applyAlignment="1" applyBorder="1" applyFill="1" applyFont="1">
      <alignment vertical="center"/>
    </xf>
    <xf borderId="9" fillId="12" fontId="3" numFmtId="0" xfId="0" applyAlignment="1" applyBorder="1" applyFill="1" applyFont="1">
      <alignment horizontal="center" vertical="center"/>
    </xf>
    <xf borderId="3" fillId="0" fontId="23" numFmtId="0" xfId="0" applyAlignment="1" applyBorder="1" applyFont="1">
      <alignment horizontal="center" shrinkToFit="0" vertical="center" wrapText="1"/>
    </xf>
    <xf borderId="9" fillId="13" fontId="3" numFmtId="0" xfId="0" applyAlignment="1" applyBorder="1" applyFill="1" applyFont="1">
      <alignment vertical="center"/>
    </xf>
    <xf borderId="3" fillId="13" fontId="21" numFmtId="0" xfId="0" applyAlignment="1" applyBorder="1" applyFill="1" applyFont="1">
      <alignment horizontal="center" shrinkToFit="0" vertical="center" wrapText="1"/>
    </xf>
    <xf borderId="3" fillId="18" fontId="3" numFmtId="0" xfId="0" applyAlignment="1" applyBorder="1" applyFill="1" applyFont="1">
      <alignment vertical="center"/>
    </xf>
    <xf borderId="3" fillId="0" fontId="21" numFmtId="0" xfId="0" applyAlignment="1" applyBorder="1" applyFont="1">
      <alignment horizontal="center" shrinkToFit="0" vertical="center" wrapText="1"/>
    </xf>
    <xf borderId="9" fillId="18" fontId="3" numFmtId="0" xfId="0" applyAlignment="1" applyBorder="1" applyFill="1" applyFont="1">
      <alignment vertical="center"/>
    </xf>
    <xf borderId="2" fillId="18" fontId="3" numFmtId="0" xfId="0" applyAlignment="1" applyBorder="1" applyFill="1" applyFont="1">
      <alignment vertical="center"/>
    </xf>
    <xf borderId="7" fillId="18" fontId="3" numFmtId="0" xfId="0" applyAlignment="1" applyBorder="1" applyFill="1" applyFont="1">
      <alignment vertical="center"/>
    </xf>
    <xf borderId="9" fillId="18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7" fillId="9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vertical="center"/>
    </xf>
    <xf borderId="3" fillId="0" fontId="18" numFmtId="0" xfId="0" applyAlignment="1" applyBorder="1" applyFont="1">
      <alignment horizontal="center" shrinkToFit="0" vertical="center" wrapText="1"/>
    </xf>
    <xf borderId="9" fillId="9" fontId="3" numFmtId="0" xfId="0" applyAlignment="1" applyBorder="1" applyFill="1" applyFont="1">
      <alignment vertical="center"/>
    </xf>
    <xf borderId="7" fillId="9" fontId="3" numFmtId="0" xfId="0" applyAlignment="1" applyBorder="1" applyFill="1" applyFont="1">
      <alignment vertical="center"/>
    </xf>
    <xf borderId="3" fillId="12" fontId="3" numFmtId="0" xfId="0" applyAlignment="1" applyBorder="1" applyFill="1" applyFont="1">
      <alignment vertical="center"/>
    </xf>
    <xf borderId="3" fillId="6" fontId="11" numFmtId="0" xfId="0" applyAlignment="1" applyBorder="1" applyFill="1" applyFont="1">
      <alignment horizontal="center" shrinkToFit="0" vertical="center" wrapText="1"/>
    </xf>
    <xf borderId="3" fillId="17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10" fillId="19" fontId="3" numFmtId="0" xfId="0" applyAlignment="1" applyBorder="1" applyFill="1" applyFont="1">
      <alignment horizontal="center" shrinkToFit="0" vertical="center" wrapText="1"/>
    </xf>
    <xf borderId="4" fillId="3" fontId="1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8" fillId="2" fontId="11" numFmtId="0" xfId="0" applyAlignment="1" applyBorder="1" applyFill="1" applyFont="1">
      <alignment horizontal="center" shrinkToFit="0" textRotation="90" vertical="center" wrapText="1"/>
    </xf>
    <xf borderId="0" fillId="0" fontId="17" numFmtId="0" xfId="0" applyAlignment="1" applyFont="1">
      <alignment horizontal="center" shrinkToFit="0" vertical="center" wrapText="1"/>
    </xf>
    <xf borderId="3" fillId="2" fontId="24" numFmtId="0" xfId="0" applyAlignment="1" applyBorder="1" applyFill="1" applyFont="1">
      <alignment horizontal="center" shrinkToFit="0" vertical="center" wrapText="1"/>
    </xf>
    <xf borderId="3" fillId="20" fontId="3" numFmtId="0" xfId="0" applyAlignment="1" applyBorder="1" applyFill="1" applyFont="1">
      <alignment horizontal="center" shrinkToFit="0" vertical="center" wrapText="1"/>
    </xf>
    <xf borderId="3" fillId="0" fontId="25" numFmtId="0" xfId="0" applyAlignment="1" applyBorder="1" applyFont="1">
      <alignment horizontal="center" shrinkToFit="0" vertical="center" wrapText="1"/>
    </xf>
    <xf borderId="3" fillId="0" fontId="26" numFmtId="0" xfId="0" applyAlignment="1" applyBorder="1" applyFont="1">
      <alignment horizontal="center" shrinkToFit="0" vertical="center" wrapText="1"/>
    </xf>
    <xf borderId="9" fillId="2" fontId="3" numFmtId="0" xfId="0" applyAlignment="1" applyBorder="1" applyFill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10" fillId="2" fontId="11" numFmtId="0" xfId="0" applyAlignment="1" applyBorder="1" applyFill="1" applyFont="1">
      <alignment horizontal="center" shrinkToFit="0" vertical="center" wrapText="1"/>
    </xf>
    <xf borderId="7" fillId="6" fontId="3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13" fontId="3" numFmtId="0" xfId="0" applyAlignment="1" applyBorder="1" applyFill="1" applyFont="1">
      <alignment horizontal="center" shrinkToFit="0" vertical="center" wrapText="1"/>
    </xf>
    <xf borderId="3" fillId="6" fontId="3" numFmtId="0" xfId="0" applyAlignment="1" applyBorder="1" applyFill="1" applyFont="1">
      <alignment horizontal="center" shrinkToFit="0" vertical="center" wrapText="1"/>
    </xf>
    <xf borderId="9" fillId="6" fontId="3" numFmtId="0" xfId="0" applyAlignment="1" applyBorder="1" applyFill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9" fillId="17" fontId="3" numFmtId="0" xfId="0" applyAlignment="1" applyBorder="1" applyFill="1" applyFont="1">
      <alignment horizontal="center" shrinkToFit="0" vertical="center" wrapText="1"/>
    </xf>
    <xf borderId="9" fillId="3" fontId="3" numFmtId="0" xfId="0" applyAlignment="1" applyBorder="1" applyFill="1" applyFont="1">
      <alignment horizontal="center" shrinkToFit="0" vertical="center" wrapText="1"/>
    </xf>
    <xf borderId="9" fillId="21" fontId="3" numFmtId="0" xfId="0" applyAlignment="1" applyBorder="1" applyFill="1" applyFont="1">
      <alignment horizontal="center" shrinkToFit="0" vertical="center" wrapText="1"/>
    </xf>
    <xf borderId="9" fillId="2" fontId="11" numFmtId="0" xfId="0" applyAlignment="1" applyBorder="1" applyFill="1" applyFont="1">
      <alignment horizontal="center" shrinkToFit="0" textRotation="9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3" fillId="8" fontId="13" numFmtId="0" xfId="0" applyAlignment="1" applyBorder="1" applyFill="1" applyFont="1">
      <alignment horizontal="center" shrinkToFit="0" vertical="center" wrapText="1"/>
    </xf>
    <xf borderId="3" fillId="2" fontId="27" numFmtId="0" xfId="0" applyAlignment="1" applyBorder="1" applyFill="1" applyFont="1">
      <alignment horizontal="center" shrinkToFit="0" vertical="center" wrapText="1"/>
    </xf>
    <xf borderId="3" fillId="2" fontId="27" numFmtId="49" xfId="0" applyAlignment="1" applyBorder="1" applyFill="1" applyFont="1" applyNumberFormat="1">
      <alignment horizontal="center" shrinkToFit="0" vertical="center" wrapText="1"/>
    </xf>
    <xf borderId="3" fillId="6" fontId="3" numFmtId="49" xfId="0" applyAlignment="1" applyBorder="1" applyFill="1" applyFont="1" applyNumberFormat="1">
      <alignment horizontal="center" shrinkToFit="0" vertical="center" wrapText="1"/>
    </xf>
    <xf borderId="3" fillId="6" fontId="28" numFmtId="0" xfId="0" applyAlignment="1" applyBorder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wrapText="1"/>
    </xf>
    <xf borderId="3" fillId="6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0" fillId="0" fontId="10" numFmtId="0" xfId="0" applyFont="1"/>
  </cellXfs>
  <cellStyles count="1">
    <cellStyle xfId="0" name="Normal" builtinId="0"/>
  </cellStyles>
  <dxfs count="6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>
        <b/>
        <color rgb="FF5B0F00"/>
      </font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.88"/>
    <col customWidth="1" min="2" max="2" width="10.88"/>
    <col customWidth="1" min="3" max="5" width="22.63"/>
    <col customWidth="1" min="6" max="6" width="22.5"/>
    <col customWidth="1" min="7" max="7" width="22.63"/>
    <col customWidth="1" min="8" max="8" width="2.63"/>
    <col customWidth="1" min="9" max="13" width="22.63"/>
    <col customWidth="1" min="14" max="14" width="2.63"/>
    <col customWidth="1" min="15" max="18" width="22.63"/>
    <col customWidth="1" min="19" max="19" width="2.63"/>
    <col customWidth="1" min="20" max="21" width="22.63"/>
    <col customWidth="1" min="22" max="22" width="23.75"/>
    <col customWidth="1" min="23" max="24" width="22.63"/>
    <col customWidth="1" min="25" max="25" width="2.63"/>
    <col customWidth="1" min="26" max="29" width="22.63"/>
    <col customWidth="1" min="30" max="30" width="2.63"/>
    <col customWidth="1" min="31" max="34" width="22.63"/>
    <col customWidth="1" min="35" max="35" width="2.63"/>
    <col customWidth="1" min="36" max="39" width="22.63"/>
    <col customWidth="1" min="40" max="40" width="2.63"/>
    <col customWidth="1" min="41" max="42" width="22.63"/>
    <col customWidth="1" min="43" max="43" width="20.5"/>
    <col customWidth="1" min="44" max="44" width="22.63"/>
    <col customWidth="1" min="45" max="45" width="2.63"/>
    <col customWidth="1" min="46" max="49" width="22.63"/>
  </cols>
  <sheetData>
    <row r="1" ht="15.75" customHeight="1">
      <c r="A1" s="6"/>
      <c r="B1" s="6"/>
      <c r="C1" s="9" t="str">
        <f>UPPER(E:E)</f>
        <v/>
      </c>
      <c r="D1" s="8"/>
      <c r="E1" s="8"/>
      <c r="F1" s="8"/>
      <c r="G1" s="10"/>
      <c r="H1" s="16"/>
      <c r="I1" s="9" t="s">
        <v>9</v>
      </c>
      <c r="J1" s="8"/>
      <c r="K1" s="8"/>
      <c r="L1" s="8"/>
      <c r="M1" s="10"/>
      <c r="N1" s="16"/>
      <c r="O1" s="9" t="s">
        <v>10</v>
      </c>
      <c r="P1" s="8"/>
      <c r="Q1" s="8"/>
      <c r="R1" s="10"/>
      <c r="S1" s="16"/>
      <c r="T1" s="9" t="s">
        <v>15</v>
      </c>
      <c r="U1" s="8"/>
      <c r="V1" s="8"/>
      <c r="W1" s="8"/>
      <c r="X1" s="10"/>
      <c r="Y1" s="16"/>
      <c r="Z1" s="9" t="s">
        <v>16</v>
      </c>
      <c r="AA1" s="8"/>
      <c r="AB1" s="8"/>
      <c r="AC1" s="10"/>
      <c r="AD1" s="16"/>
      <c r="AE1" s="9" t="s">
        <v>18</v>
      </c>
      <c r="AF1" s="8"/>
      <c r="AG1" s="8"/>
      <c r="AH1" s="10"/>
      <c r="AI1" s="16"/>
      <c r="AJ1" s="9" t="s">
        <v>19</v>
      </c>
      <c r="AK1" s="8"/>
      <c r="AL1" s="8"/>
      <c r="AM1" s="10"/>
      <c r="AN1" s="16"/>
      <c r="AO1" s="9" t="s">
        <v>21</v>
      </c>
      <c r="AP1" s="8"/>
      <c r="AQ1" s="8"/>
      <c r="AR1" s="10"/>
      <c r="AS1" s="16"/>
      <c r="AT1" s="9" t="s">
        <v>22</v>
      </c>
      <c r="AU1" s="8"/>
      <c r="AV1" s="8"/>
      <c r="AW1" s="10"/>
    </row>
    <row r="2" ht="15.75" customHeight="1">
      <c r="A2" s="6" t="s">
        <v>20</v>
      </c>
      <c r="B2" s="6" t="s">
        <v>23</v>
      </c>
      <c r="C2" s="6" t="s">
        <v>24</v>
      </c>
      <c r="D2" s="6" t="s">
        <v>27</v>
      </c>
      <c r="E2" s="6" t="s">
        <v>29</v>
      </c>
      <c r="F2" s="6" t="s">
        <v>32</v>
      </c>
      <c r="G2" s="6" t="s">
        <v>33</v>
      </c>
      <c r="H2" s="16"/>
      <c r="I2" s="6" t="s">
        <v>34</v>
      </c>
      <c r="J2" s="6" t="s">
        <v>36</v>
      </c>
      <c r="K2" s="6" t="s">
        <v>39</v>
      </c>
      <c r="L2" s="6" t="s">
        <v>42</v>
      </c>
      <c r="M2" s="6" t="s">
        <v>43</v>
      </c>
      <c r="N2" s="16"/>
      <c r="O2" s="6" t="s">
        <v>44</v>
      </c>
      <c r="P2" s="6" t="s">
        <v>45</v>
      </c>
      <c r="Q2" s="6" t="s">
        <v>46</v>
      </c>
      <c r="R2" s="6" t="s">
        <v>47</v>
      </c>
      <c r="S2" s="16"/>
      <c r="T2" s="6" t="s">
        <v>48</v>
      </c>
      <c r="U2" s="6" t="s">
        <v>49</v>
      </c>
      <c r="V2" s="6" t="s">
        <v>50</v>
      </c>
      <c r="W2" s="6" t="s">
        <v>51</v>
      </c>
      <c r="X2" s="6" t="s">
        <v>52</v>
      </c>
      <c r="Y2" s="16"/>
      <c r="Z2" s="6" t="s">
        <v>53</v>
      </c>
      <c r="AA2" s="6" t="s">
        <v>54</v>
      </c>
      <c r="AB2" s="6" t="s">
        <v>56</v>
      </c>
      <c r="AC2" s="6" t="s">
        <v>57</v>
      </c>
      <c r="AD2" s="16"/>
      <c r="AE2" s="6" t="s">
        <v>59</v>
      </c>
      <c r="AF2" s="6" t="s">
        <v>61</v>
      </c>
      <c r="AG2" s="6" t="s">
        <v>63</v>
      </c>
      <c r="AH2" s="6" t="s">
        <v>65</v>
      </c>
      <c r="AI2" s="16"/>
      <c r="AJ2" s="6" t="s">
        <v>66</v>
      </c>
      <c r="AK2" s="6" t="s">
        <v>67</v>
      </c>
      <c r="AL2" s="6" t="s">
        <v>68</v>
      </c>
      <c r="AM2" s="6" t="s">
        <v>69</v>
      </c>
      <c r="AN2" s="16"/>
      <c r="AO2" s="6" t="s">
        <v>70</v>
      </c>
      <c r="AP2" s="6" t="s">
        <v>71</v>
      </c>
      <c r="AQ2" s="6" t="s">
        <v>72</v>
      </c>
      <c r="AR2" s="6" t="s">
        <v>73</v>
      </c>
      <c r="AS2" s="16"/>
      <c r="AT2" s="6" t="s">
        <v>74</v>
      </c>
      <c r="AU2" s="6" t="s">
        <v>75</v>
      </c>
      <c r="AV2" s="6" t="s">
        <v>76</v>
      </c>
      <c r="AW2" s="6" t="s">
        <v>77</v>
      </c>
    </row>
    <row r="3" ht="15.75" customHeight="1">
      <c r="A3" s="23" t="s">
        <v>78</v>
      </c>
      <c r="B3" s="24" t="s">
        <v>79</v>
      </c>
      <c r="C3" s="28"/>
      <c r="D3" s="28"/>
      <c r="E3" s="28"/>
      <c r="F3" s="28" t="s">
        <v>86</v>
      </c>
      <c r="G3" s="28"/>
      <c r="H3" s="16"/>
      <c r="I3" s="28" t="s">
        <v>87</v>
      </c>
      <c r="J3" s="28"/>
      <c r="K3" s="28" t="s">
        <v>88</v>
      </c>
      <c r="L3" s="28" t="s">
        <v>89</v>
      </c>
      <c r="M3" s="28" t="s">
        <v>90</v>
      </c>
      <c r="N3" s="16"/>
      <c r="O3" s="28"/>
      <c r="P3" s="28"/>
      <c r="Q3" s="28"/>
      <c r="R3" s="28"/>
      <c r="S3" s="16"/>
      <c r="T3" s="28"/>
      <c r="U3" s="30" t="s">
        <v>91</v>
      </c>
      <c r="V3" s="28" t="s">
        <v>92</v>
      </c>
      <c r="W3" s="28" t="s">
        <v>93</v>
      </c>
      <c r="X3" s="28"/>
      <c r="Y3" s="16"/>
      <c r="Z3" s="28"/>
      <c r="AA3" s="28"/>
      <c r="AB3" s="28"/>
      <c r="AC3" s="28"/>
      <c r="AD3" s="16"/>
      <c r="AE3" s="28"/>
      <c r="AF3" s="28"/>
      <c r="AG3" s="28"/>
      <c r="AH3" s="28"/>
      <c r="AI3" s="16"/>
      <c r="AJ3" s="28"/>
      <c r="AK3" s="28"/>
      <c r="AL3" s="28"/>
      <c r="AM3" s="28"/>
      <c r="AN3" s="16"/>
      <c r="AO3" s="28"/>
      <c r="AP3" s="28"/>
      <c r="AQ3" s="28"/>
      <c r="AR3" s="28"/>
      <c r="AS3" s="16"/>
      <c r="AT3" s="28"/>
      <c r="AU3" s="28"/>
      <c r="AV3" s="33"/>
      <c r="AW3" s="28"/>
    </row>
    <row r="4" ht="15.75" customHeight="1">
      <c r="A4" s="36"/>
      <c r="B4" s="24" t="s">
        <v>109</v>
      </c>
      <c r="C4" s="28"/>
      <c r="D4" s="28"/>
      <c r="E4" s="28"/>
      <c r="F4" s="28" t="s">
        <v>86</v>
      </c>
      <c r="G4" s="28"/>
      <c r="H4" s="16"/>
      <c r="I4" s="28" t="s">
        <v>87</v>
      </c>
      <c r="J4" s="28"/>
      <c r="K4" s="28" t="s">
        <v>88</v>
      </c>
      <c r="L4" s="28" t="s">
        <v>89</v>
      </c>
      <c r="M4" s="28" t="s">
        <v>90</v>
      </c>
      <c r="N4" s="16"/>
      <c r="O4" s="28"/>
      <c r="P4" s="28"/>
      <c r="Q4" s="28"/>
      <c r="R4" s="28"/>
      <c r="S4" s="16"/>
      <c r="T4" s="28"/>
      <c r="U4" s="30" t="s">
        <v>91</v>
      </c>
      <c r="V4" s="28" t="s">
        <v>92</v>
      </c>
      <c r="W4" s="28" t="s">
        <v>93</v>
      </c>
      <c r="X4" s="28"/>
      <c r="Y4" s="16"/>
      <c r="Z4" s="28"/>
      <c r="AA4" s="28"/>
      <c r="AB4" s="28"/>
      <c r="AC4" s="28"/>
      <c r="AD4" s="16"/>
      <c r="AE4" s="28"/>
      <c r="AF4" s="28"/>
      <c r="AG4" s="28"/>
      <c r="AH4" s="28"/>
      <c r="AI4" s="16"/>
      <c r="AJ4" s="28"/>
      <c r="AK4" s="28"/>
      <c r="AL4" s="28"/>
      <c r="AM4" s="28"/>
      <c r="AN4" s="16"/>
      <c r="AO4" s="28"/>
      <c r="AP4" s="28"/>
      <c r="AQ4" s="28"/>
      <c r="AR4" s="28"/>
      <c r="AS4" s="16"/>
      <c r="AT4" s="28"/>
      <c r="AU4" s="28"/>
      <c r="AV4" s="33"/>
      <c r="AW4" s="28"/>
    </row>
    <row r="5" ht="15.75" customHeight="1">
      <c r="A5" s="36"/>
      <c r="B5" s="40" t="s">
        <v>111</v>
      </c>
      <c r="C5" s="40"/>
      <c r="D5" s="40"/>
      <c r="E5" s="40"/>
      <c r="F5" s="40"/>
      <c r="G5" s="40"/>
      <c r="H5" s="16"/>
      <c r="I5" s="40"/>
      <c r="J5" s="40"/>
      <c r="K5" s="40"/>
      <c r="L5" s="40"/>
      <c r="M5" s="40"/>
      <c r="N5" s="16"/>
      <c r="O5" s="40"/>
      <c r="P5" s="40"/>
      <c r="Q5" s="40"/>
      <c r="R5" s="40"/>
      <c r="S5" s="16"/>
      <c r="T5" s="40"/>
      <c r="U5" s="40"/>
      <c r="V5" s="40"/>
      <c r="W5" s="40"/>
      <c r="X5" s="40"/>
      <c r="Y5" s="16"/>
      <c r="Z5" s="40"/>
      <c r="AA5" s="40"/>
      <c r="AB5" s="40"/>
      <c r="AC5" s="40"/>
      <c r="AD5" s="16"/>
      <c r="AE5" s="40"/>
      <c r="AF5" s="40"/>
      <c r="AG5" s="40"/>
      <c r="AH5" s="40"/>
      <c r="AI5" s="16"/>
      <c r="AJ5" s="40"/>
      <c r="AK5" s="40"/>
      <c r="AL5" s="40"/>
      <c r="AM5" s="40"/>
      <c r="AN5" s="16"/>
      <c r="AO5" s="40"/>
      <c r="AP5" s="40"/>
      <c r="AQ5" s="40"/>
      <c r="AR5" s="40"/>
      <c r="AS5" s="16"/>
      <c r="AT5" s="40"/>
      <c r="AU5" s="40"/>
      <c r="AV5" s="40"/>
      <c r="AW5" s="40"/>
    </row>
    <row r="6" ht="15.75" customHeight="1">
      <c r="A6" s="36"/>
      <c r="B6" s="24" t="s">
        <v>113</v>
      </c>
      <c r="C6" s="28"/>
      <c r="D6" s="28" t="s">
        <v>114</v>
      </c>
      <c r="E6" s="28"/>
      <c r="F6" s="28" t="s">
        <v>86</v>
      </c>
      <c r="G6" s="28"/>
      <c r="H6" s="16"/>
      <c r="I6" s="28" t="s">
        <v>116</v>
      </c>
      <c r="J6" s="28" t="s">
        <v>117</v>
      </c>
      <c r="K6" s="28" t="s">
        <v>118</v>
      </c>
      <c r="L6" s="28" t="s">
        <v>119</v>
      </c>
      <c r="M6" s="28"/>
      <c r="N6" s="16"/>
      <c r="O6" s="28"/>
      <c r="P6" s="28"/>
      <c r="Q6" s="28"/>
      <c r="R6" s="28"/>
      <c r="S6" s="16"/>
      <c r="T6" s="28"/>
      <c r="U6" s="30" t="s">
        <v>91</v>
      </c>
      <c r="V6" s="28" t="s">
        <v>92</v>
      </c>
      <c r="W6" s="28" t="s">
        <v>93</v>
      </c>
      <c r="X6" s="28"/>
      <c r="Y6" s="16"/>
      <c r="Z6" s="28"/>
      <c r="AA6" s="28"/>
      <c r="AB6" s="28"/>
      <c r="AC6" s="28"/>
      <c r="AD6" s="16"/>
      <c r="AE6" s="28"/>
      <c r="AF6" s="28"/>
      <c r="AG6" s="28"/>
      <c r="AH6" s="28"/>
      <c r="AI6" s="16"/>
      <c r="AJ6" s="28"/>
      <c r="AK6" s="28"/>
      <c r="AL6" s="28"/>
      <c r="AM6" s="28"/>
      <c r="AN6" s="16"/>
      <c r="AO6" s="28"/>
      <c r="AP6" s="28"/>
      <c r="AQ6" s="28"/>
      <c r="AR6" s="28"/>
      <c r="AS6" s="16"/>
      <c r="AT6" s="28"/>
      <c r="AU6" s="28"/>
      <c r="AV6" s="28"/>
      <c r="AW6" s="28"/>
    </row>
    <row r="7" ht="15.75" customHeight="1">
      <c r="A7" s="36"/>
      <c r="B7" s="24" t="s">
        <v>120</v>
      </c>
      <c r="C7" s="28"/>
      <c r="D7" s="28" t="s">
        <v>114</v>
      </c>
      <c r="E7" s="28"/>
      <c r="F7" s="28" t="s">
        <v>86</v>
      </c>
      <c r="G7" s="28"/>
      <c r="H7" s="16"/>
      <c r="I7" s="28" t="s">
        <v>116</v>
      </c>
      <c r="J7" s="28" t="s">
        <v>117</v>
      </c>
      <c r="K7" s="28" t="s">
        <v>118</v>
      </c>
      <c r="L7" s="28" t="s">
        <v>119</v>
      </c>
      <c r="M7" s="28"/>
      <c r="N7" s="16"/>
      <c r="O7" s="28"/>
      <c r="P7" s="28"/>
      <c r="Q7" s="28"/>
      <c r="R7" s="28"/>
      <c r="S7" s="16"/>
      <c r="T7" s="28"/>
      <c r="U7" s="30" t="s">
        <v>91</v>
      </c>
      <c r="V7" s="28" t="s">
        <v>92</v>
      </c>
      <c r="W7" s="28" t="s">
        <v>93</v>
      </c>
      <c r="X7" s="28"/>
      <c r="Y7" s="16"/>
      <c r="Z7" s="28"/>
      <c r="AA7" s="28"/>
      <c r="AB7" s="28"/>
      <c r="AC7" s="28"/>
      <c r="AD7" s="16"/>
      <c r="AE7" s="28"/>
      <c r="AF7" s="28"/>
      <c r="AG7" s="28"/>
      <c r="AH7" s="28"/>
      <c r="AI7" s="16"/>
      <c r="AJ7" s="28"/>
      <c r="AK7" s="28"/>
      <c r="AL7" s="28"/>
      <c r="AM7" s="28"/>
      <c r="AN7" s="16"/>
      <c r="AO7" s="28"/>
      <c r="AP7" s="28"/>
      <c r="AQ7" s="28"/>
      <c r="AR7" s="28"/>
      <c r="AS7" s="16"/>
      <c r="AT7" s="28"/>
      <c r="AU7" s="28"/>
      <c r="AV7" s="28"/>
      <c r="AW7" s="28"/>
    </row>
    <row r="8" ht="15.75" customHeight="1">
      <c r="A8" s="36"/>
      <c r="B8" s="24" t="s">
        <v>121</v>
      </c>
      <c r="C8" s="28"/>
      <c r="D8" s="28"/>
      <c r="E8" s="28"/>
      <c r="F8" s="28"/>
      <c r="G8" s="28"/>
      <c r="H8" s="16"/>
      <c r="I8" s="28"/>
      <c r="J8" s="28"/>
      <c r="K8" s="28"/>
      <c r="L8" s="28"/>
      <c r="M8" s="28"/>
      <c r="N8" s="16"/>
      <c r="O8" s="28"/>
      <c r="P8" s="28"/>
      <c r="Q8" s="28"/>
      <c r="R8" s="28"/>
      <c r="S8" s="16"/>
      <c r="T8" s="28"/>
      <c r="U8" s="33"/>
      <c r="V8" s="33"/>
      <c r="W8" s="28"/>
      <c r="X8" s="28"/>
      <c r="Y8" s="16"/>
      <c r="Z8" s="28"/>
      <c r="AA8" s="28"/>
      <c r="AB8" s="28"/>
      <c r="AC8" s="28"/>
      <c r="AD8" s="16"/>
      <c r="AE8" s="28"/>
      <c r="AF8" s="28"/>
      <c r="AG8" s="28"/>
      <c r="AH8" s="28"/>
      <c r="AI8" s="16"/>
      <c r="AJ8" s="28"/>
      <c r="AK8" s="28"/>
      <c r="AL8" s="28"/>
      <c r="AM8" s="28"/>
      <c r="AN8" s="16"/>
      <c r="AO8" s="28"/>
      <c r="AP8" s="28"/>
      <c r="AQ8" s="28"/>
      <c r="AR8" s="28"/>
      <c r="AS8" s="16"/>
      <c r="AT8" s="28"/>
      <c r="AU8" s="28"/>
      <c r="AV8" s="28"/>
      <c r="AW8" s="28"/>
    </row>
    <row r="9" ht="15.75" customHeight="1">
      <c r="A9" s="36"/>
      <c r="B9" s="40" t="s">
        <v>124</v>
      </c>
      <c r="C9" s="40"/>
      <c r="D9" s="40"/>
      <c r="E9" s="40"/>
      <c r="F9" s="40"/>
      <c r="G9" s="40"/>
      <c r="H9" s="16"/>
      <c r="I9" s="40"/>
      <c r="J9" s="40"/>
      <c r="K9" s="40"/>
      <c r="L9" s="40"/>
      <c r="M9" s="40"/>
      <c r="N9" s="16"/>
      <c r="O9" s="40"/>
      <c r="P9" s="40"/>
      <c r="Q9" s="40"/>
      <c r="R9" s="40"/>
      <c r="S9" s="16"/>
      <c r="T9" s="40"/>
      <c r="U9" s="40"/>
      <c r="V9" s="40"/>
      <c r="W9" s="40"/>
      <c r="X9" s="40"/>
      <c r="Y9" s="16"/>
      <c r="Z9" s="40"/>
      <c r="AA9" s="40"/>
      <c r="AB9" s="40"/>
      <c r="AC9" s="40"/>
      <c r="AD9" s="16"/>
      <c r="AE9" s="40"/>
      <c r="AF9" s="40"/>
      <c r="AG9" s="40"/>
      <c r="AH9" s="40"/>
      <c r="AI9" s="16"/>
      <c r="AJ9" s="40"/>
      <c r="AK9" s="40"/>
      <c r="AL9" s="40"/>
      <c r="AM9" s="40"/>
      <c r="AN9" s="16"/>
      <c r="AO9" s="40"/>
      <c r="AP9" s="40"/>
      <c r="AQ9" s="40"/>
      <c r="AR9" s="40"/>
      <c r="AS9" s="16"/>
      <c r="AT9" s="40"/>
      <c r="AU9" s="40"/>
      <c r="AV9" s="40"/>
      <c r="AW9" s="40"/>
    </row>
    <row r="10" ht="72.75" customHeight="1">
      <c r="A10" s="36"/>
      <c r="B10" s="24" t="s">
        <v>126</v>
      </c>
      <c r="C10" s="30" t="s">
        <v>127</v>
      </c>
      <c r="D10" s="28"/>
      <c r="E10" s="28" t="s">
        <v>128</v>
      </c>
      <c r="F10" s="28" t="s">
        <v>129</v>
      </c>
      <c r="G10" s="28"/>
      <c r="H10" s="16"/>
      <c r="I10" s="30" t="s">
        <v>127</v>
      </c>
      <c r="J10" s="28" t="s">
        <v>130</v>
      </c>
      <c r="K10" s="28" t="s">
        <v>131</v>
      </c>
      <c r="L10" s="28" t="s">
        <v>119</v>
      </c>
      <c r="M10" s="28"/>
      <c r="N10" s="16"/>
      <c r="O10" s="28" t="s">
        <v>132</v>
      </c>
      <c r="P10" s="28" t="s">
        <v>133</v>
      </c>
      <c r="Q10" s="28"/>
      <c r="R10" s="28"/>
      <c r="S10" s="16"/>
      <c r="T10" s="28" t="s">
        <v>134</v>
      </c>
      <c r="U10" s="28" t="s">
        <v>135</v>
      </c>
      <c r="V10" s="28" t="s">
        <v>136</v>
      </c>
      <c r="W10" s="33" t="s">
        <v>137</v>
      </c>
      <c r="X10" s="28"/>
      <c r="Y10" s="16"/>
      <c r="Z10" s="28"/>
      <c r="AA10" s="28"/>
      <c r="AB10" s="28"/>
      <c r="AC10" s="28"/>
      <c r="AD10" s="16"/>
      <c r="AE10" s="28"/>
      <c r="AF10" s="33"/>
      <c r="AG10" s="28"/>
      <c r="AH10" s="28"/>
      <c r="AI10" s="16"/>
      <c r="AJ10" s="28"/>
      <c r="AK10" s="28"/>
      <c r="AL10" s="28"/>
      <c r="AM10" s="28"/>
      <c r="AN10" s="16"/>
      <c r="AO10" s="28"/>
      <c r="AP10" s="28"/>
      <c r="AQ10" s="28"/>
      <c r="AR10" s="28"/>
      <c r="AS10" s="16"/>
      <c r="AT10" s="28"/>
      <c r="AU10" s="28"/>
      <c r="AV10" s="28"/>
      <c r="AW10" s="28"/>
    </row>
    <row r="11" ht="75.75" customHeight="1">
      <c r="A11" s="36"/>
      <c r="B11" s="24" t="s">
        <v>138</v>
      </c>
      <c r="C11" s="30" t="s">
        <v>127</v>
      </c>
      <c r="D11" s="28"/>
      <c r="E11" s="28" t="s">
        <v>128</v>
      </c>
      <c r="F11" s="28" t="s">
        <v>129</v>
      </c>
      <c r="G11" s="28"/>
      <c r="H11" s="16"/>
      <c r="I11" s="30" t="s">
        <v>127</v>
      </c>
      <c r="J11" s="28" t="s">
        <v>130</v>
      </c>
      <c r="K11" s="28" t="s">
        <v>131</v>
      </c>
      <c r="L11" s="28" t="s">
        <v>119</v>
      </c>
      <c r="M11" s="28"/>
      <c r="N11" s="16"/>
      <c r="O11" s="28" t="s">
        <v>132</v>
      </c>
      <c r="P11" s="28" t="s">
        <v>133</v>
      </c>
      <c r="Q11" s="28"/>
      <c r="R11" s="28"/>
      <c r="S11" s="16"/>
      <c r="T11" s="28" t="s">
        <v>134</v>
      </c>
      <c r="U11" s="28" t="s">
        <v>139</v>
      </c>
      <c r="V11" s="28" t="s">
        <v>136</v>
      </c>
      <c r="W11" s="33" t="s">
        <v>137</v>
      </c>
      <c r="X11" s="28"/>
      <c r="Y11" s="16"/>
      <c r="Z11" s="28"/>
      <c r="AA11" s="28"/>
      <c r="AB11" s="28"/>
      <c r="AC11" s="28"/>
      <c r="AD11" s="16"/>
      <c r="AE11" s="28"/>
      <c r="AF11" s="33"/>
      <c r="AG11" s="28"/>
      <c r="AH11" s="28"/>
      <c r="AI11" s="16"/>
      <c r="AJ11" s="28"/>
      <c r="AK11" s="28"/>
      <c r="AL11" s="28"/>
      <c r="AM11" s="28"/>
      <c r="AN11" s="16"/>
      <c r="AO11" s="28"/>
      <c r="AP11" s="28"/>
      <c r="AQ11" s="28"/>
      <c r="AR11" s="28"/>
      <c r="AS11" s="16"/>
      <c r="AT11" s="28"/>
      <c r="AU11" s="28"/>
      <c r="AV11" s="28"/>
      <c r="AW11" s="28"/>
    </row>
    <row r="12" ht="15.75" customHeight="1">
      <c r="A12" s="36"/>
      <c r="B12" s="40" t="s">
        <v>111</v>
      </c>
      <c r="C12" s="40"/>
      <c r="D12" s="40"/>
      <c r="E12" s="40"/>
      <c r="F12" s="40"/>
      <c r="G12" s="40"/>
      <c r="H12" s="16"/>
      <c r="I12" s="40"/>
      <c r="J12" s="40"/>
      <c r="K12" s="40"/>
      <c r="L12" s="40"/>
      <c r="M12" s="40"/>
      <c r="N12" s="16"/>
      <c r="O12" s="40"/>
      <c r="P12" s="40"/>
      <c r="Q12" s="40"/>
      <c r="R12" s="40"/>
      <c r="S12" s="16"/>
      <c r="T12" s="40"/>
      <c r="U12" s="40"/>
      <c r="V12" s="40"/>
      <c r="W12" s="40"/>
      <c r="X12" s="40"/>
      <c r="Y12" s="16"/>
      <c r="Z12" s="40"/>
      <c r="AA12" s="40"/>
      <c r="AB12" s="40"/>
      <c r="AC12" s="40"/>
      <c r="AD12" s="16"/>
      <c r="AE12" s="40"/>
      <c r="AF12" s="40"/>
      <c r="AG12" s="40"/>
      <c r="AH12" s="40"/>
      <c r="AI12" s="16"/>
      <c r="AJ12" s="40"/>
      <c r="AK12" s="40"/>
      <c r="AL12" s="40"/>
      <c r="AM12" s="40"/>
      <c r="AN12" s="16"/>
      <c r="AO12" s="40"/>
      <c r="AP12" s="40"/>
      <c r="AQ12" s="40"/>
      <c r="AR12" s="40"/>
      <c r="AS12" s="16"/>
      <c r="AT12" s="40"/>
      <c r="AU12" s="40"/>
      <c r="AV12" s="40"/>
      <c r="AW12" s="40"/>
    </row>
    <row r="13" ht="15.75" customHeight="1">
      <c r="A13" s="36"/>
      <c r="B13" s="24" t="s">
        <v>141</v>
      </c>
      <c r="C13" s="28"/>
      <c r="D13" s="28"/>
      <c r="E13" s="28"/>
      <c r="F13" s="28" t="s">
        <v>129</v>
      </c>
      <c r="G13" s="28"/>
      <c r="H13" s="16"/>
      <c r="I13" s="28" t="s">
        <v>143</v>
      </c>
      <c r="J13" s="28" t="s">
        <v>130</v>
      </c>
      <c r="K13" s="28" t="s">
        <v>144</v>
      </c>
      <c r="L13" s="28" t="s">
        <v>145</v>
      </c>
      <c r="M13" s="28"/>
      <c r="N13" s="16"/>
      <c r="O13" s="28" t="s">
        <v>146</v>
      </c>
      <c r="P13" s="28" t="s">
        <v>147</v>
      </c>
      <c r="Q13" s="28"/>
      <c r="R13" s="28"/>
      <c r="S13" s="16"/>
      <c r="T13" s="28" t="s">
        <v>134</v>
      </c>
      <c r="U13" s="28" t="s">
        <v>139</v>
      </c>
      <c r="V13" s="28" t="s">
        <v>148</v>
      </c>
      <c r="W13" s="33"/>
      <c r="X13" s="28"/>
      <c r="Y13" s="16"/>
      <c r="Z13" s="28"/>
      <c r="AA13" s="28"/>
      <c r="AB13" s="28"/>
      <c r="AC13" s="50"/>
      <c r="AD13" s="16"/>
      <c r="AE13" s="28"/>
      <c r="AF13" s="28"/>
      <c r="AG13" s="28"/>
      <c r="AH13" s="50"/>
      <c r="AI13" s="16"/>
      <c r="AJ13" s="28"/>
      <c r="AK13" s="28"/>
      <c r="AL13" s="28"/>
      <c r="AM13" s="50"/>
      <c r="AN13" s="16"/>
      <c r="AO13" s="28"/>
      <c r="AP13" s="28"/>
      <c r="AQ13" s="28"/>
      <c r="AR13" s="28"/>
      <c r="AS13" s="16"/>
      <c r="AT13" s="28"/>
      <c r="AU13" s="28"/>
      <c r="AV13" s="28"/>
      <c r="AW13" s="28"/>
    </row>
    <row r="14" ht="15.75" customHeight="1">
      <c r="A14" s="36"/>
      <c r="B14" s="24" t="s">
        <v>154</v>
      </c>
      <c r="C14" s="28"/>
      <c r="D14" s="28"/>
      <c r="E14" s="28"/>
      <c r="F14" s="28" t="s">
        <v>129</v>
      </c>
      <c r="G14" s="28"/>
      <c r="H14" s="16"/>
      <c r="I14" s="28" t="s">
        <v>143</v>
      </c>
      <c r="J14" s="28"/>
      <c r="K14" s="28" t="s">
        <v>144</v>
      </c>
      <c r="L14" s="28" t="s">
        <v>145</v>
      </c>
      <c r="M14" s="28"/>
      <c r="N14" s="16"/>
      <c r="O14" s="28" t="s">
        <v>146</v>
      </c>
      <c r="P14" s="28" t="s">
        <v>147</v>
      </c>
      <c r="Q14" s="28"/>
      <c r="R14" s="28"/>
      <c r="S14" s="16"/>
      <c r="T14" s="28" t="s">
        <v>134</v>
      </c>
      <c r="U14" s="28" t="s">
        <v>139</v>
      </c>
      <c r="V14" s="28" t="s">
        <v>148</v>
      </c>
      <c r="W14" s="33"/>
      <c r="X14" s="28"/>
      <c r="Y14" s="16"/>
      <c r="Z14" s="28"/>
      <c r="AA14" s="28"/>
      <c r="AB14" s="28"/>
      <c r="AC14" s="50"/>
      <c r="AD14" s="16"/>
      <c r="AE14" s="28"/>
      <c r="AF14" s="28"/>
      <c r="AG14" s="28"/>
      <c r="AH14" s="50"/>
      <c r="AI14" s="16"/>
      <c r="AJ14" s="28"/>
      <c r="AK14" s="28"/>
      <c r="AL14" s="28"/>
      <c r="AM14" s="50"/>
      <c r="AN14" s="16"/>
      <c r="AO14" s="28"/>
      <c r="AP14" s="28"/>
      <c r="AQ14" s="28"/>
      <c r="AR14" s="28"/>
      <c r="AS14" s="16"/>
      <c r="AT14" s="28"/>
      <c r="AU14" s="28"/>
      <c r="AV14" s="28"/>
      <c r="AW14" s="28"/>
    </row>
    <row r="15" ht="15.75" customHeight="1">
      <c r="A15" s="36"/>
      <c r="B15" s="24" t="s">
        <v>155</v>
      </c>
      <c r="C15" s="52"/>
      <c r="D15" s="52" t="s">
        <v>157</v>
      </c>
      <c r="E15" s="52"/>
      <c r="F15" s="52"/>
      <c r="G15" s="52"/>
      <c r="H15" s="16"/>
      <c r="I15" s="52"/>
      <c r="J15" s="52"/>
      <c r="K15" s="52"/>
      <c r="L15" s="52"/>
      <c r="M15" s="52"/>
      <c r="N15" s="16"/>
      <c r="O15" s="52"/>
      <c r="P15" s="52" t="s">
        <v>158</v>
      </c>
      <c r="Q15" s="52"/>
      <c r="R15" s="52" t="s">
        <v>159</v>
      </c>
      <c r="S15" s="16"/>
      <c r="T15" s="52"/>
      <c r="U15" s="52"/>
      <c r="V15" s="52"/>
      <c r="W15" s="52"/>
      <c r="X15" s="52"/>
      <c r="Y15" s="16"/>
      <c r="Z15" s="52"/>
      <c r="AA15" s="52"/>
      <c r="AB15" s="52" t="s">
        <v>160</v>
      </c>
      <c r="AC15" s="52"/>
      <c r="AD15" s="16"/>
      <c r="AE15" s="52"/>
      <c r="AF15" s="52"/>
      <c r="AG15" s="52"/>
      <c r="AH15" s="52"/>
      <c r="AI15" s="16"/>
      <c r="AJ15" s="52"/>
      <c r="AK15" s="52"/>
      <c r="AL15" s="52"/>
      <c r="AM15" s="52"/>
      <c r="AN15" s="16"/>
      <c r="AO15" s="52"/>
      <c r="AP15" s="52"/>
      <c r="AQ15" s="52"/>
      <c r="AR15" s="52"/>
      <c r="AS15" s="16"/>
      <c r="AT15" s="52" t="s">
        <v>161</v>
      </c>
      <c r="AU15" s="52"/>
      <c r="AV15" s="54"/>
      <c r="AW15" s="52" t="s">
        <v>163</v>
      </c>
    </row>
    <row r="16" ht="15.75" customHeight="1">
      <c r="A16" s="36"/>
      <c r="B16" s="40" t="s">
        <v>111</v>
      </c>
      <c r="C16" s="40"/>
      <c r="D16" s="40"/>
      <c r="E16" s="40"/>
      <c r="F16" s="40"/>
      <c r="G16" s="40"/>
      <c r="H16" s="16"/>
      <c r="I16" s="40"/>
      <c r="J16" s="40"/>
      <c r="K16" s="40"/>
      <c r="L16" s="40"/>
      <c r="M16" s="40"/>
      <c r="N16" s="16"/>
      <c r="O16" s="40"/>
      <c r="P16" s="40"/>
      <c r="Q16" s="40"/>
      <c r="R16" s="40"/>
      <c r="S16" s="16"/>
      <c r="T16" s="40"/>
      <c r="U16" s="40"/>
      <c r="V16" s="40"/>
      <c r="W16" s="40"/>
      <c r="X16" s="40"/>
      <c r="Y16" s="16"/>
      <c r="Z16" s="40"/>
      <c r="AA16" s="40"/>
      <c r="AB16" s="40"/>
      <c r="AC16" s="40"/>
      <c r="AD16" s="16"/>
      <c r="AE16" s="40"/>
      <c r="AF16" s="40"/>
      <c r="AG16" s="40"/>
      <c r="AH16" s="40"/>
      <c r="AI16" s="16"/>
      <c r="AJ16" s="40"/>
      <c r="AK16" s="40"/>
      <c r="AL16" s="40"/>
      <c r="AM16" s="40"/>
      <c r="AN16" s="16"/>
      <c r="AO16" s="40"/>
      <c r="AP16" s="40"/>
      <c r="AQ16" s="40"/>
      <c r="AR16" s="40"/>
      <c r="AS16" s="16"/>
      <c r="AT16" s="40"/>
      <c r="AU16" s="40"/>
      <c r="AV16" s="40"/>
      <c r="AW16" s="40"/>
    </row>
    <row r="17" ht="15.75" customHeight="1">
      <c r="A17" s="36"/>
      <c r="B17" s="24" t="s">
        <v>164</v>
      </c>
      <c r="C17" s="52"/>
      <c r="D17" s="52" t="s">
        <v>157</v>
      </c>
      <c r="E17" s="52"/>
      <c r="F17" s="52"/>
      <c r="G17" s="52"/>
      <c r="H17" s="16"/>
      <c r="I17" s="52"/>
      <c r="J17" s="52"/>
      <c r="K17" s="52"/>
      <c r="L17" s="52"/>
      <c r="M17" s="52"/>
      <c r="N17" s="16"/>
      <c r="O17" s="52"/>
      <c r="P17" s="52" t="s">
        <v>158</v>
      </c>
      <c r="Q17" s="52"/>
      <c r="R17" s="52" t="s">
        <v>159</v>
      </c>
      <c r="S17" s="16"/>
      <c r="T17" s="52"/>
      <c r="U17" s="52"/>
      <c r="V17" s="52"/>
      <c r="W17" s="52"/>
      <c r="X17" s="52"/>
      <c r="Y17" s="16"/>
      <c r="Z17" s="52"/>
      <c r="AA17" s="52"/>
      <c r="AB17" s="52" t="s">
        <v>160</v>
      </c>
      <c r="AC17" s="52" t="s">
        <v>165</v>
      </c>
      <c r="AD17" s="16"/>
      <c r="AE17" s="52"/>
      <c r="AF17" s="52"/>
      <c r="AG17" s="28" t="s">
        <v>166</v>
      </c>
      <c r="AH17" s="52"/>
      <c r="AI17" s="16"/>
      <c r="AJ17" s="52"/>
      <c r="AK17" s="52"/>
      <c r="AL17" s="52"/>
      <c r="AM17" s="52" t="s">
        <v>167</v>
      </c>
      <c r="AN17" s="16"/>
      <c r="AO17" s="52"/>
      <c r="AP17" s="52"/>
      <c r="AQ17" s="52" t="s">
        <v>168</v>
      </c>
      <c r="AR17" s="52"/>
      <c r="AS17" s="16"/>
      <c r="AT17" s="52" t="s">
        <v>170</v>
      </c>
      <c r="AU17" s="52"/>
      <c r="AV17" s="54"/>
      <c r="AW17" s="52" t="s">
        <v>172</v>
      </c>
    </row>
    <row r="18" ht="15.75" customHeight="1">
      <c r="A18" s="36"/>
      <c r="B18" s="24" t="s">
        <v>174</v>
      </c>
      <c r="C18" s="28"/>
      <c r="D18" s="28"/>
      <c r="E18" s="28"/>
      <c r="F18" s="28"/>
      <c r="G18" s="28"/>
      <c r="H18" s="16"/>
      <c r="I18" s="28"/>
      <c r="J18" s="28"/>
      <c r="K18" s="28"/>
      <c r="L18" s="28"/>
      <c r="M18" s="28"/>
      <c r="N18" s="16"/>
      <c r="O18" s="28"/>
      <c r="P18" s="28" t="s">
        <v>176</v>
      </c>
      <c r="Q18" s="28"/>
      <c r="R18" s="28" t="s">
        <v>177</v>
      </c>
      <c r="S18" s="16"/>
      <c r="T18" s="28"/>
      <c r="U18" s="28"/>
      <c r="V18" s="28"/>
      <c r="W18" s="28"/>
      <c r="X18" s="28"/>
      <c r="Y18" s="16"/>
      <c r="Z18" s="28"/>
      <c r="AA18" s="30" t="s">
        <v>178</v>
      </c>
      <c r="AB18" s="28" t="s">
        <v>179</v>
      </c>
      <c r="AC18" s="28" t="s">
        <v>180</v>
      </c>
      <c r="AD18" s="16"/>
      <c r="AE18" s="28"/>
      <c r="AF18" s="28" t="s">
        <v>181</v>
      </c>
      <c r="AG18" s="28" t="s">
        <v>166</v>
      </c>
      <c r="AH18" s="28"/>
      <c r="AI18" s="16"/>
      <c r="AJ18" s="28"/>
      <c r="AK18" s="28" t="s">
        <v>182</v>
      </c>
      <c r="AL18" s="59"/>
      <c r="AM18" s="28" t="s">
        <v>185</v>
      </c>
      <c r="AN18" s="16"/>
      <c r="AO18" s="28"/>
      <c r="AP18" s="28"/>
      <c r="AQ18" s="30" t="s">
        <v>178</v>
      </c>
      <c r="AR18" s="28" t="s">
        <v>186</v>
      </c>
      <c r="AS18" s="16"/>
      <c r="AT18" s="61" t="s">
        <v>187</v>
      </c>
      <c r="AU18" s="61" t="s">
        <v>190</v>
      </c>
      <c r="AV18" s="28" t="s">
        <v>191</v>
      </c>
      <c r="AW18" s="28" t="s">
        <v>192</v>
      </c>
    </row>
    <row r="19" ht="15.75" customHeight="1">
      <c r="A19" s="36"/>
      <c r="B19" s="24" t="s">
        <v>193</v>
      </c>
      <c r="C19" s="28"/>
      <c r="D19" s="28"/>
      <c r="E19" s="28"/>
      <c r="F19" s="28"/>
      <c r="G19" s="28"/>
      <c r="H19" s="16"/>
      <c r="I19" s="28"/>
      <c r="J19" s="28"/>
      <c r="K19" s="28"/>
      <c r="L19" s="28"/>
      <c r="M19" s="28"/>
      <c r="N19" s="16"/>
      <c r="O19" s="28"/>
      <c r="P19" s="28" t="s">
        <v>176</v>
      </c>
      <c r="Q19" s="28"/>
      <c r="R19" s="28" t="s">
        <v>194</v>
      </c>
      <c r="S19" s="16"/>
      <c r="T19" s="28"/>
      <c r="U19" s="28"/>
      <c r="V19" s="28"/>
      <c r="W19" s="28"/>
      <c r="X19" s="28"/>
      <c r="Y19" s="16"/>
      <c r="Z19" s="28" t="s">
        <v>195</v>
      </c>
      <c r="AA19" s="30" t="s">
        <v>178</v>
      </c>
      <c r="AB19" s="28" t="s">
        <v>179</v>
      </c>
      <c r="AC19" s="28" t="s">
        <v>196</v>
      </c>
      <c r="AD19" s="16"/>
      <c r="AE19" s="28"/>
      <c r="AF19" s="28" t="s">
        <v>181</v>
      </c>
      <c r="AG19" s="28" t="s">
        <v>166</v>
      </c>
      <c r="AH19" s="28"/>
      <c r="AI19" s="16"/>
      <c r="AJ19" s="28"/>
      <c r="AK19" s="28" t="s">
        <v>182</v>
      </c>
      <c r="AL19" s="59"/>
      <c r="AM19" s="28" t="s">
        <v>185</v>
      </c>
      <c r="AN19" s="16"/>
      <c r="AO19" s="28"/>
      <c r="AP19" s="28"/>
      <c r="AQ19" s="30" t="s">
        <v>178</v>
      </c>
      <c r="AR19" s="28" t="s">
        <v>186</v>
      </c>
      <c r="AS19" s="16"/>
      <c r="AT19" s="61" t="s">
        <v>187</v>
      </c>
      <c r="AU19" s="61" t="s">
        <v>190</v>
      </c>
      <c r="AV19" s="28" t="s">
        <v>197</v>
      </c>
      <c r="AW19" s="28" t="s">
        <v>192</v>
      </c>
    </row>
    <row r="20" ht="15.75" customHeight="1">
      <c r="A20" s="36"/>
      <c r="B20" s="40" t="s">
        <v>111</v>
      </c>
      <c r="C20" s="40"/>
      <c r="D20" s="40"/>
      <c r="E20" s="40"/>
      <c r="F20" s="40"/>
      <c r="G20" s="40"/>
      <c r="H20" s="16"/>
      <c r="I20" s="40"/>
      <c r="J20" s="40"/>
      <c r="K20" s="40"/>
      <c r="L20" s="40"/>
      <c r="M20" s="40"/>
      <c r="N20" s="16"/>
      <c r="O20" s="40"/>
      <c r="P20" s="40"/>
      <c r="Q20" s="40"/>
      <c r="R20" s="40"/>
      <c r="S20" s="16"/>
      <c r="T20" s="40"/>
      <c r="U20" s="40"/>
      <c r="V20" s="40"/>
      <c r="W20" s="40"/>
      <c r="X20" s="40"/>
      <c r="Y20" s="16"/>
      <c r="Z20" s="40"/>
      <c r="AA20" s="40"/>
      <c r="AB20" s="40"/>
      <c r="AC20" s="40"/>
      <c r="AD20" s="16"/>
      <c r="AE20" s="40"/>
      <c r="AF20" s="40"/>
      <c r="AG20" s="40"/>
      <c r="AH20" s="40"/>
      <c r="AI20" s="16"/>
      <c r="AJ20" s="40"/>
      <c r="AK20" s="40"/>
      <c r="AL20" s="40"/>
      <c r="AM20" s="64"/>
      <c r="AN20" s="16"/>
      <c r="AO20" s="40"/>
      <c r="AP20" s="40"/>
      <c r="AQ20" s="40"/>
      <c r="AR20" s="40"/>
      <c r="AS20" s="16"/>
      <c r="AT20" s="40"/>
      <c r="AU20" s="40"/>
      <c r="AV20" s="40"/>
      <c r="AW20" s="40"/>
    </row>
    <row r="21" ht="15.75" customHeight="1">
      <c r="A21" s="36"/>
      <c r="B21" s="24" t="s">
        <v>198</v>
      </c>
      <c r="C21" s="28"/>
      <c r="D21" s="28"/>
      <c r="E21" s="28"/>
      <c r="F21" s="28"/>
      <c r="G21" s="28"/>
      <c r="H21" s="16"/>
      <c r="I21" s="28"/>
      <c r="J21" s="28"/>
      <c r="K21" s="28"/>
      <c r="L21" s="28"/>
      <c r="M21" s="28"/>
      <c r="N21" s="16"/>
      <c r="O21" s="28"/>
      <c r="P21" s="28"/>
      <c r="Q21" s="28"/>
      <c r="R21" s="28" t="s">
        <v>199</v>
      </c>
      <c r="S21" s="16"/>
      <c r="T21" s="28"/>
      <c r="U21" s="28"/>
      <c r="V21" s="28"/>
      <c r="W21" s="28"/>
      <c r="X21" s="28"/>
      <c r="Y21" s="16"/>
      <c r="Z21" s="28" t="s">
        <v>195</v>
      </c>
      <c r="AA21" s="28" t="s">
        <v>200</v>
      </c>
      <c r="AB21" s="28" t="s">
        <v>201</v>
      </c>
      <c r="AC21" s="28" t="s">
        <v>196</v>
      </c>
      <c r="AD21" s="16"/>
      <c r="AE21" s="28"/>
      <c r="AF21" s="28"/>
      <c r="AG21" s="28" t="s">
        <v>202</v>
      </c>
      <c r="AH21" s="28" t="s">
        <v>203</v>
      </c>
      <c r="AI21" s="16"/>
      <c r="AJ21" s="59"/>
      <c r="AK21" s="28" t="s">
        <v>204</v>
      </c>
      <c r="AL21" s="52" t="s">
        <v>205</v>
      </c>
      <c r="AM21" s="28" t="s">
        <v>206</v>
      </c>
      <c r="AN21" s="16"/>
      <c r="AO21" s="28"/>
      <c r="AP21" s="28"/>
      <c r="AQ21" s="28" t="s">
        <v>207</v>
      </c>
      <c r="AR21" s="28"/>
      <c r="AS21" s="16"/>
      <c r="AT21" s="33" t="s">
        <v>208</v>
      </c>
      <c r="AU21" s="33" t="s">
        <v>190</v>
      </c>
      <c r="AV21" s="61" t="s">
        <v>209</v>
      </c>
      <c r="AW21" s="61" t="s">
        <v>172</v>
      </c>
    </row>
    <row r="22" ht="15.75" customHeight="1">
      <c r="A22" s="66"/>
      <c r="B22" s="24" t="s">
        <v>210</v>
      </c>
      <c r="C22" s="28"/>
      <c r="D22" s="28"/>
      <c r="E22" s="28"/>
      <c r="F22" s="28"/>
      <c r="G22" s="28"/>
      <c r="H22" s="16"/>
      <c r="I22" s="28"/>
      <c r="J22" s="28"/>
      <c r="K22" s="28"/>
      <c r="L22" s="28"/>
      <c r="M22" s="28"/>
      <c r="N22" s="16"/>
      <c r="O22" s="28"/>
      <c r="P22" s="28"/>
      <c r="Q22" s="28"/>
      <c r="R22" s="28" t="s">
        <v>199</v>
      </c>
      <c r="S22" s="16"/>
      <c r="T22" s="28"/>
      <c r="U22" s="28"/>
      <c r="V22" s="28"/>
      <c r="W22" s="28"/>
      <c r="X22" s="28"/>
      <c r="Y22" s="16"/>
      <c r="Z22" s="28"/>
      <c r="AA22" s="28" t="s">
        <v>200</v>
      </c>
      <c r="AB22" s="28" t="s">
        <v>201</v>
      </c>
      <c r="AC22" s="28"/>
      <c r="AD22" s="16"/>
      <c r="AE22" s="28"/>
      <c r="AF22" s="28"/>
      <c r="AG22" s="28" t="s">
        <v>202</v>
      </c>
      <c r="AH22" s="28" t="s">
        <v>203</v>
      </c>
      <c r="AI22" s="16"/>
      <c r="AJ22" s="59"/>
      <c r="AK22" s="28" t="s">
        <v>204</v>
      </c>
      <c r="AL22" s="52" t="s">
        <v>205</v>
      </c>
      <c r="AM22" s="28" t="s">
        <v>206</v>
      </c>
      <c r="AN22" s="16"/>
      <c r="AO22" s="28"/>
      <c r="AP22" s="28"/>
      <c r="AQ22" s="28" t="s">
        <v>207</v>
      </c>
      <c r="AR22" s="28"/>
      <c r="AS22" s="16"/>
      <c r="AT22" s="28" t="s">
        <v>208</v>
      </c>
      <c r="AU22" s="33" t="s">
        <v>190</v>
      </c>
      <c r="AV22" s="61" t="s">
        <v>209</v>
      </c>
      <c r="AW22" s="61" t="s">
        <v>172</v>
      </c>
    </row>
    <row r="23" ht="15.75" customHeight="1">
      <c r="A23" s="6" t="s">
        <v>20</v>
      </c>
      <c r="B23" s="6" t="s">
        <v>23</v>
      </c>
      <c r="C23" s="6" t="s">
        <v>24</v>
      </c>
      <c r="D23" s="6" t="s">
        <v>27</v>
      </c>
      <c r="E23" s="6" t="s">
        <v>29</v>
      </c>
      <c r="F23" s="6" t="s">
        <v>32</v>
      </c>
      <c r="G23" s="6" t="s">
        <v>33</v>
      </c>
      <c r="H23" s="16"/>
      <c r="I23" s="6" t="s">
        <v>34</v>
      </c>
      <c r="J23" s="6" t="s">
        <v>36</v>
      </c>
      <c r="K23" s="6" t="s">
        <v>39</v>
      </c>
      <c r="L23" s="6" t="s">
        <v>42</v>
      </c>
      <c r="M23" s="6" t="s">
        <v>43</v>
      </c>
      <c r="N23" s="16"/>
      <c r="O23" s="6" t="s">
        <v>44</v>
      </c>
      <c r="P23" s="6" t="s">
        <v>45</v>
      </c>
      <c r="Q23" s="6" t="s">
        <v>46</v>
      </c>
      <c r="R23" s="6" t="s">
        <v>47</v>
      </c>
      <c r="S23" s="16"/>
      <c r="T23" s="6" t="s">
        <v>48</v>
      </c>
      <c r="U23" s="6" t="s">
        <v>49</v>
      </c>
      <c r="V23" s="6" t="s">
        <v>50</v>
      </c>
      <c r="W23" s="6" t="s">
        <v>51</v>
      </c>
      <c r="X23" s="6" t="s">
        <v>52</v>
      </c>
      <c r="Y23" s="16"/>
      <c r="Z23" s="6" t="s">
        <v>53</v>
      </c>
      <c r="AA23" s="6" t="s">
        <v>54</v>
      </c>
      <c r="AB23" s="6" t="s">
        <v>56</v>
      </c>
      <c r="AC23" s="6" t="s">
        <v>57</v>
      </c>
      <c r="AD23" s="16"/>
      <c r="AE23" s="6" t="s">
        <v>59</v>
      </c>
      <c r="AF23" s="6" t="s">
        <v>61</v>
      </c>
      <c r="AG23" s="6" t="s">
        <v>63</v>
      </c>
      <c r="AH23" s="6" t="s">
        <v>65</v>
      </c>
      <c r="AI23" s="16"/>
      <c r="AJ23" s="6" t="s">
        <v>66</v>
      </c>
      <c r="AK23" s="6" t="s">
        <v>67</v>
      </c>
      <c r="AL23" s="6" t="s">
        <v>68</v>
      </c>
      <c r="AM23" s="6" t="s">
        <v>69</v>
      </c>
      <c r="AN23" s="16"/>
      <c r="AO23" s="6" t="s">
        <v>70</v>
      </c>
      <c r="AP23" s="6" t="s">
        <v>71</v>
      </c>
      <c r="AQ23" s="6" t="s">
        <v>72</v>
      </c>
      <c r="AR23" s="6" t="s">
        <v>73</v>
      </c>
      <c r="AS23" s="16"/>
      <c r="AT23" s="6" t="s">
        <v>74</v>
      </c>
      <c r="AU23" s="6" t="s">
        <v>75</v>
      </c>
      <c r="AV23" s="6" t="s">
        <v>76</v>
      </c>
      <c r="AW23" s="6" t="s">
        <v>77</v>
      </c>
    </row>
    <row r="24" ht="15.75" customHeight="1">
      <c r="A24" s="23" t="s">
        <v>11</v>
      </c>
      <c r="B24" s="24" t="s">
        <v>79</v>
      </c>
      <c r="C24" s="28"/>
      <c r="D24" s="28"/>
      <c r="E24" s="28" t="s">
        <v>211</v>
      </c>
      <c r="F24" s="28"/>
      <c r="G24" s="28"/>
      <c r="H24" s="16"/>
      <c r="I24" s="28" t="s">
        <v>143</v>
      </c>
      <c r="J24" s="33" t="s">
        <v>212</v>
      </c>
      <c r="K24" s="33" t="s">
        <v>213</v>
      </c>
      <c r="L24" s="28" t="s">
        <v>214</v>
      </c>
      <c r="M24" s="33"/>
      <c r="N24" s="16"/>
      <c r="O24" s="28"/>
      <c r="P24" s="28"/>
      <c r="Q24" s="28"/>
      <c r="R24" s="28"/>
      <c r="S24" s="16"/>
      <c r="T24" s="28" t="s">
        <v>215</v>
      </c>
      <c r="U24" s="33"/>
      <c r="V24" s="28" t="s">
        <v>216</v>
      </c>
      <c r="W24" s="28" t="s">
        <v>217</v>
      </c>
      <c r="X24" s="28"/>
      <c r="Y24" s="16"/>
      <c r="Z24" s="28"/>
      <c r="AA24" s="28"/>
      <c r="AB24" s="28"/>
      <c r="AC24" s="28"/>
      <c r="AD24" s="16"/>
      <c r="AE24" s="28"/>
      <c r="AF24" s="28"/>
      <c r="AG24" s="28"/>
      <c r="AH24" s="28"/>
      <c r="AI24" s="16"/>
      <c r="AJ24" s="28"/>
      <c r="AK24" s="28"/>
      <c r="AL24" s="28"/>
      <c r="AM24" s="28"/>
      <c r="AN24" s="16"/>
      <c r="AO24" s="28"/>
      <c r="AP24" s="28"/>
      <c r="AQ24" s="28"/>
      <c r="AR24" s="28"/>
      <c r="AS24" s="16"/>
      <c r="AT24" s="28"/>
      <c r="AU24" s="28"/>
      <c r="AV24" s="28"/>
      <c r="AW24" s="28"/>
    </row>
    <row r="25" ht="15.75" customHeight="1">
      <c r="A25" s="36"/>
      <c r="B25" s="24" t="s">
        <v>109</v>
      </c>
      <c r="C25" s="28"/>
      <c r="D25" s="28"/>
      <c r="E25" s="28" t="s">
        <v>211</v>
      </c>
      <c r="F25" s="28"/>
      <c r="G25" s="28"/>
      <c r="H25" s="16"/>
      <c r="I25" s="28" t="s">
        <v>143</v>
      </c>
      <c r="J25" s="33" t="s">
        <v>212</v>
      </c>
      <c r="K25" s="33" t="s">
        <v>213</v>
      </c>
      <c r="L25" s="28" t="s">
        <v>214</v>
      </c>
      <c r="M25" s="33"/>
      <c r="N25" s="16"/>
      <c r="O25" s="28"/>
      <c r="P25" s="28"/>
      <c r="Q25" s="28"/>
      <c r="R25" s="28"/>
      <c r="S25" s="16"/>
      <c r="T25" s="28" t="s">
        <v>215</v>
      </c>
      <c r="U25" s="33"/>
      <c r="V25" s="28" t="s">
        <v>216</v>
      </c>
      <c r="W25" s="28" t="s">
        <v>217</v>
      </c>
      <c r="X25" s="28"/>
      <c r="Y25" s="16"/>
      <c r="Z25" s="28"/>
      <c r="AA25" s="28"/>
      <c r="AB25" s="28"/>
      <c r="AC25" s="28"/>
      <c r="AD25" s="16"/>
      <c r="AE25" s="28"/>
      <c r="AF25" s="28"/>
      <c r="AG25" s="28"/>
      <c r="AH25" s="28"/>
      <c r="AI25" s="16"/>
      <c r="AJ25" s="28"/>
      <c r="AK25" s="28"/>
      <c r="AL25" s="28"/>
      <c r="AM25" s="28"/>
      <c r="AN25" s="16"/>
      <c r="AO25" s="28"/>
      <c r="AP25" s="28"/>
      <c r="AQ25" s="28"/>
      <c r="AR25" s="28"/>
      <c r="AS25" s="16"/>
      <c r="AT25" s="28"/>
      <c r="AU25" s="28"/>
      <c r="AV25" s="28"/>
      <c r="AW25" s="28"/>
    </row>
    <row r="26" ht="15.75" customHeight="1">
      <c r="A26" s="36"/>
      <c r="B26" s="40" t="s">
        <v>111</v>
      </c>
      <c r="C26" s="40"/>
      <c r="D26" s="40"/>
      <c r="E26" s="40"/>
      <c r="F26" s="40"/>
      <c r="G26" s="40"/>
      <c r="H26" s="16"/>
      <c r="I26" s="40"/>
      <c r="J26" s="40"/>
      <c r="K26" s="40"/>
      <c r="L26" s="40"/>
      <c r="M26" s="40"/>
      <c r="N26" s="16"/>
      <c r="O26" s="40"/>
      <c r="P26" s="40"/>
      <c r="Q26" s="40"/>
      <c r="R26" s="40"/>
      <c r="S26" s="16"/>
      <c r="T26" s="40"/>
      <c r="U26" s="40"/>
      <c r="V26" s="40"/>
      <c r="W26" s="40"/>
      <c r="X26" s="40"/>
      <c r="Y26" s="16"/>
      <c r="Z26" s="40"/>
      <c r="AA26" s="40"/>
      <c r="AB26" s="40"/>
      <c r="AC26" s="40"/>
      <c r="AD26" s="16"/>
      <c r="AE26" s="40"/>
      <c r="AF26" s="40"/>
      <c r="AG26" s="40"/>
      <c r="AH26" s="40"/>
      <c r="AI26" s="16"/>
      <c r="AJ26" s="40"/>
      <c r="AK26" s="40"/>
      <c r="AL26" s="40"/>
      <c r="AM26" s="40"/>
      <c r="AN26" s="16"/>
      <c r="AO26" s="40"/>
      <c r="AP26" s="40"/>
      <c r="AQ26" s="40"/>
      <c r="AR26" s="40"/>
      <c r="AS26" s="16"/>
      <c r="AT26" s="40"/>
      <c r="AU26" s="40"/>
      <c r="AV26" s="40"/>
      <c r="AW26" s="40"/>
    </row>
    <row r="27" ht="15.75" customHeight="1">
      <c r="A27" s="36"/>
      <c r="B27" s="24" t="s">
        <v>113</v>
      </c>
      <c r="C27" s="28"/>
      <c r="D27" s="28" t="s">
        <v>218</v>
      </c>
      <c r="E27" s="28" t="s">
        <v>219</v>
      </c>
      <c r="F27" s="28"/>
      <c r="G27" s="28"/>
      <c r="H27" s="16"/>
      <c r="I27" s="28" t="s">
        <v>87</v>
      </c>
      <c r="J27" s="28"/>
      <c r="K27" s="28" t="s">
        <v>220</v>
      </c>
      <c r="L27" s="28" t="s">
        <v>221</v>
      </c>
      <c r="M27" s="33" t="s">
        <v>222</v>
      </c>
      <c r="N27" s="16"/>
      <c r="O27" s="28"/>
      <c r="P27" s="28"/>
      <c r="Q27" s="28"/>
      <c r="R27" s="28"/>
      <c r="S27" s="16"/>
      <c r="T27" s="28" t="s">
        <v>215</v>
      </c>
      <c r="U27" s="28" t="s">
        <v>139</v>
      </c>
      <c r="V27" s="28" t="s">
        <v>223</v>
      </c>
      <c r="W27" s="28" t="s">
        <v>217</v>
      </c>
      <c r="X27" s="28"/>
      <c r="Y27" s="16"/>
      <c r="Z27" s="28"/>
      <c r="AA27" s="28"/>
      <c r="AB27" s="28"/>
      <c r="AC27" s="28"/>
      <c r="AD27" s="16"/>
      <c r="AE27" s="28"/>
      <c r="AF27" s="28"/>
      <c r="AG27" s="28"/>
      <c r="AH27" s="28"/>
      <c r="AI27" s="16"/>
      <c r="AJ27" s="28"/>
      <c r="AK27" s="28"/>
      <c r="AL27" s="28"/>
      <c r="AM27" s="28"/>
      <c r="AN27" s="16"/>
      <c r="AO27" s="28"/>
      <c r="AP27" s="28"/>
      <c r="AQ27" s="28"/>
      <c r="AR27" s="28"/>
      <c r="AS27" s="16"/>
      <c r="AT27" s="28"/>
      <c r="AU27" s="28"/>
      <c r="AV27" s="28"/>
      <c r="AW27" s="28"/>
    </row>
    <row r="28" ht="15.75" customHeight="1">
      <c r="A28" s="36"/>
      <c r="B28" s="24" t="s">
        <v>120</v>
      </c>
      <c r="C28" s="28"/>
      <c r="D28" s="28" t="s">
        <v>218</v>
      </c>
      <c r="E28" s="28" t="s">
        <v>235</v>
      </c>
      <c r="F28" s="28"/>
      <c r="G28" s="28"/>
      <c r="H28" s="16"/>
      <c r="I28" s="28" t="s">
        <v>87</v>
      </c>
      <c r="J28" s="28"/>
      <c r="K28" s="28" t="s">
        <v>220</v>
      </c>
      <c r="L28" s="28" t="s">
        <v>221</v>
      </c>
      <c r="M28" s="33" t="s">
        <v>222</v>
      </c>
      <c r="N28" s="16"/>
      <c r="O28" s="28"/>
      <c r="P28" s="28"/>
      <c r="Q28" s="28"/>
      <c r="R28" s="28"/>
      <c r="S28" s="16"/>
      <c r="T28" s="28" t="s">
        <v>215</v>
      </c>
      <c r="U28" s="28" t="s">
        <v>139</v>
      </c>
      <c r="V28" s="28" t="s">
        <v>223</v>
      </c>
      <c r="W28" s="28" t="s">
        <v>217</v>
      </c>
      <c r="X28" s="28"/>
      <c r="Y28" s="16"/>
      <c r="Z28" s="28"/>
      <c r="AA28" s="28"/>
      <c r="AB28" s="28"/>
      <c r="AC28" s="28"/>
      <c r="AD28" s="16"/>
      <c r="AE28" s="28"/>
      <c r="AF28" s="28"/>
      <c r="AG28" s="28"/>
      <c r="AH28" s="28"/>
      <c r="AI28" s="16"/>
      <c r="AJ28" s="28"/>
      <c r="AK28" s="28"/>
      <c r="AL28" s="28"/>
      <c r="AM28" s="28"/>
      <c r="AN28" s="16"/>
      <c r="AO28" s="28"/>
      <c r="AP28" s="28"/>
      <c r="AQ28" s="28"/>
      <c r="AR28" s="28"/>
      <c r="AS28" s="16"/>
      <c r="AT28" s="28"/>
      <c r="AU28" s="28"/>
      <c r="AV28" s="28"/>
      <c r="AW28" s="28"/>
    </row>
    <row r="29" ht="15.75" customHeight="1">
      <c r="A29" s="36"/>
      <c r="B29" s="24" t="s">
        <v>121</v>
      </c>
      <c r="C29" s="28"/>
      <c r="D29" s="28"/>
      <c r="E29" s="28" t="s">
        <v>235</v>
      </c>
      <c r="F29" s="28"/>
      <c r="G29" s="28"/>
      <c r="H29" s="16"/>
      <c r="I29" s="33"/>
      <c r="J29" s="28"/>
      <c r="K29" s="28" t="s">
        <v>240</v>
      </c>
      <c r="L29" s="28"/>
      <c r="M29" s="28"/>
      <c r="N29" s="16"/>
      <c r="O29" s="28"/>
      <c r="P29" s="28"/>
      <c r="Q29" s="28"/>
      <c r="R29" s="28"/>
      <c r="S29" s="16"/>
      <c r="T29" s="28"/>
      <c r="U29" s="28"/>
      <c r="V29" s="28"/>
      <c r="W29" s="28"/>
      <c r="X29" s="28"/>
      <c r="Y29" s="16"/>
      <c r="Z29" s="28"/>
      <c r="AA29" s="28"/>
      <c r="AB29" s="28"/>
      <c r="AC29" s="28"/>
      <c r="AD29" s="16"/>
      <c r="AE29" s="28"/>
      <c r="AF29" s="28"/>
      <c r="AG29" s="28"/>
      <c r="AH29" s="28"/>
      <c r="AI29" s="16"/>
      <c r="AJ29" s="28"/>
      <c r="AK29" s="28"/>
      <c r="AL29" s="28"/>
      <c r="AM29" s="28"/>
      <c r="AN29" s="16"/>
      <c r="AO29" s="28"/>
      <c r="AP29" s="28"/>
      <c r="AQ29" s="28"/>
      <c r="AR29" s="28"/>
      <c r="AS29" s="16"/>
      <c r="AT29" s="28"/>
      <c r="AU29" s="28"/>
      <c r="AV29" s="28"/>
      <c r="AW29" s="28"/>
    </row>
    <row r="30" ht="15.75" customHeight="1">
      <c r="A30" s="36"/>
      <c r="B30" s="40" t="s">
        <v>124</v>
      </c>
      <c r="C30" s="40"/>
      <c r="D30" s="40"/>
      <c r="E30" s="40"/>
      <c r="F30" s="40"/>
      <c r="G30" s="40"/>
      <c r="H30" s="16"/>
      <c r="I30" s="40"/>
      <c r="J30" s="40"/>
      <c r="K30" s="40"/>
      <c r="L30" s="40"/>
      <c r="M30" s="40"/>
      <c r="N30" s="16"/>
      <c r="O30" s="40"/>
      <c r="P30" s="40"/>
      <c r="Q30" s="40"/>
      <c r="R30" s="40"/>
      <c r="S30" s="16"/>
      <c r="T30" s="40"/>
      <c r="U30" s="40"/>
      <c r="V30" s="40"/>
      <c r="W30" s="40"/>
      <c r="X30" s="40"/>
      <c r="Y30" s="16"/>
      <c r="Z30" s="40"/>
      <c r="AA30" s="40"/>
      <c r="AB30" s="40"/>
      <c r="AC30" s="40"/>
      <c r="AD30" s="16"/>
      <c r="AE30" s="40"/>
      <c r="AF30" s="40"/>
      <c r="AG30" s="40"/>
      <c r="AH30" s="40"/>
      <c r="AI30" s="16"/>
      <c r="AJ30" s="40"/>
      <c r="AK30" s="40"/>
      <c r="AL30" s="40"/>
      <c r="AM30" s="40"/>
      <c r="AN30" s="16"/>
      <c r="AO30" s="40"/>
      <c r="AP30" s="40"/>
      <c r="AQ30" s="40"/>
      <c r="AR30" s="40"/>
      <c r="AS30" s="16"/>
      <c r="AT30" s="40"/>
      <c r="AU30" s="40"/>
      <c r="AV30" s="40"/>
      <c r="AW30" s="40"/>
    </row>
    <row r="31" ht="15.75" customHeight="1">
      <c r="A31" s="36"/>
      <c r="B31" s="24" t="s">
        <v>126</v>
      </c>
      <c r="C31" s="28" t="s">
        <v>245</v>
      </c>
      <c r="D31" s="28" t="s">
        <v>246</v>
      </c>
      <c r="E31" s="28" t="s">
        <v>247</v>
      </c>
      <c r="F31" s="28" t="s">
        <v>248</v>
      </c>
      <c r="G31" s="28"/>
      <c r="H31" s="16"/>
      <c r="I31" s="28" t="s">
        <v>249</v>
      </c>
      <c r="J31" s="28" t="s">
        <v>117</v>
      </c>
      <c r="K31" s="28" t="s">
        <v>240</v>
      </c>
      <c r="L31" s="28" t="s">
        <v>89</v>
      </c>
      <c r="M31" s="28"/>
      <c r="N31" s="16"/>
      <c r="O31" s="33" t="s">
        <v>250</v>
      </c>
      <c r="P31" s="28" t="s">
        <v>251</v>
      </c>
      <c r="Q31" s="28" t="s">
        <v>252</v>
      </c>
      <c r="R31" s="28"/>
      <c r="S31" s="16"/>
      <c r="T31" s="28" t="s">
        <v>254</v>
      </c>
      <c r="U31" s="28" t="s">
        <v>255</v>
      </c>
      <c r="V31" s="28" t="s">
        <v>256</v>
      </c>
      <c r="W31" s="28" t="s">
        <v>257</v>
      </c>
      <c r="X31" s="28"/>
      <c r="Y31" s="16"/>
      <c r="Z31" s="28"/>
      <c r="AA31" s="28"/>
      <c r="AB31" s="28"/>
      <c r="AC31" s="28"/>
      <c r="AD31" s="16"/>
      <c r="AE31" s="28"/>
      <c r="AF31" s="28"/>
      <c r="AG31" s="28"/>
      <c r="AH31" s="28"/>
      <c r="AI31" s="16"/>
      <c r="AJ31" s="28"/>
      <c r="AK31" s="28"/>
      <c r="AL31" s="28"/>
      <c r="AM31" s="28"/>
      <c r="AN31" s="16"/>
      <c r="AO31" s="28"/>
      <c r="AP31" s="28"/>
      <c r="AQ31" s="28"/>
      <c r="AR31" s="28"/>
      <c r="AS31" s="16"/>
      <c r="AT31" s="28"/>
      <c r="AU31" s="28"/>
      <c r="AV31" s="28"/>
      <c r="AW31" s="28"/>
    </row>
    <row r="32" ht="15.75" customHeight="1">
      <c r="A32" s="36"/>
      <c r="B32" s="24" t="s">
        <v>138</v>
      </c>
      <c r="C32" s="28" t="s">
        <v>245</v>
      </c>
      <c r="D32" s="28" t="s">
        <v>246</v>
      </c>
      <c r="E32" s="28" t="s">
        <v>247</v>
      </c>
      <c r="F32" s="28" t="s">
        <v>248</v>
      </c>
      <c r="G32" s="28"/>
      <c r="H32" s="16"/>
      <c r="I32" s="28" t="s">
        <v>249</v>
      </c>
      <c r="J32" s="28" t="s">
        <v>117</v>
      </c>
      <c r="K32" s="28" t="s">
        <v>240</v>
      </c>
      <c r="L32" s="28" t="s">
        <v>89</v>
      </c>
      <c r="M32" s="28"/>
      <c r="N32" s="16"/>
      <c r="O32" s="28" t="s">
        <v>250</v>
      </c>
      <c r="P32" s="28" t="s">
        <v>251</v>
      </c>
      <c r="Q32" s="28" t="s">
        <v>252</v>
      </c>
      <c r="R32" s="28"/>
      <c r="S32" s="16"/>
      <c r="T32" s="28" t="s">
        <v>254</v>
      </c>
      <c r="U32" s="28" t="s">
        <v>255</v>
      </c>
      <c r="V32" s="28" t="s">
        <v>256</v>
      </c>
      <c r="W32" s="28" t="s">
        <v>257</v>
      </c>
      <c r="X32" s="28"/>
      <c r="Y32" s="16"/>
      <c r="Z32" s="28"/>
      <c r="AA32" s="28"/>
      <c r="AB32" s="28"/>
      <c r="AC32" s="28"/>
      <c r="AD32" s="16"/>
      <c r="AE32" s="28"/>
      <c r="AF32" s="28"/>
      <c r="AG32" s="28"/>
      <c r="AH32" s="28"/>
      <c r="AI32" s="16"/>
      <c r="AJ32" s="28"/>
      <c r="AK32" s="28"/>
      <c r="AL32" s="28"/>
      <c r="AM32" s="28"/>
      <c r="AN32" s="16"/>
      <c r="AO32" s="28"/>
      <c r="AP32" s="28"/>
      <c r="AQ32" s="28"/>
      <c r="AR32" s="28"/>
      <c r="AS32" s="16"/>
      <c r="AT32" s="28"/>
      <c r="AU32" s="28"/>
      <c r="AV32" s="28"/>
      <c r="AW32" s="28"/>
    </row>
    <row r="33" ht="15.75" customHeight="1">
      <c r="A33" s="36"/>
      <c r="B33" s="40" t="s">
        <v>111</v>
      </c>
      <c r="C33" s="40"/>
      <c r="D33" s="40"/>
      <c r="E33" s="40"/>
      <c r="F33" s="40"/>
      <c r="G33" s="40"/>
      <c r="H33" s="16"/>
      <c r="I33" s="40"/>
      <c r="J33" s="40"/>
      <c r="K33" s="40"/>
      <c r="L33" s="40"/>
      <c r="M33" s="40"/>
      <c r="N33" s="16"/>
      <c r="O33" s="40"/>
      <c r="P33" s="40"/>
      <c r="Q33" s="40"/>
      <c r="R33" s="40"/>
      <c r="S33" s="16"/>
      <c r="T33" s="40"/>
      <c r="U33" s="40"/>
      <c r="V33" s="40"/>
      <c r="W33" s="40"/>
      <c r="X33" s="40"/>
      <c r="Y33" s="16"/>
      <c r="Z33" s="40"/>
      <c r="AA33" s="40"/>
      <c r="AB33" s="40"/>
      <c r="AC33" s="40"/>
      <c r="AD33" s="16"/>
      <c r="AE33" s="40"/>
      <c r="AF33" s="40"/>
      <c r="AG33" s="40"/>
      <c r="AH33" s="40"/>
      <c r="AI33" s="16"/>
      <c r="AJ33" s="40"/>
      <c r="AK33" s="40"/>
      <c r="AL33" s="40"/>
      <c r="AM33" s="40"/>
      <c r="AN33" s="16"/>
      <c r="AO33" s="40"/>
      <c r="AP33" s="40"/>
      <c r="AQ33" s="40"/>
      <c r="AR33" s="40"/>
      <c r="AS33" s="16"/>
      <c r="AT33" s="40"/>
      <c r="AU33" s="40"/>
      <c r="AV33" s="40"/>
      <c r="AW33" s="40"/>
    </row>
    <row r="34" ht="15.75" customHeight="1">
      <c r="A34" s="36"/>
      <c r="B34" s="24" t="s">
        <v>141</v>
      </c>
      <c r="C34" s="30" t="s">
        <v>127</v>
      </c>
      <c r="D34" s="28"/>
      <c r="E34" s="28" t="s">
        <v>247</v>
      </c>
      <c r="F34" s="28" t="s">
        <v>248</v>
      </c>
      <c r="G34" s="28"/>
      <c r="H34" s="16"/>
      <c r="I34" s="30" t="s">
        <v>127</v>
      </c>
      <c r="J34" s="28"/>
      <c r="K34" s="28" t="s">
        <v>259</v>
      </c>
      <c r="L34" s="28" t="s">
        <v>260</v>
      </c>
      <c r="M34" s="28" t="s">
        <v>261</v>
      </c>
      <c r="N34" s="16"/>
      <c r="O34" s="33" t="s">
        <v>250</v>
      </c>
      <c r="P34" s="28" t="s">
        <v>262</v>
      </c>
      <c r="Q34" s="28"/>
      <c r="R34" s="28"/>
      <c r="S34" s="16"/>
      <c r="T34" s="28" t="s">
        <v>254</v>
      </c>
      <c r="U34" s="28" t="s">
        <v>255</v>
      </c>
      <c r="V34" s="28" t="s">
        <v>256</v>
      </c>
      <c r="W34" s="28" t="s">
        <v>257</v>
      </c>
      <c r="X34" s="28"/>
      <c r="Y34" s="16"/>
      <c r="Z34" s="28"/>
      <c r="AA34" s="28"/>
      <c r="AB34" s="28"/>
      <c r="AC34" s="28"/>
      <c r="AD34" s="16"/>
      <c r="AE34" s="28"/>
      <c r="AF34" s="28"/>
      <c r="AG34" s="28"/>
      <c r="AH34" s="28"/>
      <c r="AI34" s="16"/>
      <c r="AJ34" s="28"/>
      <c r="AK34" s="28"/>
      <c r="AL34" s="28"/>
      <c r="AM34" s="28"/>
      <c r="AN34" s="16"/>
      <c r="AO34" s="28"/>
      <c r="AP34" s="28"/>
      <c r="AQ34" s="28"/>
      <c r="AR34" s="28"/>
      <c r="AS34" s="16"/>
      <c r="AT34" s="28"/>
      <c r="AU34" s="28"/>
      <c r="AV34" s="28"/>
      <c r="AW34" s="28"/>
    </row>
    <row r="35" ht="15.75" customHeight="1">
      <c r="A35" s="36"/>
      <c r="B35" s="24" t="s">
        <v>154</v>
      </c>
      <c r="C35" s="30" t="s">
        <v>263</v>
      </c>
      <c r="D35" s="28"/>
      <c r="E35" s="28" t="s">
        <v>247</v>
      </c>
      <c r="F35" s="28"/>
      <c r="G35" s="28"/>
      <c r="H35" s="16"/>
      <c r="I35" s="30" t="s">
        <v>127</v>
      </c>
      <c r="J35" s="28"/>
      <c r="K35" s="28" t="s">
        <v>259</v>
      </c>
      <c r="L35" s="28" t="s">
        <v>260</v>
      </c>
      <c r="M35" s="28" t="s">
        <v>261</v>
      </c>
      <c r="N35" s="16"/>
      <c r="O35" s="28" t="s">
        <v>250</v>
      </c>
      <c r="P35" s="28" t="s">
        <v>262</v>
      </c>
      <c r="Q35" s="28"/>
      <c r="R35" s="28"/>
      <c r="S35" s="16"/>
      <c r="T35" s="28" t="s">
        <v>254</v>
      </c>
      <c r="U35" s="28" t="s">
        <v>255</v>
      </c>
      <c r="V35" s="28" t="s">
        <v>256</v>
      </c>
      <c r="W35" s="28" t="s">
        <v>257</v>
      </c>
      <c r="X35" s="28"/>
      <c r="Y35" s="16"/>
      <c r="Z35" s="28"/>
      <c r="AA35" s="28"/>
      <c r="AB35" s="28"/>
      <c r="AC35" s="28"/>
      <c r="AD35" s="16"/>
      <c r="AE35" s="28"/>
      <c r="AF35" s="28"/>
      <c r="AG35" s="28"/>
      <c r="AH35" s="28"/>
      <c r="AI35" s="16"/>
      <c r="AJ35" s="28"/>
      <c r="AK35" s="28"/>
      <c r="AL35" s="28"/>
      <c r="AM35" s="28"/>
      <c r="AN35" s="16"/>
      <c r="AO35" s="28"/>
      <c r="AP35" s="28"/>
      <c r="AQ35" s="28"/>
      <c r="AR35" s="28"/>
      <c r="AS35" s="16"/>
      <c r="AT35" s="28"/>
      <c r="AU35" s="28"/>
      <c r="AV35" s="28"/>
      <c r="AW35" s="28"/>
    </row>
    <row r="36" ht="78.0" customHeight="1">
      <c r="A36" s="36"/>
      <c r="B36" s="24" t="s">
        <v>155</v>
      </c>
      <c r="C36" s="52"/>
      <c r="D36" s="52" t="s">
        <v>160</v>
      </c>
      <c r="E36" s="52"/>
      <c r="F36" s="52"/>
      <c r="G36" s="52"/>
      <c r="H36" s="16"/>
      <c r="I36" s="52"/>
      <c r="J36" s="52"/>
      <c r="K36" s="52" t="s">
        <v>264</v>
      </c>
      <c r="L36" s="52"/>
      <c r="M36" s="52"/>
      <c r="N36" s="16"/>
      <c r="O36" s="52" t="s">
        <v>265</v>
      </c>
      <c r="P36" s="52" t="s">
        <v>266</v>
      </c>
      <c r="Q36" s="52" t="s">
        <v>267</v>
      </c>
      <c r="R36" s="52" t="s">
        <v>199</v>
      </c>
      <c r="S36" s="16"/>
      <c r="T36" s="52"/>
      <c r="U36" s="52"/>
      <c r="V36" s="52"/>
      <c r="W36" s="52"/>
      <c r="X36" s="52"/>
      <c r="Y36" s="16"/>
      <c r="Z36" s="52"/>
      <c r="AA36" s="52"/>
      <c r="AB36" s="52" t="s">
        <v>160</v>
      </c>
      <c r="AC36" s="52" t="s">
        <v>268</v>
      </c>
      <c r="AD36" s="16"/>
      <c r="AE36" s="52"/>
      <c r="AF36" s="52"/>
      <c r="AG36" s="52"/>
      <c r="AH36" s="30"/>
      <c r="AI36" s="16"/>
      <c r="AJ36" s="52"/>
      <c r="AK36" s="52" t="s">
        <v>269</v>
      </c>
      <c r="AL36" s="52"/>
      <c r="AM36" s="52"/>
      <c r="AN36" s="16"/>
      <c r="AO36" s="52" t="s">
        <v>270</v>
      </c>
      <c r="AP36" s="52"/>
      <c r="AQ36" s="52" t="s">
        <v>271</v>
      </c>
      <c r="AR36" s="52"/>
      <c r="AS36" s="16"/>
      <c r="AT36" s="52"/>
      <c r="AU36" s="52" t="s">
        <v>272</v>
      </c>
      <c r="AV36" s="52"/>
      <c r="AW36" s="52" t="s">
        <v>273</v>
      </c>
    </row>
    <row r="37" ht="15.75" customHeight="1">
      <c r="A37" s="36"/>
      <c r="B37" s="40" t="s">
        <v>111</v>
      </c>
      <c r="C37" s="40"/>
      <c r="D37" s="40"/>
      <c r="E37" s="40"/>
      <c r="F37" s="40"/>
      <c r="G37" s="40"/>
      <c r="H37" s="16"/>
      <c r="I37" s="40"/>
      <c r="J37" s="40"/>
      <c r="K37" s="40"/>
      <c r="L37" s="40"/>
      <c r="M37" s="40"/>
      <c r="N37" s="16"/>
      <c r="O37" s="40"/>
      <c r="P37" s="40"/>
      <c r="Q37" s="40"/>
      <c r="R37" s="40"/>
      <c r="S37" s="16"/>
      <c r="T37" s="40"/>
      <c r="U37" s="40"/>
      <c r="V37" s="40"/>
      <c r="W37" s="40"/>
      <c r="X37" s="40"/>
      <c r="Y37" s="16"/>
      <c r="Z37" s="40"/>
      <c r="AA37" s="40"/>
      <c r="AB37" s="40"/>
      <c r="AC37" s="40"/>
      <c r="AD37" s="16"/>
      <c r="AE37" s="40"/>
      <c r="AF37" s="40"/>
      <c r="AG37" s="40"/>
      <c r="AH37" s="40"/>
      <c r="AI37" s="16"/>
      <c r="AJ37" s="40"/>
      <c r="AK37" s="40"/>
      <c r="AL37" s="40"/>
      <c r="AM37" s="40"/>
      <c r="AN37" s="16"/>
      <c r="AO37" s="40"/>
      <c r="AP37" s="40"/>
      <c r="AQ37" s="40"/>
      <c r="AR37" s="40"/>
      <c r="AS37" s="16"/>
      <c r="AT37" s="40"/>
      <c r="AU37" s="40"/>
      <c r="AV37" s="40"/>
      <c r="AW37" s="40"/>
    </row>
    <row r="38" ht="15.75" customHeight="1">
      <c r="A38" s="36"/>
      <c r="B38" s="24" t="s">
        <v>164</v>
      </c>
      <c r="C38" s="52"/>
      <c r="D38" s="52" t="s">
        <v>160</v>
      </c>
      <c r="E38" s="52"/>
      <c r="F38" s="52"/>
      <c r="G38" s="52"/>
      <c r="H38" s="16"/>
      <c r="I38" s="52"/>
      <c r="J38" s="52"/>
      <c r="K38" s="52" t="s">
        <v>264</v>
      </c>
      <c r="L38" s="52"/>
      <c r="M38" s="52"/>
      <c r="N38" s="16"/>
      <c r="O38" s="81" t="s">
        <v>275</v>
      </c>
      <c r="P38" s="52" t="s">
        <v>266</v>
      </c>
      <c r="Q38" s="52" t="s">
        <v>267</v>
      </c>
      <c r="R38" s="52" t="s">
        <v>199</v>
      </c>
      <c r="S38" s="16"/>
      <c r="T38" s="52"/>
      <c r="U38" s="52"/>
      <c r="V38" s="52"/>
      <c r="W38" s="52"/>
      <c r="X38" s="52"/>
      <c r="Y38" s="16"/>
      <c r="Z38" s="52"/>
      <c r="AA38" s="52"/>
      <c r="AB38" s="52" t="s">
        <v>160</v>
      </c>
      <c r="AC38" s="52" t="s">
        <v>277</v>
      </c>
      <c r="AD38" s="16"/>
      <c r="AE38" s="52"/>
      <c r="AF38" s="52"/>
      <c r="AG38" s="52" t="s">
        <v>278</v>
      </c>
      <c r="AH38" s="52" t="s">
        <v>279</v>
      </c>
      <c r="AI38" s="16"/>
      <c r="AJ38" s="52"/>
      <c r="AK38" s="52" t="s">
        <v>269</v>
      </c>
      <c r="AL38" s="52" t="s">
        <v>280</v>
      </c>
      <c r="AM38" s="52"/>
      <c r="AN38" s="16"/>
      <c r="AO38" s="52" t="s">
        <v>281</v>
      </c>
      <c r="AP38" s="52"/>
      <c r="AQ38" s="52" t="s">
        <v>271</v>
      </c>
      <c r="AR38" s="52"/>
      <c r="AS38" s="16"/>
      <c r="AT38" s="52"/>
      <c r="AU38" s="52" t="s">
        <v>272</v>
      </c>
      <c r="AV38" s="52"/>
      <c r="AW38" s="52" t="s">
        <v>273</v>
      </c>
    </row>
    <row r="39" ht="15.75" customHeight="1">
      <c r="A39" s="36"/>
      <c r="B39" s="24" t="s">
        <v>174</v>
      </c>
      <c r="C39" s="28"/>
      <c r="D39" s="28"/>
      <c r="E39" s="28"/>
      <c r="F39" s="28"/>
      <c r="G39" s="28"/>
      <c r="H39" s="16"/>
      <c r="I39" s="28"/>
      <c r="J39" s="28"/>
      <c r="K39" s="28"/>
      <c r="L39" s="28"/>
      <c r="M39" s="28"/>
      <c r="N39" s="16"/>
      <c r="O39" s="28"/>
      <c r="P39" s="28" t="s">
        <v>158</v>
      </c>
      <c r="Q39" s="28" t="s">
        <v>282</v>
      </c>
      <c r="R39" s="28" t="s">
        <v>159</v>
      </c>
      <c r="S39" s="16"/>
      <c r="T39" s="28"/>
      <c r="U39" s="28"/>
      <c r="V39" s="28"/>
      <c r="W39" s="28"/>
      <c r="X39" s="28"/>
      <c r="Y39" s="16"/>
      <c r="Z39" s="84" t="s">
        <v>283</v>
      </c>
      <c r="AA39" s="28" t="s">
        <v>286</v>
      </c>
      <c r="AB39" s="28" t="s">
        <v>287</v>
      </c>
      <c r="AC39" s="30" t="s">
        <v>288</v>
      </c>
      <c r="AD39" s="16"/>
      <c r="AE39" s="28"/>
      <c r="AF39" s="86" t="s">
        <v>289</v>
      </c>
      <c r="AG39" s="28" t="s">
        <v>296</v>
      </c>
      <c r="AH39" s="28" t="s">
        <v>279</v>
      </c>
      <c r="AI39" s="16"/>
      <c r="AJ39" s="89" t="s">
        <v>297</v>
      </c>
      <c r="AK39" s="84" t="s">
        <v>303</v>
      </c>
      <c r="AL39" s="30" t="s">
        <v>289</v>
      </c>
      <c r="AM39" s="30" t="s">
        <v>304</v>
      </c>
      <c r="AN39" s="16"/>
      <c r="AO39" s="28"/>
      <c r="AP39" s="28" t="s">
        <v>305</v>
      </c>
      <c r="AQ39" s="30"/>
      <c r="AR39" s="30" t="s">
        <v>304</v>
      </c>
      <c r="AS39" s="16"/>
      <c r="AT39" s="28" t="s">
        <v>306</v>
      </c>
      <c r="AU39" s="28" t="s">
        <v>307</v>
      </c>
      <c r="AV39" s="84" t="s">
        <v>308</v>
      </c>
      <c r="AW39" s="61" t="s">
        <v>309</v>
      </c>
    </row>
    <row r="40" ht="15.75" customHeight="1">
      <c r="A40" s="36"/>
      <c r="B40" s="24" t="s">
        <v>193</v>
      </c>
      <c r="C40" s="28"/>
      <c r="D40" s="28"/>
      <c r="E40" s="28"/>
      <c r="F40" s="28"/>
      <c r="G40" s="28"/>
      <c r="H40" s="16"/>
      <c r="I40" s="28"/>
      <c r="J40" s="28"/>
      <c r="K40" s="28"/>
      <c r="L40" s="28"/>
      <c r="M40" s="28"/>
      <c r="N40" s="16"/>
      <c r="O40" s="28"/>
      <c r="P40" s="28" t="s">
        <v>158</v>
      </c>
      <c r="Q40" s="28" t="s">
        <v>282</v>
      </c>
      <c r="R40" s="28" t="s">
        <v>316</v>
      </c>
      <c r="S40" s="16"/>
      <c r="T40" s="28"/>
      <c r="U40" s="28"/>
      <c r="V40" s="33"/>
      <c r="W40" s="28"/>
      <c r="X40" s="28"/>
      <c r="Y40" s="16"/>
      <c r="Z40" s="84" t="s">
        <v>283</v>
      </c>
      <c r="AA40" s="28" t="s">
        <v>286</v>
      </c>
      <c r="AB40" s="28" t="s">
        <v>201</v>
      </c>
      <c r="AC40" s="30" t="s">
        <v>288</v>
      </c>
      <c r="AD40" s="16"/>
      <c r="AE40" s="28"/>
      <c r="AF40" s="86" t="s">
        <v>289</v>
      </c>
      <c r="AG40" s="28" t="s">
        <v>296</v>
      </c>
      <c r="AH40" s="28" t="s">
        <v>279</v>
      </c>
      <c r="AI40" s="16"/>
      <c r="AJ40" s="89" t="s">
        <v>320</v>
      </c>
      <c r="AK40" s="84" t="s">
        <v>321</v>
      </c>
      <c r="AL40" s="30" t="s">
        <v>289</v>
      </c>
      <c r="AM40" s="30" t="s">
        <v>322</v>
      </c>
      <c r="AN40" s="16"/>
      <c r="AO40" s="28"/>
      <c r="AP40" s="28" t="s">
        <v>305</v>
      </c>
      <c r="AQ40" s="30"/>
      <c r="AR40" s="30" t="s">
        <v>304</v>
      </c>
      <c r="AS40" s="16"/>
      <c r="AT40" s="28" t="s">
        <v>306</v>
      </c>
      <c r="AU40" s="61" t="s">
        <v>323</v>
      </c>
      <c r="AV40" s="84" t="s">
        <v>308</v>
      </c>
      <c r="AW40" s="61" t="s">
        <v>309</v>
      </c>
    </row>
    <row r="41" ht="15.75" customHeight="1">
      <c r="A41" s="36"/>
      <c r="B41" s="40" t="s">
        <v>111</v>
      </c>
      <c r="C41" s="40"/>
      <c r="D41" s="40"/>
      <c r="E41" s="40"/>
      <c r="F41" s="40"/>
      <c r="G41" s="40"/>
      <c r="H41" s="16"/>
      <c r="I41" s="40"/>
      <c r="J41" s="40"/>
      <c r="K41" s="40"/>
      <c r="L41" s="40"/>
      <c r="M41" s="40"/>
      <c r="N41" s="16"/>
      <c r="O41" s="40"/>
      <c r="P41" s="40"/>
      <c r="Q41" s="40"/>
      <c r="R41" s="40"/>
      <c r="S41" s="16"/>
      <c r="T41" s="40"/>
      <c r="U41" s="40"/>
      <c r="V41" s="40"/>
      <c r="W41" s="40"/>
      <c r="X41" s="40"/>
      <c r="Y41" s="16"/>
      <c r="Z41" s="40"/>
      <c r="AA41" s="40"/>
      <c r="AB41" s="40"/>
      <c r="AC41" s="40"/>
      <c r="AD41" s="16"/>
      <c r="AE41" s="40"/>
      <c r="AF41" s="40"/>
      <c r="AG41" s="40"/>
      <c r="AH41" s="40"/>
      <c r="AI41" s="16"/>
      <c r="AJ41" s="40"/>
      <c r="AK41" s="40"/>
      <c r="AL41" s="40"/>
      <c r="AM41" s="40"/>
      <c r="AN41" s="16"/>
      <c r="AO41" s="40"/>
      <c r="AP41" s="40"/>
      <c r="AQ41" s="40"/>
      <c r="AR41" s="40"/>
      <c r="AS41" s="16"/>
      <c r="AT41" s="40"/>
      <c r="AU41" s="40"/>
      <c r="AV41" s="40"/>
      <c r="AW41" s="40"/>
    </row>
    <row r="42" ht="15.75" customHeight="1">
      <c r="A42" s="36"/>
      <c r="B42" s="24" t="s">
        <v>198</v>
      </c>
      <c r="C42" s="28"/>
      <c r="D42" s="28"/>
      <c r="E42" s="28"/>
      <c r="F42" s="28"/>
      <c r="G42" s="28"/>
      <c r="H42" s="16"/>
      <c r="I42" s="28"/>
      <c r="J42" s="28"/>
      <c r="K42" s="28"/>
      <c r="L42" s="28"/>
      <c r="M42" s="28"/>
      <c r="N42" s="16"/>
      <c r="O42" s="28"/>
      <c r="P42" s="28" t="s">
        <v>325</v>
      </c>
      <c r="Q42" s="28" t="s">
        <v>326</v>
      </c>
      <c r="R42" s="28"/>
      <c r="S42" s="16"/>
      <c r="T42" s="28"/>
      <c r="U42" s="28"/>
      <c r="V42" s="28"/>
      <c r="W42" s="28"/>
      <c r="X42" s="28"/>
      <c r="Y42" s="16"/>
      <c r="Z42" s="28" t="s">
        <v>328</v>
      </c>
      <c r="AA42" s="93" t="s">
        <v>330</v>
      </c>
      <c r="AB42" s="28" t="s">
        <v>338</v>
      </c>
      <c r="AC42" s="28" t="s">
        <v>339</v>
      </c>
      <c r="AD42" s="16"/>
      <c r="AE42" s="28"/>
      <c r="AF42" s="93" t="s">
        <v>342</v>
      </c>
      <c r="AG42" s="28" t="s">
        <v>202</v>
      </c>
      <c r="AH42" s="28" t="s">
        <v>279</v>
      </c>
      <c r="AI42" s="16"/>
      <c r="AJ42" s="89"/>
      <c r="AK42" s="93" t="s">
        <v>330</v>
      </c>
      <c r="AL42" s="28" t="s">
        <v>205</v>
      </c>
      <c r="AM42" s="28" t="s">
        <v>206</v>
      </c>
      <c r="AN42" s="16"/>
      <c r="AO42" s="28"/>
      <c r="AP42" s="28" t="s">
        <v>346</v>
      </c>
      <c r="AQ42" s="28" t="s">
        <v>348</v>
      </c>
      <c r="AR42" s="28"/>
      <c r="AS42" s="16"/>
      <c r="AT42" s="28" t="s">
        <v>208</v>
      </c>
      <c r="AU42" s="33" t="s">
        <v>352</v>
      </c>
      <c r="AV42" s="28" t="s">
        <v>197</v>
      </c>
      <c r="AW42" s="61" t="s">
        <v>309</v>
      </c>
    </row>
    <row r="43" ht="15.75" customHeight="1">
      <c r="A43" s="66"/>
      <c r="B43" s="24" t="s">
        <v>210</v>
      </c>
      <c r="C43" s="28"/>
      <c r="D43" s="28"/>
      <c r="E43" s="28"/>
      <c r="F43" s="28"/>
      <c r="G43" s="28"/>
      <c r="H43" s="16"/>
      <c r="I43" s="28"/>
      <c r="J43" s="28"/>
      <c r="K43" s="28"/>
      <c r="L43" s="28"/>
      <c r="M43" s="28"/>
      <c r="N43" s="16"/>
      <c r="O43" s="28"/>
      <c r="P43" s="28" t="s">
        <v>325</v>
      </c>
      <c r="Q43" s="28" t="s">
        <v>326</v>
      </c>
      <c r="R43" s="28"/>
      <c r="S43" s="16"/>
      <c r="T43" s="28"/>
      <c r="U43" s="28"/>
      <c r="V43" s="28"/>
      <c r="W43" s="28"/>
      <c r="X43" s="28"/>
      <c r="Y43" s="16"/>
      <c r="Z43" s="28" t="s">
        <v>328</v>
      </c>
      <c r="AA43" s="93" t="s">
        <v>330</v>
      </c>
      <c r="AB43" s="28" t="s">
        <v>355</v>
      </c>
      <c r="AC43" s="28" t="s">
        <v>339</v>
      </c>
      <c r="AD43" s="16"/>
      <c r="AE43" s="28"/>
      <c r="AF43" s="93" t="s">
        <v>342</v>
      </c>
      <c r="AG43" s="28" t="s">
        <v>202</v>
      </c>
      <c r="AH43" s="28" t="s">
        <v>356</v>
      </c>
      <c r="AI43" s="16"/>
      <c r="AJ43" s="89"/>
      <c r="AK43" s="93" t="s">
        <v>330</v>
      </c>
      <c r="AL43" s="28" t="s">
        <v>205</v>
      </c>
      <c r="AM43" s="28" t="s">
        <v>206</v>
      </c>
      <c r="AN43" s="16"/>
      <c r="AO43" s="28"/>
      <c r="AP43" s="28" t="s">
        <v>357</v>
      </c>
      <c r="AQ43" s="28" t="s">
        <v>348</v>
      </c>
      <c r="AR43" s="28"/>
      <c r="AS43" s="16"/>
      <c r="AT43" s="28" t="s">
        <v>208</v>
      </c>
      <c r="AU43" s="33" t="s">
        <v>352</v>
      </c>
      <c r="AV43" s="61"/>
      <c r="AW43" s="61" t="s">
        <v>309</v>
      </c>
    </row>
    <row r="44" ht="15.75" customHeight="1">
      <c r="A44" s="6" t="s">
        <v>20</v>
      </c>
      <c r="B44" s="6" t="s">
        <v>23</v>
      </c>
      <c r="C44" s="6" t="s">
        <v>24</v>
      </c>
      <c r="D44" s="6" t="s">
        <v>27</v>
      </c>
      <c r="E44" s="6" t="s">
        <v>29</v>
      </c>
      <c r="F44" s="6" t="s">
        <v>32</v>
      </c>
      <c r="G44" s="6" t="s">
        <v>33</v>
      </c>
      <c r="H44" s="16"/>
      <c r="I44" s="6" t="s">
        <v>34</v>
      </c>
      <c r="J44" s="6" t="s">
        <v>36</v>
      </c>
      <c r="K44" s="6" t="s">
        <v>39</v>
      </c>
      <c r="L44" s="6" t="s">
        <v>42</v>
      </c>
      <c r="M44" s="6" t="s">
        <v>43</v>
      </c>
      <c r="N44" s="16"/>
      <c r="O44" s="6" t="s">
        <v>44</v>
      </c>
      <c r="P44" s="6" t="s">
        <v>45</v>
      </c>
      <c r="Q44" s="6" t="s">
        <v>46</v>
      </c>
      <c r="R44" s="6" t="s">
        <v>47</v>
      </c>
      <c r="S44" s="16"/>
      <c r="T44" s="6" t="s">
        <v>48</v>
      </c>
      <c r="U44" s="6" t="s">
        <v>49</v>
      </c>
      <c r="V44" s="6" t="s">
        <v>50</v>
      </c>
      <c r="W44" s="6" t="s">
        <v>51</v>
      </c>
      <c r="X44" s="6" t="s">
        <v>52</v>
      </c>
      <c r="Y44" s="16"/>
      <c r="Z44" s="6" t="s">
        <v>53</v>
      </c>
      <c r="AA44" s="6" t="s">
        <v>54</v>
      </c>
      <c r="AB44" s="6" t="s">
        <v>56</v>
      </c>
      <c r="AC44" s="6" t="s">
        <v>57</v>
      </c>
      <c r="AD44" s="16"/>
      <c r="AE44" s="6" t="s">
        <v>59</v>
      </c>
      <c r="AF44" s="6" t="s">
        <v>61</v>
      </c>
      <c r="AG44" s="6" t="s">
        <v>63</v>
      </c>
      <c r="AH44" s="6" t="s">
        <v>65</v>
      </c>
      <c r="AI44" s="16"/>
      <c r="AJ44" s="6" t="s">
        <v>66</v>
      </c>
      <c r="AK44" s="6" t="s">
        <v>67</v>
      </c>
      <c r="AL44" s="6" t="s">
        <v>68</v>
      </c>
      <c r="AM44" s="6" t="s">
        <v>69</v>
      </c>
      <c r="AN44" s="16"/>
      <c r="AO44" s="6" t="s">
        <v>70</v>
      </c>
      <c r="AP44" s="6" t="s">
        <v>71</v>
      </c>
      <c r="AQ44" s="6" t="s">
        <v>72</v>
      </c>
      <c r="AR44" s="6" t="s">
        <v>73</v>
      </c>
      <c r="AS44" s="16"/>
      <c r="AT44" s="6" t="s">
        <v>74</v>
      </c>
      <c r="AU44" s="6" t="s">
        <v>75</v>
      </c>
      <c r="AV44" s="6" t="s">
        <v>76</v>
      </c>
      <c r="AW44" s="6" t="s">
        <v>77</v>
      </c>
    </row>
    <row r="45" ht="55.5" customHeight="1">
      <c r="A45" s="23" t="s">
        <v>12</v>
      </c>
      <c r="B45" s="24" t="s">
        <v>79</v>
      </c>
      <c r="C45" s="28"/>
      <c r="D45" s="28"/>
      <c r="E45" s="28"/>
      <c r="F45" s="28" t="s">
        <v>358</v>
      </c>
      <c r="G45" s="28"/>
      <c r="H45" s="16"/>
      <c r="I45" s="28" t="s">
        <v>249</v>
      </c>
      <c r="J45" s="28" t="s">
        <v>359</v>
      </c>
      <c r="K45" s="33" t="s">
        <v>360</v>
      </c>
      <c r="L45" s="33" t="s">
        <v>361</v>
      </c>
      <c r="M45" s="33"/>
      <c r="N45" s="16"/>
      <c r="O45" s="28"/>
      <c r="P45" s="28"/>
      <c r="Q45" s="28"/>
      <c r="R45" s="28"/>
      <c r="S45" s="16"/>
      <c r="T45" s="28" t="s">
        <v>362</v>
      </c>
      <c r="U45" s="28" t="s">
        <v>363</v>
      </c>
      <c r="V45" s="33" t="s">
        <v>364</v>
      </c>
      <c r="W45" s="28" t="s">
        <v>365</v>
      </c>
      <c r="X45" s="28"/>
      <c r="Y45" s="16"/>
      <c r="Z45" s="28"/>
      <c r="AA45" s="28"/>
      <c r="AB45" s="28"/>
      <c r="AC45" s="28"/>
      <c r="AD45" s="16"/>
      <c r="AE45" s="28"/>
      <c r="AF45" s="33"/>
      <c r="AG45" s="28"/>
      <c r="AH45" s="28"/>
      <c r="AI45" s="16"/>
      <c r="AJ45" s="28"/>
      <c r="AK45" s="28"/>
      <c r="AL45" s="28"/>
      <c r="AM45" s="28"/>
      <c r="AN45" s="16"/>
      <c r="AO45" s="28"/>
      <c r="AP45" s="28"/>
      <c r="AQ45" s="28"/>
      <c r="AR45" s="28"/>
      <c r="AS45" s="16"/>
      <c r="AT45" s="28"/>
      <c r="AU45" s="28"/>
      <c r="AV45" s="28"/>
      <c r="AW45" s="28"/>
    </row>
    <row r="46" ht="58.5" customHeight="1">
      <c r="A46" s="36"/>
      <c r="B46" s="24" t="s">
        <v>109</v>
      </c>
      <c r="C46" s="28"/>
      <c r="D46" s="28"/>
      <c r="E46" s="28"/>
      <c r="F46" s="28" t="s">
        <v>358</v>
      </c>
      <c r="G46" s="28"/>
      <c r="H46" s="16"/>
      <c r="I46" s="28" t="s">
        <v>249</v>
      </c>
      <c r="J46" s="28" t="s">
        <v>359</v>
      </c>
      <c r="K46" s="33" t="s">
        <v>360</v>
      </c>
      <c r="L46" s="33" t="s">
        <v>361</v>
      </c>
      <c r="M46" s="33"/>
      <c r="N46" s="16"/>
      <c r="O46" s="28"/>
      <c r="P46" s="28"/>
      <c r="Q46" s="28"/>
      <c r="R46" s="28"/>
      <c r="S46" s="16"/>
      <c r="T46" s="28" t="s">
        <v>362</v>
      </c>
      <c r="U46" s="28" t="s">
        <v>363</v>
      </c>
      <c r="V46" s="33" t="s">
        <v>364</v>
      </c>
      <c r="W46" s="28" t="s">
        <v>365</v>
      </c>
      <c r="X46" s="28"/>
      <c r="Y46" s="16"/>
      <c r="Z46" s="28"/>
      <c r="AA46" s="28"/>
      <c r="AB46" s="28"/>
      <c r="AC46" s="28"/>
      <c r="AD46" s="16"/>
      <c r="AE46" s="28"/>
      <c r="AF46" s="33"/>
      <c r="AG46" s="28"/>
      <c r="AH46" s="28"/>
      <c r="AI46" s="16"/>
      <c r="AJ46" s="28"/>
      <c r="AK46" s="28"/>
      <c r="AL46" s="28"/>
      <c r="AM46" s="28"/>
      <c r="AN46" s="16"/>
      <c r="AO46" s="28"/>
      <c r="AP46" s="28"/>
      <c r="AQ46" s="28"/>
      <c r="AR46" s="28"/>
      <c r="AS46" s="16"/>
      <c r="AT46" s="28"/>
      <c r="AU46" s="28"/>
      <c r="AV46" s="28"/>
      <c r="AW46" s="28"/>
    </row>
    <row r="47" ht="15.75" customHeight="1">
      <c r="A47" s="36"/>
      <c r="B47" s="40" t="s">
        <v>111</v>
      </c>
      <c r="C47" s="40"/>
      <c r="D47" s="40"/>
      <c r="E47" s="40"/>
      <c r="F47" s="40"/>
      <c r="G47" s="40"/>
      <c r="H47" s="16"/>
      <c r="I47" s="40"/>
      <c r="J47" s="40"/>
      <c r="K47" s="40"/>
      <c r="L47" s="40"/>
      <c r="M47" s="40"/>
      <c r="N47" s="16"/>
      <c r="O47" s="40"/>
      <c r="P47" s="40"/>
      <c r="Q47" s="40"/>
      <c r="R47" s="40"/>
      <c r="S47" s="16"/>
      <c r="T47" s="40"/>
      <c r="U47" s="40"/>
      <c r="V47" s="40"/>
      <c r="W47" s="40"/>
      <c r="X47" s="40"/>
      <c r="Y47" s="16"/>
      <c r="Z47" s="40"/>
      <c r="AA47" s="40"/>
      <c r="AB47" s="40"/>
      <c r="AC47" s="40"/>
      <c r="AD47" s="16"/>
      <c r="AE47" s="40"/>
      <c r="AF47" s="40"/>
      <c r="AG47" s="40"/>
      <c r="AH47" s="40"/>
      <c r="AI47" s="16"/>
      <c r="AJ47" s="40"/>
      <c r="AK47" s="40"/>
      <c r="AL47" s="40"/>
      <c r="AM47" s="40"/>
      <c r="AN47" s="16"/>
      <c r="AO47" s="40"/>
      <c r="AP47" s="40"/>
      <c r="AQ47" s="40"/>
      <c r="AR47" s="40"/>
      <c r="AS47" s="16"/>
      <c r="AT47" s="40"/>
      <c r="AU47" s="40"/>
      <c r="AV47" s="40"/>
      <c r="AW47" s="40"/>
    </row>
    <row r="48" ht="15.75" customHeight="1">
      <c r="A48" s="36"/>
      <c r="B48" s="24" t="s">
        <v>113</v>
      </c>
      <c r="C48" s="28"/>
      <c r="D48" s="28" t="s">
        <v>372</v>
      </c>
      <c r="E48" s="28" t="s">
        <v>373</v>
      </c>
      <c r="F48" s="28" t="s">
        <v>358</v>
      </c>
      <c r="G48" s="28"/>
      <c r="H48" s="16"/>
      <c r="I48" s="28"/>
      <c r="J48" s="28" t="s">
        <v>375</v>
      </c>
      <c r="K48" s="28" t="s">
        <v>144</v>
      </c>
      <c r="L48" s="28" t="s">
        <v>145</v>
      </c>
      <c r="M48" s="28"/>
      <c r="N48" s="16"/>
      <c r="O48" s="28"/>
      <c r="P48" s="28"/>
      <c r="Q48" s="28"/>
      <c r="R48" s="28"/>
      <c r="S48" s="16"/>
      <c r="T48" s="28" t="s">
        <v>376</v>
      </c>
      <c r="U48" s="28" t="s">
        <v>363</v>
      </c>
      <c r="V48" s="33" t="s">
        <v>364</v>
      </c>
      <c r="W48" s="28" t="s">
        <v>257</v>
      </c>
      <c r="X48" s="28"/>
      <c r="Y48" s="16"/>
      <c r="Z48" s="28"/>
      <c r="AA48" s="28"/>
      <c r="AB48" s="28"/>
      <c r="AC48" s="28"/>
      <c r="AD48" s="16"/>
      <c r="AE48" s="28"/>
      <c r="AF48" s="28"/>
      <c r="AG48" s="28"/>
      <c r="AH48" s="28"/>
      <c r="AI48" s="16"/>
      <c r="AJ48" s="28"/>
      <c r="AK48" s="28"/>
      <c r="AL48" s="28"/>
      <c r="AM48" s="28"/>
      <c r="AN48" s="16"/>
      <c r="AO48" s="28"/>
      <c r="AP48" s="28"/>
      <c r="AQ48" s="28"/>
      <c r="AR48" s="28"/>
      <c r="AS48" s="16"/>
      <c r="AT48" s="28"/>
      <c r="AU48" s="28"/>
      <c r="AV48" s="28"/>
      <c r="AW48" s="28"/>
    </row>
    <row r="49" ht="15.75" customHeight="1">
      <c r="A49" s="36"/>
      <c r="B49" s="24" t="s">
        <v>120</v>
      </c>
      <c r="C49" s="28"/>
      <c r="D49" s="28" t="s">
        <v>372</v>
      </c>
      <c r="E49" s="28" t="s">
        <v>373</v>
      </c>
      <c r="F49" s="28" t="s">
        <v>358</v>
      </c>
      <c r="G49" s="28"/>
      <c r="H49" s="16"/>
      <c r="I49" s="28"/>
      <c r="J49" s="28" t="s">
        <v>375</v>
      </c>
      <c r="K49" s="28" t="s">
        <v>144</v>
      </c>
      <c r="L49" s="28" t="s">
        <v>145</v>
      </c>
      <c r="M49" s="28"/>
      <c r="N49" s="16"/>
      <c r="O49" s="28"/>
      <c r="P49" s="28"/>
      <c r="Q49" s="28"/>
      <c r="R49" s="28"/>
      <c r="S49" s="16"/>
      <c r="T49" s="28" t="s">
        <v>376</v>
      </c>
      <c r="U49" s="28" t="s">
        <v>363</v>
      </c>
      <c r="V49" s="33" t="s">
        <v>364</v>
      </c>
      <c r="W49" s="28" t="s">
        <v>257</v>
      </c>
      <c r="X49" s="28"/>
      <c r="Y49" s="16"/>
      <c r="Z49" s="28"/>
      <c r="AA49" s="28"/>
      <c r="AB49" s="28"/>
      <c r="AC49" s="28"/>
      <c r="AD49" s="16"/>
      <c r="AE49" s="28"/>
      <c r="AF49" s="28"/>
      <c r="AG49" s="28"/>
      <c r="AH49" s="28"/>
      <c r="AI49" s="16"/>
      <c r="AJ49" s="28"/>
      <c r="AK49" s="28"/>
      <c r="AL49" s="28"/>
      <c r="AM49" s="28"/>
      <c r="AN49" s="16"/>
      <c r="AO49" s="28"/>
      <c r="AP49" s="28"/>
      <c r="AQ49" s="28"/>
      <c r="AR49" s="28"/>
      <c r="AS49" s="16"/>
      <c r="AT49" s="28"/>
      <c r="AU49" s="28"/>
      <c r="AV49" s="28"/>
      <c r="AW49" s="28"/>
    </row>
    <row r="50" ht="15.75" customHeight="1">
      <c r="A50" s="36"/>
      <c r="B50" s="24" t="s">
        <v>121</v>
      </c>
      <c r="C50" s="33"/>
      <c r="D50" s="28"/>
      <c r="E50" s="33" t="s">
        <v>378</v>
      </c>
      <c r="F50" s="28"/>
      <c r="G50" s="28"/>
      <c r="H50" s="16"/>
      <c r="I50" s="28"/>
      <c r="J50" s="28"/>
      <c r="K50" s="28"/>
      <c r="L50" s="28"/>
      <c r="M50" s="28"/>
      <c r="N50" s="16"/>
      <c r="O50" s="28"/>
      <c r="P50" s="28"/>
      <c r="Q50" s="28"/>
      <c r="R50" s="28"/>
      <c r="S50" s="16"/>
      <c r="T50" s="28"/>
      <c r="U50" s="28"/>
      <c r="V50" s="28" t="s">
        <v>136</v>
      </c>
      <c r="W50" s="28"/>
      <c r="X50" s="28"/>
      <c r="Y50" s="16"/>
      <c r="Z50" s="28"/>
      <c r="AA50" s="28"/>
      <c r="AB50" s="28"/>
      <c r="AC50" s="28"/>
      <c r="AD50" s="16"/>
      <c r="AE50" s="28"/>
      <c r="AF50" s="28"/>
      <c r="AG50" s="28"/>
      <c r="AH50" s="28"/>
      <c r="AI50" s="16"/>
      <c r="AJ50" s="28"/>
      <c r="AK50" s="28"/>
      <c r="AL50" s="28"/>
      <c r="AM50" s="28"/>
      <c r="AN50" s="16"/>
      <c r="AO50" s="28"/>
      <c r="AP50" s="28"/>
      <c r="AQ50" s="28"/>
      <c r="AR50" s="28"/>
      <c r="AS50" s="16"/>
      <c r="AT50" s="28"/>
      <c r="AU50" s="28"/>
      <c r="AV50" s="28"/>
      <c r="AW50" s="28"/>
    </row>
    <row r="51" ht="15.75" customHeight="1">
      <c r="A51" s="36"/>
      <c r="B51" s="40" t="s">
        <v>124</v>
      </c>
      <c r="C51" s="40"/>
      <c r="D51" s="40"/>
      <c r="E51" s="40"/>
      <c r="F51" s="40"/>
      <c r="G51" s="40"/>
      <c r="H51" s="16"/>
      <c r="I51" s="40"/>
      <c r="J51" s="40"/>
      <c r="K51" s="40"/>
      <c r="L51" s="40"/>
      <c r="M51" s="40"/>
      <c r="N51" s="16"/>
      <c r="O51" s="40"/>
      <c r="P51" s="40"/>
      <c r="Q51" s="40"/>
      <c r="R51" s="40"/>
      <c r="S51" s="16"/>
      <c r="T51" s="40"/>
      <c r="U51" s="40"/>
      <c r="V51" s="40"/>
      <c r="W51" s="40"/>
      <c r="X51" s="40"/>
      <c r="Y51" s="16"/>
      <c r="Z51" s="40"/>
      <c r="AA51" s="40"/>
      <c r="AB51" s="40"/>
      <c r="AC51" s="40"/>
      <c r="AD51" s="16"/>
      <c r="AE51" s="40"/>
      <c r="AF51" s="40"/>
      <c r="AG51" s="40"/>
      <c r="AH51" s="40"/>
      <c r="AI51" s="16"/>
      <c r="AJ51" s="40"/>
      <c r="AK51" s="40"/>
      <c r="AL51" s="40"/>
      <c r="AM51" s="40"/>
      <c r="AN51" s="16"/>
      <c r="AO51" s="40"/>
      <c r="AP51" s="40"/>
      <c r="AQ51" s="40"/>
      <c r="AR51" s="40"/>
      <c r="AS51" s="16"/>
      <c r="AT51" s="40"/>
      <c r="AU51" s="40"/>
      <c r="AV51" s="40"/>
      <c r="AW51" s="40"/>
    </row>
    <row r="52" ht="15.75" customHeight="1">
      <c r="A52" s="36"/>
      <c r="B52" s="24" t="s">
        <v>126</v>
      </c>
      <c r="C52" s="28" t="s">
        <v>245</v>
      </c>
      <c r="D52" s="28"/>
      <c r="E52" s="28" t="s">
        <v>373</v>
      </c>
      <c r="F52" s="28"/>
      <c r="G52" s="28"/>
      <c r="H52" s="16"/>
      <c r="I52" s="28"/>
      <c r="J52" s="28" t="s">
        <v>392</v>
      </c>
      <c r="K52" s="28" t="s">
        <v>393</v>
      </c>
      <c r="L52" s="28" t="s">
        <v>260</v>
      </c>
      <c r="M52" s="28"/>
      <c r="N52" s="16"/>
      <c r="O52" s="28"/>
      <c r="P52" s="28" t="s">
        <v>394</v>
      </c>
      <c r="Q52" s="28" t="s">
        <v>395</v>
      </c>
      <c r="R52" s="28"/>
      <c r="S52" s="16"/>
      <c r="T52" s="28"/>
      <c r="U52" s="28" t="s">
        <v>396</v>
      </c>
      <c r="V52" s="28" t="s">
        <v>397</v>
      </c>
      <c r="W52" s="28" t="s">
        <v>217</v>
      </c>
      <c r="X52" s="33"/>
      <c r="Y52" s="16"/>
      <c r="Z52" s="28"/>
      <c r="AA52" s="28"/>
      <c r="AB52" s="28"/>
      <c r="AC52" s="28"/>
      <c r="AD52" s="16"/>
      <c r="AE52" s="28"/>
      <c r="AF52" s="28"/>
      <c r="AG52" s="28"/>
      <c r="AH52" s="28"/>
      <c r="AI52" s="16"/>
      <c r="AJ52" s="101" t="s">
        <v>320</v>
      </c>
      <c r="AK52" s="28"/>
      <c r="AL52" s="28"/>
      <c r="AM52" s="28"/>
      <c r="AN52" s="16"/>
      <c r="AO52" s="28"/>
      <c r="AP52" s="28"/>
      <c r="AQ52" s="28"/>
      <c r="AR52" s="28"/>
      <c r="AS52" s="16"/>
      <c r="AT52" s="28"/>
      <c r="AU52" s="28"/>
      <c r="AV52" s="28"/>
      <c r="AW52" s="28"/>
    </row>
    <row r="53" ht="15.75" customHeight="1">
      <c r="A53" s="36"/>
      <c r="B53" s="24" t="s">
        <v>138</v>
      </c>
      <c r="C53" s="28" t="s">
        <v>245</v>
      </c>
      <c r="D53" s="28"/>
      <c r="E53" s="28" t="s">
        <v>373</v>
      </c>
      <c r="F53" s="28"/>
      <c r="G53" s="28"/>
      <c r="H53" s="16"/>
      <c r="I53" s="28"/>
      <c r="J53" s="28" t="s">
        <v>392</v>
      </c>
      <c r="K53" s="28" t="s">
        <v>393</v>
      </c>
      <c r="L53" s="28" t="s">
        <v>260</v>
      </c>
      <c r="M53" s="28"/>
      <c r="N53" s="16"/>
      <c r="O53" s="28"/>
      <c r="P53" s="28" t="s">
        <v>394</v>
      </c>
      <c r="Q53" s="28" t="s">
        <v>395</v>
      </c>
      <c r="R53" s="28"/>
      <c r="S53" s="16"/>
      <c r="T53" s="28"/>
      <c r="U53" s="28" t="s">
        <v>396</v>
      </c>
      <c r="V53" s="28" t="s">
        <v>397</v>
      </c>
      <c r="W53" s="28" t="s">
        <v>217</v>
      </c>
      <c r="X53" s="33"/>
      <c r="Y53" s="16"/>
      <c r="Z53" s="28"/>
      <c r="AA53" s="28"/>
      <c r="AB53" s="28"/>
      <c r="AC53" s="28"/>
      <c r="AD53" s="16"/>
      <c r="AE53" s="28"/>
      <c r="AF53" s="28"/>
      <c r="AG53" s="28"/>
      <c r="AH53" s="28"/>
      <c r="AI53" s="16"/>
      <c r="AJ53" s="101" t="s">
        <v>320</v>
      </c>
      <c r="AK53" s="28"/>
      <c r="AL53" s="28"/>
      <c r="AM53" s="28"/>
      <c r="AN53" s="16"/>
      <c r="AO53" s="28"/>
      <c r="AP53" s="28"/>
      <c r="AQ53" s="28"/>
      <c r="AR53" s="28"/>
      <c r="AS53" s="16"/>
      <c r="AT53" s="28"/>
      <c r="AU53" s="28"/>
      <c r="AV53" s="28"/>
      <c r="AW53" s="28"/>
    </row>
    <row r="54" ht="15.75" customHeight="1">
      <c r="A54" s="36"/>
      <c r="B54" s="40" t="s">
        <v>111</v>
      </c>
      <c r="C54" s="40"/>
      <c r="D54" s="40"/>
      <c r="E54" s="40"/>
      <c r="F54" s="40"/>
      <c r="G54" s="40"/>
      <c r="H54" s="16"/>
      <c r="I54" s="40"/>
      <c r="J54" s="40"/>
      <c r="K54" s="40"/>
      <c r="L54" s="40"/>
      <c r="M54" s="40"/>
      <c r="N54" s="16"/>
      <c r="O54" s="40"/>
      <c r="P54" s="40"/>
      <c r="Q54" s="40"/>
      <c r="R54" s="40"/>
      <c r="S54" s="16"/>
      <c r="T54" s="40"/>
      <c r="U54" s="40"/>
      <c r="V54" s="40"/>
      <c r="W54" s="40"/>
      <c r="X54" s="40"/>
      <c r="Y54" s="16"/>
      <c r="Z54" s="40"/>
      <c r="AA54" s="40"/>
      <c r="AB54" s="40"/>
      <c r="AC54" s="40"/>
      <c r="AD54" s="16"/>
      <c r="AE54" s="40"/>
      <c r="AF54" s="40"/>
      <c r="AG54" s="40"/>
      <c r="AH54" s="40"/>
      <c r="AI54" s="16"/>
      <c r="AJ54" s="40"/>
      <c r="AK54" s="40"/>
      <c r="AL54" s="40"/>
      <c r="AM54" s="40"/>
      <c r="AN54" s="16"/>
      <c r="AO54" s="40"/>
      <c r="AP54" s="40"/>
      <c r="AQ54" s="40"/>
      <c r="AR54" s="40"/>
      <c r="AS54" s="16"/>
      <c r="AT54" s="40"/>
      <c r="AU54" s="40"/>
      <c r="AV54" s="40"/>
      <c r="AW54" s="40"/>
    </row>
    <row r="55" ht="15.75" customHeight="1">
      <c r="A55" s="36"/>
      <c r="B55" s="24" t="s">
        <v>141</v>
      </c>
      <c r="C55" s="103"/>
      <c r="D55" s="103"/>
      <c r="E55" s="28"/>
      <c r="F55" s="28"/>
      <c r="G55" s="28"/>
      <c r="H55" s="16"/>
      <c r="I55" s="103"/>
      <c r="J55" s="103"/>
      <c r="K55" s="103"/>
      <c r="L55" s="103"/>
      <c r="M55" s="103"/>
      <c r="N55" s="16"/>
      <c r="O55" s="103"/>
      <c r="P55" s="103"/>
      <c r="Q55" s="103"/>
      <c r="R55" s="103"/>
      <c r="S55" s="16"/>
      <c r="T55" s="103"/>
      <c r="U55" s="103"/>
      <c r="V55" s="103"/>
      <c r="W55" s="103"/>
      <c r="X55" s="103"/>
      <c r="Y55" s="16"/>
      <c r="Z55" s="103"/>
      <c r="AA55" s="103"/>
      <c r="AB55" s="103"/>
      <c r="AC55" s="103" t="s">
        <v>417</v>
      </c>
      <c r="AD55" s="16"/>
      <c r="AE55" s="103"/>
      <c r="AF55" s="103"/>
      <c r="AG55" s="103"/>
      <c r="AH55" s="103" t="s">
        <v>418</v>
      </c>
      <c r="AI55" s="16"/>
      <c r="AJ55" s="103"/>
      <c r="AK55" s="103"/>
      <c r="AL55" s="103"/>
      <c r="AM55" s="103" t="s">
        <v>418</v>
      </c>
      <c r="AN55" s="16"/>
      <c r="AO55" s="103"/>
      <c r="AP55" s="103"/>
      <c r="AQ55" s="103"/>
      <c r="AR55" s="103"/>
      <c r="AS55" s="16"/>
      <c r="AT55" s="103"/>
      <c r="AU55" s="103"/>
      <c r="AV55" s="103"/>
      <c r="AW55" s="103"/>
    </row>
    <row r="56" ht="15.75" customHeight="1">
      <c r="A56" s="36"/>
      <c r="B56" s="24" t="s">
        <v>154</v>
      </c>
      <c r="C56" s="103"/>
      <c r="D56" s="103"/>
      <c r="E56" s="28"/>
      <c r="F56" s="28"/>
      <c r="G56" s="28"/>
      <c r="H56" s="16"/>
      <c r="I56" s="103"/>
      <c r="J56" s="103"/>
      <c r="K56" s="103"/>
      <c r="L56" s="103"/>
      <c r="M56" s="103"/>
      <c r="N56" s="16"/>
      <c r="O56" s="103"/>
      <c r="P56" s="103"/>
      <c r="Q56" s="103"/>
      <c r="R56" s="103"/>
      <c r="S56" s="16"/>
      <c r="T56" s="103"/>
      <c r="U56" s="103"/>
      <c r="V56" s="103"/>
      <c r="W56" s="103"/>
      <c r="X56" s="103"/>
      <c r="Y56" s="16"/>
      <c r="Z56" s="103"/>
      <c r="AA56" s="103"/>
      <c r="AB56" s="103"/>
      <c r="AC56" s="103" t="s">
        <v>417</v>
      </c>
      <c r="AD56" s="16"/>
      <c r="AE56" s="103"/>
      <c r="AF56" s="103"/>
      <c r="AG56" s="103"/>
      <c r="AH56" s="103" t="s">
        <v>418</v>
      </c>
      <c r="AI56" s="16"/>
      <c r="AJ56" s="103"/>
      <c r="AK56" s="103"/>
      <c r="AL56" s="103"/>
      <c r="AM56" s="103" t="s">
        <v>418</v>
      </c>
      <c r="AN56" s="16"/>
      <c r="AO56" s="103"/>
      <c r="AP56" s="103"/>
      <c r="AQ56" s="103"/>
      <c r="AR56" s="103"/>
      <c r="AS56" s="16"/>
      <c r="AT56" s="103"/>
      <c r="AU56" s="103"/>
      <c r="AV56" s="103"/>
      <c r="AW56" s="103"/>
    </row>
    <row r="57" ht="15.75" customHeight="1">
      <c r="A57" s="36"/>
      <c r="B57" s="24" t="s">
        <v>155</v>
      </c>
      <c r="C57" s="52"/>
      <c r="D57" s="52" t="s">
        <v>160</v>
      </c>
      <c r="E57" s="52"/>
      <c r="F57" s="52"/>
      <c r="G57" s="52"/>
      <c r="H57" s="16"/>
      <c r="I57" s="52"/>
      <c r="J57" s="52"/>
      <c r="K57" s="52"/>
      <c r="L57" s="52"/>
      <c r="M57" s="52"/>
      <c r="N57" s="16"/>
      <c r="O57" s="52"/>
      <c r="P57" s="52"/>
      <c r="Q57" s="52" t="s">
        <v>421</v>
      </c>
      <c r="R57" s="52"/>
      <c r="S57" s="16"/>
      <c r="T57" s="52"/>
      <c r="U57" s="52"/>
      <c r="V57" s="52"/>
      <c r="W57" s="52"/>
      <c r="X57" s="52"/>
      <c r="Y57" s="16"/>
      <c r="Z57" s="52"/>
      <c r="AA57" s="52"/>
      <c r="AB57" s="52"/>
      <c r="AC57" s="52"/>
      <c r="AD57" s="16"/>
      <c r="AE57" s="52"/>
      <c r="AF57" s="52"/>
      <c r="AG57" s="52"/>
      <c r="AH57" s="52"/>
      <c r="AI57" s="16"/>
      <c r="AJ57" s="52"/>
      <c r="AK57" s="52"/>
      <c r="AL57" s="52"/>
      <c r="AM57" s="52"/>
      <c r="AN57" s="16"/>
      <c r="AO57" s="28"/>
      <c r="AP57" s="52"/>
      <c r="AQ57" s="52" t="s">
        <v>271</v>
      </c>
      <c r="AR57" s="52"/>
      <c r="AS57" s="16"/>
      <c r="AT57" s="52"/>
      <c r="AU57" s="52"/>
      <c r="AV57" s="52" t="s">
        <v>428</v>
      </c>
      <c r="AW57" s="52" t="s">
        <v>429</v>
      </c>
    </row>
    <row r="58" ht="15.75" customHeight="1">
      <c r="A58" s="36"/>
      <c r="B58" s="40" t="s">
        <v>111</v>
      </c>
      <c r="C58" s="40"/>
      <c r="D58" s="40"/>
      <c r="E58" s="40"/>
      <c r="F58" s="40"/>
      <c r="G58" s="40"/>
      <c r="H58" s="16"/>
      <c r="I58" s="40"/>
      <c r="J58" s="40"/>
      <c r="K58" s="40"/>
      <c r="L58" s="40"/>
      <c r="M58" s="40"/>
      <c r="N58" s="16"/>
      <c r="O58" s="40"/>
      <c r="P58" s="40"/>
      <c r="Q58" s="40"/>
      <c r="R58" s="106"/>
      <c r="S58" s="16"/>
      <c r="T58" s="40"/>
      <c r="U58" s="40"/>
      <c r="V58" s="40"/>
      <c r="W58" s="40"/>
      <c r="X58" s="40"/>
      <c r="Y58" s="16"/>
      <c r="Z58" s="40"/>
      <c r="AA58" s="40"/>
      <c r="AB58" s="40"/>
      <c r="AC58" s="40"/>
      <c r="AD58" s="16"/>
      <c r="AE58" s="40"/>
      <c r="AF58" s="40"/>
      <c r="AG58" s="40"/>
      <c r="AH58" s="40"/>
      <c r="AI58" s="16"/>
      <c r="AJ58" s="40"/>
      <c r="AK58" s="40"/>
      <c r="AL58" s="40"/>
      <c r="AM58" s="40"/>
      <c r="AN58" s="16"/>
      <c r="AO58" s="40"/>
      <c r="AP58" s="40"/>
      <c r="AQ58" s="40"/>
      <c r="AR58" s="40"/>
      <c r="AS58" s="16"/>
      <c r="AT58" s="40"/>
      <c r="AU58" s="40"/>
      <c r="AV58" s="40"/>
      <c r="AW58" s="40"/>
    </row>
    <row r="59" ht="71.25" customHeight="1">
      <c r="A59" s="36"/>
      <c r="B59" s="24" t="s">
        <v>164</v>
      </c>
      <c r="C59" s="52"/>
      <c r="D59" s="52"/>
      <c r="E59" s="52"/>
      <c r="F59" s="52"/>
      <c r="G59" s="52"/>
      <c r="H59" s="16"/>
      <c r="I59" s="52"/>
      <c r="J59" s="52"/>
      <c r="K59" s="52"/>
      <c r="L59" s="52"/>
      <c r="M59" s="52"/>
      <c r="N59" s="16"/>
      <c r="O59" s="52"/>
      <c r="P59" s="52"/>
      <c r="Q59" s="52" t="s">
        <v>421</v>
      </c>
      <c r="R59" s="52"/>
      <c r="S59" s="16"/>
      <c r="T59" s="52"/>
      <c r="U59" s="52"/>
      <c r="V59" s="52"/>
      <c r="W59" s="52"/>
      <c r="X59" s="52"/>
      <c r="Y59" s="16"/>
      <c r="Z59" s="52"/>
      <c r="AA59" s="52"/>
      <c r="AB59" s="52"/>
      <c r="AC59" s="52"/>
      <c r="AD59" s="16"/>
      <c r="AE59" s="52"/>
      <c r="AF59" s="52"/>
      <c r="AG59" s="28" t="s">
        <v>166</v>
      </c>
      <c r="AH59" s="52"/>
      <c r="AI59" s="16"/>
      <c r="AJ59" s="52"/>
      <c r="AK59" s="52"/>
      <c r="AL59" s="28" t="s">
        <v>434</v>
      </c>
      <c r="AM59" s="52" t="s">
        <v>435</v>
      </c>
      <c r="AN59" s="16"/>
      <c r="AO59" s="28"/>
      <c r="AP59" s="52"/>
      <c r="AQ59" s="52" t="s">
        <v>271</v>
      </c>
      <c r="AR59" s="52"/>
      <c r="AS59" s="16"/>
      <c r="AT59" s="52" t="s">
        <v>436</v>
      </c>
      <c r="AU59" s="52" t="s">
        <v>323</v>
      </c>
      <c r="AV59" s="52" t="s">
        <v>428</v>
      </c>
      <c r="AW59" s="52" t="s">
        <v>429</v>
      </c>
    </row>
    <row r="60" ht="15.75" customHeight="1">
      <c r="A60" s="36"/>
      <c r="B60" s="24" t="s">
        <v>174</v>
      </c>
      <c r="C60" s="28"/>
      <c r="D60" s="28"/>
      <c r="E60" s="28"/>
      <c r="F60" s="28"/>
      <c r="G60" s="28"/>
      <c r="H60" s="16"/>
      <c r="I60" s="28"/>
      <c r="J60" s="28"/>
      <c r="K60" s="28"/>
      <c r="L60" s="28"/>
      <c r="M60" s="28"/>
      <c r="N60" s="16"/>
      <c r="O60" s="28"/>
      <c r="P60" s="28"/>
      <c r="Q60" s="12" t="s">
        <v>437</v>
      </c>
      <c r="R60" s="28"/>
      <c r="S60" s="16"/>
      <c r="T60" s="28"/>
      <c r="U60" s="28"/>
      <c r="V60" s="28"/>
      <c r="W60" s="28"/>
      <c r="X60" s="28"/>
      <c r="Y60" s="16"/>
      <c r="Z60" s="84" t="s">
        <v>283</v>
      </c>
      <c r="AA60" s="30" t="s">
        <v>438</v>
      </c>
      <c r="AB60" s="28" t="s">
        <v>355</v>
      </c>
      <c r="AC60" s="28" t="s">
        <v>439</v>
      </c>
      <c r="AD60" s="16"/>
      <c r="AE60" s="28"/>
      <c r="AF60" s="30" t="s">
        <v>438</v>
      </c>
      <c r="AG60" s="28" t="s">
        <v>166</v>
      </c>
      <c r="AH60" s="28"/>
      <c r="AI60" s="16"/>
      <c r="AJ60" s="89"/>
      <c r="AK60" s="30" t="s">
        <v>440</v>
      </c>
      <c r="AL60" s="28" t="s">
        <v>434</v>
      </c>
      <c r="AM60" s="28" t="s">
        <v>435</v>
      </c>
      <c r="AN60" s="16"/>
      <c r="AO60" s="28"/>
      <c r="AP60" s="28" t="s">
        <v>441</v>
      </c>
      <c r="AQ60" s="28" t="s">
        <v>442</v>
      </c>
      <c r="AR60" s="28" t="s">
        <v>443</v>
      </c>
      <c r="AS60" s="16"/>
      <c r="AT60" s="28" t="s">
        <v>444</v>
      </c>
      <c r="AU60" s="33" t="s">
        <v>445</v>
      </c>
      <c r="AV60" s="28" t="s">
        <v>197</v>
      </c>
      <c r="AW60" s="28" t="s">
        <v>429</v>
      </c>
    </row>
    <row r="61" ht="15.75" customHeight="1">
      <c r="A61" s="36"/>
      <c r="B61" s="24" t="s">
        <v>193</v>
      </c>
      <c r="C61" s="28"/>
      <c r="D61" s="28"/>
      <c r="E61" s="28"/>
      <c r="F61" s="28"/>
      <c r="G61" s="28"/>
      <c r="H61" s="16"/>
      <c r="I61" s="28"/>
      <c r="J61" s="28"/>
      <c r="K61" s="28"/>
      <c r="L61" s="28"/>
      <c r="M61" s="28"/>
      <c r="N61" s="16"/>
      <c r="O61" s="28"/>
      <c r="P61" s="28"/>
      <c r="Q61" s="12" t="s">
        <v>437</v>
      </c>
      <c r="R61" s="28"/>
      <c r="S61" s="16"/>
      <c r="T61" s="28"/>
      <c r="U61" s="28"/>
      <c r="V61" s="28"/>
      <c r="W61" s="28"/>
      <c r="X61" s="28"/>
      <c r="Y61" s="16"/>
      <c r="Z61" s="84" t="s">
        <v>283</v>
      </c>
      <c r="AA61" s="30" t="s">
        <v>438</v>
      </c>
      <c r="AB61" s="28" t="s">
        <v>355</v>
      </c>
      <c r="AC61" s="28" t="s">
        <v>439</v>
      </c>
      <c r="AD61" s="16"/>
      <c r="AE61" s="28"/>
      <c r="AF61" s="30" t="s">
        <v>438</v>
      </c>
      <c r="AG61" s="28" t="s">
        <v>166</v>
      </c>
      <c r="AH61" s="28"/>
      <c r="AI61" s="16"/>
      <c r="AJ61" s="89"/>
      <c r="AK61" s="30" t="s">
        <v>438</v>
      </c>
      <c r="AL61" s="28" t="s">
        <v>434</v>
      </c>
      <c r="AM61" s="28" t="s">
        <v>447</v>
      </c>
      <c r="AN61" s="16"/>
      <c r="AO61" s="28"/>
      <c r="AP61" s="28" t="s">
        <v>441</v>
      </c>
      <c r="AQ61" s="28" t="s">
        <v>442</v>
      </c>
      <c r="AR61" s="28" t="s">
        <v>443</v>
      </c>
      <c r="AS61" s="16"/>
      <c r="AT61" s="28" t="s">
        <v>444</v>
      </c>
      <c r="AU61" s="33" t="s">
        <v>445</v>
      </c>
      <c r="AV61" s="28" t="s">
        <v>449</v>
      </c>
      <c r="AW61" s="28" t="s">
        <v>429</v>
      </c>
    </row>
    <row r="62" ht="15.75" customHeight="1">
      <c r="A62" s="36"/>
      <c r="B62" s="40" t="s">
        <v>111</v>
      </c>
      <c r="C62" s="40"/>
      <c r="D62" s="40"/>
      <c r="E62" s="40"/>
      <c r="F62" s="40"/>
      <c r="G62" s="40"/>
      <c r="H62" s="16"/>
      <c r="I62" s="40"/>
      <c r="J62" s="40"/>
      <c r="K62" s="40"/>
      <c r="L62" s="40"/>
      <c r="M62" s="40"/>
      <c r="N62" s="16"/>
      <c r="O62" s="40"/>
      <c r="P62" s="40"/>
      <c r="Q62" s="40"/>
      <c r="R62" s="40"/>
      <c r="S62" s="16"/>
      <c r="T62" s="40"/>
      <c r="U62" s="40"/>
      <c r="V62" s="40"/>
      <c r="W62" s="40"/>
      <c r="X62" s="40"/>
      <c r="Y62" s="16"/>
      <c r="Z62" s="106"/>
      <c r="AA62" s="106"/>
      <c r="AB62" s="106"/>
      <c r="AC62" s="106"/>
      <c r="AD62" s="16"/>
      <c r="AE62" s="40"/>
      <c r="AF62" s="40"/>
      <c r="AG62" s="40"/>
      <c r="AH62" s="40"/>
      <c r="AI62" s="16"/>
      <c r="AJ62" s="40"/>
      <c r="AK62" s="40"/>
      <c r="AL62" s="40"/>
      <c r="AM62" s="40"/>
      <c r="AN62" s="16"/>
      <c r="AO62" s="40"/>
      <c r="AP62" s="40"/>
      <c r="AQ62" s="40"/>
      <c r="AR62" s="40"/>
      <c r="AS62" s="16"/>
      <c r="AT62" s="40"/>
      <c r="AU62" s="40"/>
      <c r="AV62" s="40"/>
      <c r="AW62" s="40"/>
    </row>
    <row r="63" ht="15.75" customHeight="1">
      <c r="A63" s="36"/>
      <c r="B63" s="24" t="s">
        <v>198</v>
      </c>
      <c r="C63" s="28"/>
      <c r="D63" s="28"/>
      <c r="E63" s="28"/>
      <c r="F63" s="28"/>
      <c r="G63" s="28"/>
      <c r="H63" s="16"/>
      <c r="I63" s="28"/>
      <c r="J63" s="28"/>
      <c r="K63" s="28"/>
      <c r="L63" s="28"/>
      <c r="M63" s="28"/>
      <c r="N63" s="16"/>
      <c r="O63" s="28"/>
      <c r="P63" s="28"/>
      <c r="Q63" s="28"/>
      <c r="R63" s="28"/>
      <c r="S63" s="16"/>
      <c r="T63" s="28"/>
      <c r="U63" s="28"/>
      <c r="V63" s="28"/>
      <c r="W63" s="28"/>
      <c r="X63" s="28"/>
      <c r="Y63" s="16"/>
      <c r="Z63" s="28" t="s">
        <v>459</v>
      </c>
      <c r="AA63" s="28" t="s">
        <v>460</v>
      </c>
      <c r="AB63" s="93" t="s">
        <v>461</v>
      </c>
      <c r="AC63" s="28" t="s">
        <v>463</v>
      </c>
      <c r="AD63" s="16"/>
      <c r="AE63" s="12"/>
      <c r="AF63" s="28"/>
      <c r="AG63" s="12"/>
      <c r="AH63" s="30" t="s">
        <v>466</v>
      </c>
      <c r="AI63" s="16"/>
      <c r="AJ63" s="89"/>
      <c r="AK63" s="30" t="s">
        <v>467</v>
      </c>
      <c r="AL63" s="93" t="s">
        <v>468</v>
      </c>
      <c r="AM63" s="30" t="s">
        <v>469</v>
      </c>
      <c r="AN63" s="16"/>
      <c r="AO63" s="28"/>
      <c r="AP63" s="30" t="s">
        <v>467</v>
      </c>
      <c r="AQ63" s="30" t="s">
        <v>470</v>
      </c>
      <c r="AR63" s="28"/>
      <c r="AS63" s="16"/>
      <c r="AT63" s="28" t="s">
        <v>444</v>
      </c>
      <c r="AU63" s="28" t="s">
        <v>471</v>
      </c>
      <c r="AV63" s="28" t="s">
        <v>449</v>
      </c>
      <c r="AW63" s="28" t="s">
        <v>192</v>
      </c>
    </row>
    <row r="64" ht="15.75" customHeight="1">
      <c r="A64" s="66"/>
      <c r="B64" s="24" t="s">
        <v>210</v>
      </c>
      <c r="C64" s="28"/>
      <c r="D64" s="28"/>
      <c r="E64" s="28"/>
      <c r="F64" s="28"/>
      <c r="G64" s="28"/>
      <c r="H64" s="16"/>
      <c r="I64" s="28"/>
      <c r="J64" s="28"/>
      <c r="K64" s="28"/>
      <c r="L64" s="28"/>
      <c r="M64" s="28"/>
      <c r="N64" s="16"/>
      <c r="O64" s="28"/>
      <c r="P64" s="28"/>
      <c r="Q64" s="28"/>
      <c r="R64" s="28"/>
      <c r="S64" s="16"/>
      <c r="T64" s="28"/>
      <c r="U64" s="28"/>
      <c r="V64" s="28"/>
      <c r="W64" s="28"/>
      <c r="X64" s="28"/>
      <c r="Y64" s="16"/>
      <c r="Z64" s="28" t="s">
        <v>459</v>
      </c>
      <c r="AA64" s="28" t="s">
        <v>460</v>
      </c>
      <c r="AB64" s="93" t="s">
        <v>461</v>
      </c>
      <c r="AC64" s="28" t="s">
        <v>463</v>
      </c>
      <c r="AD64" s="16"/>
      <c r="AE64" s="12"/>
      <c r="AF64" s="28"/>
      <c r="AG64" s="12"/>
      <c r="AH64" s="30" t="s">
        <v>472</v>
      </c>
      <c r="AI64" s="16"/>
      <c r="AJ64" s="33"/>
      <c r="AK64" s="30" t="s">
        <v>473</v>
      </c>
      <c r="AL64" s="93" t="s">
        <v>468</v>
      </c>
      <c r="AM64" s="30" t="s">
        <v>469</v>
      </c>
      <c r="AN64" s="16"/>
      <c r="AO64" s="28"/>
      <c r="AP64" s="30" t="s">
        <v>467</v>
      </c>
      <c r="AQ64" s="30" t="s">
        <v>474</v>
      </c>
      <c r="AR64" s="28"/>
      <c r="AS64" s="16"/>
      <c r="AT64" s="28" t="s">
        <v>444</v>
      </c>
      <c r="AU64" s="28" t="s">
        <v>471</v>
      </c>
      <c r="AV64" s="28" t="s">
        <v>449</v>
      </c>
      <c r="AW64" s="28" t="s">
        <v>192</v>
      </c>
    </row>
    <row r="65" ht="15.75" customHeight="1">
      <c r="A65" s="6" t="s">
        <v>20</v>
      </c>
      <c r="B65" s="6" t="s">
        <v>23</v>
      </c>
      <c r="C65" s="6" t="s">
        <v>24</v>
      </c>
      <c r="D65" s="6" t="s">
        <v>27</v>
      </c>
      <c r="E65" s="6" t="s">
        <v>29</v>
      </c>
      <c r="F65" s="6" t="s">
        <v>32</v>
      </c>
      <c r="G65" s="6" t="s">
        <v>33</v>
      </c>
      <c r="H65" s="16"/>
      <c r="I65" s="6" t="s">
        <v>34</v>
      </c>
      <c r="J65" s="6" t="s">
        <v>36</v>
      </c>
      <c r="K65" s="6" t="s">
        <v>39</v>
      </c>
      <c r="L65" s="6" t="s">
        <v>42</v>
      </c>
      <c r="M65" s="6" t="s">
        <v>43</v>
      </c>
      <c r="N65" s="16"/>
      <c r="O65" s="6" t="s">
        <v>44</v>
      </c>
      <c r="P65" s="6" t="s">
        <v>45</v>
      </c>
      <c r="Q65" s="6" t="s">
        <v>46</v>
      </c>
      <c r="R65" s="6" t="s">
        <v>47</v>
      </c>
      <c r="S65" s="16"/>
      <c r="T65" s="6" t="s">
        <v>48</v>
      </c>
      <c r="U65" s="6" t="s">
        <v>49</v>
      </c>
      <c r="V65" s="6" t="s">
        <v>50</v>
      </c>
      <c r="W65" s="6" t="s">
        <v>51</v>
      </c>
      <c r="X65" s="6" t="s">
        <v>52</v>
      </c>
      <c r="Y65" s="16"/>
      <c r="Z65" s="6" t="s">
        <v>53</v>
      </c>
      <c r="AA65" s="6" t="s">
        <v>54</v>
      </c>
      <c r="AB65" s="6" t="s">
        <v>56</v>
      </c>
      <c r="AC65" s="6" t="s">
        <v>57</v>
      </c>
      <c r="AD65" s="16"/>
      <c r="AE65" s="6" t="s">
        <v>59</v>
      </c>
      <c r="AF65" s="6" t="s">
        <v>61</v>
      </c>
      <c r="AG65" s="6" t="s">
        <v>63</v>
      </c>
      <c r="AH65" s="6" t="s">
        <v>65</v>
      </c>
      <c r="AI65" s="16"/>
      <c r="AJ65" s="6" t="s">
        <v>66</v>
      </c>
      <c r="AK65" s="6" t="s">
        <v>67</v>
      </c>
      <c r="AL65" s="6" t="s">
        <v>68</v>
      </c>
      <c r="AM65" s="6" t="s">
        <v>69</v>
      </c>
      <c r="AN65" s="16"/>
      <c r="AO65" s="6" t="s">
        <v>70</v>
      </c>
      <c r="AP65" s="6" t="s">
        <v>71</v>
      </c>
      <c r="AQ65" s="6" t="s">
        <v>72</v>
      </c>
      <c r="AR65" s="6" t="s">
        <v>73</v>
      </c>
      <c r="AS65" s="16"/>
      <c r="AT65" s="6" t="s">
        <v>74</v>
      </c>
      <c r="AU65" s="6" t="s">
        <v>75</v>
      </c>
      <c r="AV65" s="6" t="s">
        <v>76</v>
      </c>
      <c r="AW65" s="6" t="s">
        <v>77</v>
      </c>
    </row>
    <row r="66" ht="15.75" customHeight="1">
      <c r="A66" s="23" t="s">
        <v>13</v>
      </c>
      <c r="B66" s="24" t="s">
        <v>79</v>
      </c>
      <c r="C66" s="28"/>
      <c r="D66" s="28"/>
      <c r="E66" s="28" t="s">
        <v>490</v>
      </c>
      <c r="F66" s="28"/>
      <c r="G66" s="28"/>
      <c r="H66" s="16"/>
      <c r="I66" s="33"/>
      <c r="J66" s="12" t="s">
        <v>375</v>
      </c>
      <c r="K66" s="28"/>
      <c r="L66" s="33"/>
      <c r="M66" s="28"/>
      <c r="N66" s="16"/>
      <c r="O66" s="28"/>
      <c r="P66" s="33"/>
      <c r="Q66" s="33"/>
      <c r="R66" s="33"/>
      <c r="S66" s="16"/>
      <c r="T66" s="28" t="s">
        <v>215</v>
      </c>
      <c r="U66" s="28" t="s">
        <v>496</v>
      </c>
      <c r="V66" s="28" t="s">
        <v>216</v>
      </c>
      <c r="W66" s="28" t="s">
        <v>497</v>
      </c>
      <c r="X66" s="28"/>
      <c r="Y66" s="16"/>
      <c r="Z66" s="28"/>
      <c r="AA66" s="28"/>
      <c r="AB66" s="28"/>
      <c r="AC66" s="28"/>
      <c r="AD66" s="16"/>
      <c r="AE66" s="28"/>
      <c r="AF66" s="28"/>
      <c r="AG66" s="28"/>
      <c r="AH66" s="28"/>
      <c r="AI66" s="16"/>
      <c r="AJ66" s="28"/>
      <c r="AK66" s="28"/>
      <c r="AL66" s="84"/>
      <c r="AM66" s="28"/>
      <c r="AN66" s="16"/>
      <c r="AO66" s="28"/>
      <c r="AP66" s="28"/>
      <c r="AQ66" s="28"/>
      <c r="AR66" s="28"/>
      <c r="AS66" s="16"/>
      <c r="AT66" s="28"/>
      <c r="AU66" s="28"/>
      <c r="AV66" s="33"/>
      <c r="AW66" s="28"/>
    </row>
    <row r="67" ht="15.75" customHeight="1">
      <c r="A67" s="36"/>
      <c r="B67" s="24" t="s">
        <v>109</v>
      </c>
      <c r="C67" s="28"/>
      <c r="D67" s="28"/>
      <c r="E67" s="28" t="s">
        <v>490</v>
      </c>
      <c r="F67" s="28"/>
      <c r="G67" s="28"/>
      <c r="H67" s="16"/>
      <c r="I67" s="33"/>
      <c r="J67" s="12" t="s">
        <v>375</v>
      </c>
      <c r="K67" s="28"/>
      <c r="L67" s="33"/>
      <c r="M67" s="28"/>
      <c r="N67" s="16"/>
      <c r="O67" s="28"/>
      <c r="P67" s="33"/>
      <c r="Q67" s="33"/>
      <c r="R67" s="33"/>
      <c r="S67" s="16"/>
      <c r="T67" s="28" t="s">
        <v>215</v>
      </c>
      <c r="U67" s="28" t="s">
        <v>496</v>
      </c>
      <c r="V67" s="28" t="s">
        <v>216</v>
      </c>
      <c r="W67" s="28" t="s">
        <v>497</v>
      </c>
      <c r="X67" s="28"/>
      <c r="Y67" s="16"/>
      <c r="Z67" s="28"/>
      <c r="AA67" s="28"/>
      <c r="AB67" s="28"/>
      <c r="AC67" s="28"/>
      <c r="AD67" s="16"/>
      <c r="AE67" s="28"/>
      <c r="AF67" s="28"/>
      <c r="AG67" s="28"/>
      <c r="AH67" s="28"/>
      <c r="AI67" s="16"/>
      <c r="AJ67" s="28"/>
      <c r="AK67" s="28"/>
      <c r="AL67" s="84"/>
      <c r="AM67" s="28"/>
      <c r="AN67" s="16"/>
      <c r="AO67" s="28"/>
      <c r="AP67" s="28"/>
      <c r="AQ67" s="28"/>
      <c r="AR67" s="28"/>
      <c r="AS67" s="16"/>
      <c r="AT67" s="28"/>
      <c r="AU67" s="28"/>
      <c r="AV67" s="33"/>
      <c r="AW67" s="28"/>
    </row>
    <row r="68" ht="15.75" customHeight="1">
      <c r="A68" s="36"/>
      <c r="B68" s="40" t="s">
        <v>111</v>
      </c>
      <c r="C68" s="40"/>
      <c r="D68" s="40"/>
      <c r="E68" s="40"/>
      <c r="F68" s="40"/>
      <c r="G68" s="40"/>
      <c r="H68" s="16"/>
      <c r="I68" s="40"/>
      <c r="J68" s="40"/>
      <c r="K68" s="40"/>
      <c r="L68" s="40"/>
      <c r="M68" s="40"/>
      <c r="N68" s="16"/>
      <c r="O68" s="40"/>
      <c r="P68" s="40"/>
      <c r="Q68" s="40"/>
      <c r="R68" s="40"/>
      <c r="S68" s="16"/>
      <c r="T68" s="40"/>
      <c r="U68" s="40"/>
      <c r="V68" s="40"/>
      <c r="W68" s="40"/>
      <c r="X68" s="40"/>
      <c r="Y68" s="16"/>
      <c r="Z68" s="40"/>
      <c r="AA68" s="40"/>
      <c r="AB68" s="40"/>
      <c r="AC68" s="40"/>
      <c r="AD68" s="16"/>
      <c r="AE68" s="40"/>
      <c r="AF68" s="40"/>
      <c r="AG68" s="40"/>
      <c r="AH68" s="40"/>
      <c r="AI68" s="16"/>
      <c r="AJ68" s="40"/>
      <c r="AK68" s="40"/>
      <c r="AL68" s="40"/>
      <c r="AM68" s="40"/>
      <c r="AN68" s="16"/>
      <c r="AO68" s="40"/>
      <c r="AP68" s="40"/>
      <c r="AQ68" s="40"/>
      <c r="AR68" s="40"/>
      <c r="AS68" s="16"/>
      <c r="AT68" s="40"/>
      <c r="AU68" s="40"/>
      <c r="AV68" s="40"/>
      <c r="AW68" s="40"/>
    </row>
    <row r="69" ht="15.75" customHeight="1">
      <c r="A69" s="36"/>
      <c r="B69" s="24" t="s">
        <v>113</v>
      </c>
      <c r="C69" s="28"/>
      <c r="D69" s="28" t="s">
        <v>499</v>
      </c>
      <c r="E69" s="28" t="s">
        <v>501</v>
      </c>
      <c r="F69" s="28" t="s">
        <v>503</v>
      </c>
      <c r="G69" s="28"/>
      <c r="H69" s="16"/>
      <c r="I69" s="28"/>
      <c r="J69" s="28" t="s">
        <v>392</v>
      </c>
      <c r="K69" s="28" t="s">
        <v>131</v>
      </c>
      <c r="L69" s="28" t="s">
        <v>505</v>
      </c>
      <c r="M69" s="28"/>
      <c r="N69" s="16"/>
      <c r="O69" s="28"/>
      <c r="P69" s="28"/>
      <c r="Q69" s="28"/>
      <c r="R69" s="33"/>
      <c r="S69" s="16"/>
      <c r="T69" s="28" t="s">
        <v>509</v>
      </c>
      <c r="U69" s="28" t="s">
        <v>496</v>
      </c>
      <c r="V69" s="28" t="s">
        <v>512</v>
      </c>
      <c r="W69" s="28" t="s">
        <v>497</v>
      </c>
      <c r="X69" s="28"/>
      <c r="Y69" s="16"/>
      <c r="Z69" s="28"/>
      <c r="AA69" s="28"/>
      <c r="AB69" s="28"/>
      <c r="AC69" s="28"/>
      <c r="AD69" s="16"/>
      <c r="AE69" s="28"/>
      <c r="AF69" s="33"/>
      <c r="AG69" s="28"/>
      <c r="AH69" s="28"/>
      <c r="AI69" s="16"/>
      <c r="AJ69" s="28"/>
      <c r="AK69" s="28"/>
      <c r="AL69" s="28"/>
      <c r="AM69" s="28"/>
      <c r="AN69" s="16"/>
      <c r="AO69" s="28"/>
      <c r="AP69" s="28"/>
      <c r="AQ69" s="28"/>
      <c r="AR69" s="28"/>
      <c r="AS69" s="16"/>
      <c r="AT69" s="28"/>
      <c r="AU69" s="28"/>
      <c r="AV69" s="28"/>
      <c r="AW69" s="28"/>
    </row>
    <row r="70" ht="15.75" customHeight="1">
      <c r="A70" s="36"/>
      <c r="B70" s="24" t="s">
        <v>120</v>
      </c>
      <c r="C70" s="28"/>
      <c r="D70" s="28" t="s">
        <v>499</v>
      </c>
      <c r="E70" s="28" t="s">
        <v>501</v>
      </c>
      <c r="F70" s="28" t="s">
        <v>503</v>
      </c>
      <c r="G70" s="28"/>
      <c r="H70" s="16"/>
      <c r="I70" s="28"/>
      <c r="J70" s="28" t="s">
        <v>392</v>
      </c>
      <c r="K70" s="28" t="s">
        <v>131</v>
      </c>
      <c r="L70" s="28" t="s">
        <v>520</v>
      </c>
      <c r="M70" s="28"/>
      <c r="N70" s="16"/>
      <c r="O70" s="28"/>
      <c r="P70" s="28"/>
      <c r="Q70" s="28"/>
      <c r="R70" s="33"/>
      <c r="S70" s="16"/>
      <c r="T70" s="28" t="s">
        <v>509</v>
      </c>
      <c r="U70" s="28" t="s">
        <v>496</v>
      </c>
      <c r="V70" s="28" t="s">
        <v>521</v>
      </c>
      <c r="W70" s="28" t="s">
        <v>497</v>
      </c>
      <c r="X70" s="28"/>
      <c r="Y70" s="16"/>
      <c r="Z70" s="28"/>
      <c r="AA70" s="28"/>
      <c r="AB70" s="28"/>
      <c r="AC70" s="28"/>
      <c r="AD70" s="16"/>
      <c r="AE70" s="28"/>
      <c r="AF70" s="28"/>
      <c r="AG70" s="28"/>
      <c r="AH70" s="28"/>
      <c r="AI70" s="16"/>
      <c r="AJ70" s="28"/>
      <c r="AK70" s="28"/>
      <c r="AL70" s="28"/>
      <c r="AM70" s="28"/>
      <c r="AN70" s="16"/>
      <c r="AO70" s="28"/>
      <c r="AP70" s="28"/>
      <c r="AQ70" s="28"/>
      <c r="AR70" s="28"/>
      <c r="AS70" s="16"/>
      <c r="AT70" s="28"/>
      <c r="AU70" s="28"/>
      <c r="AV70" s="28"/>
      <c r="AW70" s="28"/>
    </row>
    <row r="71" ht="15.75" customHeight="1">
      <c r="A71" s="36"/>
      <c r="B71" s="24" t="s">
        <v>121</v>
      </c>
      <c r="C71" s="28"/>
      <c r="D71" s="28"/>
      <c r="E71" s="28" t="s">
        <v>501</v>
      </c>
      <c r="F71" s="28" t="s">
        <v>503</v>
      </c>
      <c r="G71" s="28"/>
      <c r="H71" s="16"/>
      <c r="I71" s="28"/>
      <c r="J71" s="33"/>
      <c r="K71" s="28"/>
      <c r="L71" s="28" t="s">
        <v>523</v>
      </c>
      <c r="M71" s="28"/>
      <c r="N71" s="16"/>
      <c r="O71" s="28"/>
      <c r="P71" s="28"/>
      <c r="Q71" s="28"/>
      <c r="R71" s="33"/>
      <c r="S71" s="16"/>
      <c r="T71" s="28"/>
      <c r="U71" s="28"/>
      <c r="V71" s="28"/>
      <c r="W71" s="28"/>
      <c r="X71" s="28"/>
      <c r="Y71" s="16"/>
      <c r="Z71" s="28"/>
      <c r="AA71" s="28"/>
      <c r="AB71" s="28"/>
      <c r="AC71" s="28"/>
      <c r="AD71" s="16"/>
      <c r="AE71" s="28"/>
      <c r="AF71" s="28"/>
      <c r="AG71" s="28"/>
      <c r="AH71" s="28"/>
      <c r="AI71" s="16"/>
      <c r="AJ71" s="28"/>
      <c r="AK71" s="28"/>
      <c r="AL71" s="28"/>
      <c r="AM71" s="28"/>
      <c r="AN71" s="16"/>
      <c r="AO71" s="28"/>
      <c r="AP71" s="28"/>
      <c r="AQ71" s="28"/>
      <c r="AR71" s="28"/>
      <c r="AS71" s="16"/>
      <c r="AT71" s="28"/>
      <c r="AU71" s="28"/>
      <c r="AV71" s="28"/>
      <c r="AW71" s="28"/>
    </row>
    <row r="72" ht="15.75" customHeight="1">
      <c r="A72" s="36"/>
      <c r="B72" s="40" t="s">
        <v>124</v>
      </c>
      <c r="C72" s="40"/>
      <c r="D72" s="40"/>
      <c r="E72" s="40"/>
      <c r="F72" s="40"/>
      <c r="G72" s="40"/>
      <c r="H72" s="16"/>
      <c r="I72" s="40"/>
      <c r="J72" s="40"/>
      <c r="K72" s="40"/>
      <c r="L72" s="40"/>
      <c r="M72" s="40"/>
      <c r="N72" s="16"/>
      <c r="O72" s="40"/>
      <c r="P72" s="40"/>
      <c r="Q72" s="40"/>
      <c r="R72" s="40"/>
      <c r="S72" s="16"/>
      <c r="T72" s="40"/>
      <c r="U72" s="40"/>
      <c r="V72" s="40"/>
      <c r="W72" s="40"/>
      <c r="X72" s="40"/>
      <c r="Y72" s="16"/>
      <c r="Z72" s="40"/>
      <c r="AA72" s="40"/>
      <c r="AB72" s="40"/>
      <c r="AC72" s="40"/>
      <c r="AD72" s="16"/>
      <c r="AE72" s="40"/>
      <c r="AF72" s="40"/>
      <c r="AG72" s="40"/>
      <c r="AH72" s="40"/>
      <c r="AI72" s="16"/>
      <c r="AJ72" s="40"/>
      <c r="AK72" s="40"/>
      <c r="AL72" s="40"/>
      <c r="AM72" s="40"/>
      <c r="AN72" s="16"/>
      <c r="AO72" s="40"/>
      <c r="AP72" s="40"/>
      <c r="AQ72" s="40"/>
      <c r="AR72" s="40"/>
      <c r="AS72" s="16"/>
      <c r="AT72" s="40"/>
      <c r="AU72" s="40"/>
      <c r="AV72" s="40"/>
      <c r="AW72" s="40"/>
    </row>
    <row r="73" ht="15.75" customHeight="1">
      <c r="A73" s="36"/>
      <c r="B73" s="24" t="s">
        <v>126</v>
      </c>
      <c r="C73" s="28"/>
      <c r="D73" s="28" t="s">
        <v>524</v>
      </c>
      <c r="E73" s="28" t="s">
        <v>525</v>
      </c>
      <c r="F73" s="28" t="s">
        <v>503</v>
      </c>
      <c r="G73" s="28"/>
      <c r="H73" s="16"/>
      <c r="I73" s="28" t="s">
        <v>526</v>
      </c>
      <c r="J73" s="28"/>
      <c r="K73" s="28" t="s">
        <v>527</v>
      </c>
      <c r="L73" s="28" t="s">
        <v>528</v>
      </c>
      <c r="M73" s="28"/>
      <c r="N73" s="16"/>
      <c r="O73" s="28" t="s">
        <v>529</v>
      </c>
      <c r="P73" s="28"/>
      <c r="Q73" s="28" t="s">
        <v>395</v>
      </c>
      <c r="R73" s="28"/>
      <c r="S73" s="16"/>
      <c r="T73" s="111"/>
      <c r="U73" s="28" t="s">
        <v>536</v>
      </c>
      <c r="V73" s="28" t="s">
        <v>397</v>
      </c>
      <c r="W73" s="28" t="s">
        <v>538</v>
      </c>
      <c r="X73" s="28"/>
      <c r="Y73" s="16"/>
      <c r="Z73" s="28"/>
      <c r="AA73" s="28"/>
      <c r="AB73" s="28"/>
      <c r="AC73" s="28"/>
      <c r="AD73" s="16"/>
      <c r="AE73" s="28"/>
      <c r="AF73" s="28"/>
      <c r="AG73" s="28"/>
      <c r="AH73" s="28"/>
      <c r="AI73" s="16"/>
      <c r="AJ73" s="28"/>
      <c r="AK73" s="28"/>
      <c r="AL73" s="28"/>
      <c r="AM73" s="28"/>
      <c r="AN73" s="16"/>
      <c r="AO73" s="28"/>
      <c r="AP73" s="28"/>
      <c r="AQ73" s="28"/>
      <c r="AR73" s="28"/>
      <c r="AS73" s="16"/>
      <c r="AT73" s="28"/>
      <c r="AU73" s="28"/>
      <c r="AV73" s="28"/>
      <c r="AW73" s="61"/>
    </row>
    <row r="74" ht="15.75" customHeight="1">
      <c r="A74" s="36"/>
      <c r="B74" s="24" t="s">
        <v>138</v>
      </c>
      <c r="C74" s="28"/>
      <c r="D74" s="28" t="s">
        <v>524</v>
      </c>
      <c r="E74" s="28" t="s">
        <v>525</v>
      </c>
      <c r="F74" s="28" t="s">
        <v>547</v>
      </c>
      <c r="G74" s="28"/>
      <c r="H74" s="16"/>
      <c r="I74" s="28" t="s">
        <v>526</v>
      </c>
      <c r="J74" s="28"/>
      <c r="K74" s="28" t="s">
        <v>527</v>
      </c>
      <c r="L74" s="28" t="s">
        <v>528</v>
      </c>
      <c r="M74" s="28"/>
      <c r="N74" s="16"/>
      <c r="O74" s="28" t="s">
        <v>529</v>
      </c>
      <c r="P74" s="28"/>
      <c r="Q74" s="28" t="s">
        <v>395</v>
      </c>
      <c r="R74" s="28"/>
      <c r="S74" s="16"/>
      <c r="T74" s="111" t="s">
        <v>550</v>
      </c>
      <c r="U74" s="28" t="s">
        <v>536</v>
      </c>
      <c r="V74" s="28" t="s">
        <v>397</v>
      </c>
      <c r="W74" s="28" t="s">
        <v>551</v>
      </c>
      <c r="X74" s="28"/>
      <c r="Y74" s="16"/>
      <c r="Z74" s="28"/>
      <c r="AA74" s="28"/>
      <c r="AB74" s="28"/>
      <c r="AC74" s="28"/>
      <c r="AD74" s="16"/>
      <c r="AE74" s="28"/>
      <c r="AF74" s="28"/>
      <c r="AG74" s="28"/>
      <c r="AH74" s="28"/>
      <c r="AI74" s="16"/>
      <c r="AJ74" s="28"/>
      <c r="AK74" s="28"/>
      <c r="AL74" s="28"/>
      <c r="AM74" s="28"/>
      <c r="AN74" s="16"/>
      <c r="AO74" s="28"/>
      <c r="AP74" s="28"/>
      <c r="AQ74" s="28"/>
      <c r="AR74" s="28"/>
      <c r="AS74" s="16"/>
      <c r="AT74" s="28"/>
      <c r="AU74" s="28"/>
      <c r="AV74" s="28"/>
      <c r="AW74" s="61"/>
    </row>
    <row r="75" ht="15.75" customHeight="1">
      <c r="A75" s="36"/>
      <c r="B75" s="40" t="s">
        <v>111</v>
      </c>
      <c r="C75" s="40"/>
      <c r="D75" s="28"/>
      <c r="E75" s="40"/>
      <c r="F75" s="40"/>
      <c r="G75" s="40"/>
      <c r="H75" s="16"/>
      <c r="I75" s="40"/>
      <c r="J75" s="40"/>
      <c r="K75" s="40"/>
      <c r="L75" s="40"/>
      <c r="M75" s="40"/>
      <c r="N75" s="16"/>
      <c r="O75" s="40"/>
      <c r="P75" s="40"/>
      <c r="Q75" s="40"/>
      <c r="R75" s="40"/>
      <c r="S75" s="16"/>
      <c r="T75" s="40"/>
      <c r="U75" s="40"/>
      <c r="V75" s="40"/>
      <c r="W75" s="40"/>
      <c r="X75" s="40"/>
      <c r="Y75" s="16"/>
      <c r="Z75" s="40"/>
      <c r="AA75" s="40"/>
      <c r="AB75" s="40"/>
      <c r="AC75" s="40"/>
      <c r="AD75" s="16"/>
      <c r="AE75" s="40"/>
      <c r="AF75" s="40"/>
      <c r="AG75" s="40"/>
      <c r="AH75" s="40"/>
      <c r="AI75" s="16"/>
      <c r="AJ75" s="40"/>
      <c r="AK75" s="40"/>
      <c r="AL75" s="40"/>
      <c r="AM75" s="40"/>
      <c r="AN75" s="16"/>
      <c r="AO75" s="40"/>
      <c r="AP75" s="40"/>
      <c r="AQ75" s="40"/>
      <c r="AR75" s="40"/>
      <c r="AS75" s="16"/>
      <c r="AT75" s="40"/>
      <c r="AU75" s="40"/>
      <c r="AV75" s="40"/>
      <c r="AW75" s="40"/>
    </row>
    <row r="76" ht="15.75" customHeight="1">
      <c r="A76" s="36"/>
      <c r="B76" s="24" t="s">
        <v>141</v>
      </c>
      <c r="C76" s="28"/>
      <c r="D76" s="28" t="s">
        <v>555</v>
      </c>
      <c r="E76" s="28" t="s">
        <v>525</v>
      </c>
      <c r="F76" s="28" t="s">
        <v>547</v>
      </c>
      <c r="G76" s="28"/>
      <c r="H76" s="16"/>
      <c r="I76" s="28" t="s">
        <v>556</v>
      </c>
      <c r="J76" s="28" t="s">
        <v>557</v>
      </c>
      <c r="K76" s="28" t="s">
        <v>527</v>
      </c>
      <c r="L76" s="28" t="s">
        <v>558</v>
      </c>
      <c r="M76" s="28"/>
      <c r="N76" s="16"/>
      <c r="O76" s="28" t="s">
        <v>559</v>
      </c>
      <c r="P76" s="28"/>
      <c r="Q76" s="28" t="s">
        <v>560</v>
      </c>
      <c r="R76" s="28"/>
      <c r="S76" s="16"/>
      <c r="T76" s="28" t="s">
        <v>550</v>
      </c>
      <c r="U76" s="28" t="s">
        <v>536</v>
      </c>
      <c r="V76" s="28" t="s">
        <v>397</v>
      </c>
      <c r="W76" s="28" t="s">
        <v>551</v>
      </c>
      <c r="X76" s="28"/>
      <c r="Y76" s="16"/>
      <c r="Z76" s="28"/>
      <c r="AA76" s="28"/>
      <c r="AB76" s="28"/>
      <c r="AC76" s="28"/>
      <c r="AD76" s="16"/>
      <c r="AE76" s="28"/>
      <c r="AF76" s="28"/>
      <c r="AG76" s="28"/>
      <c r="AH76" s="28"/>
      <c r="AI76" s="16"/>
      <c r="AJ76" s="28"/>
      <c r="AK76" s="28"/>
      <c r="AL76" s="28"/>
      <c r="AM76" s="28"/>
      <c r="AN76" s="16"/>
      <c r="AO76" s="28"/>
      <c r="AP76" s="28"/>
      <c r="AQ76" s="28"/>
      <c r="AR76" s="28"/>
      <c r="AS76" s="16"/>
      <c r="AT76" s="28"/>
      <c r="AU76" s="28"/>
      <c r="AV76" s="28"/>
      <c r="AW76" s="28"/>
    </row>
    <row r="77" ht="15.75" customHeight="1">
      <c r="A77" s="36"/>
      <c r="B77" s="24" t="s">
        <v>154</v>
      </c>
      <c r="C77" s="28"/>
      <c r="D77" s="28" t="s">
        <v>555</v>
      </c>
      <c r="E77" s="28" t="s">
        <v>525</v>
      </c>
      <c r="F77" s="28" t="s">
        <v>547</v>
      </c>
      <c r="G77" s="28"/>
      <c r="H77" s="16"/>
      <c r="I77" s="28" t="s">
        <v>556</v>
      </c>
      <c r="J77" s="28" t="s">
        <v>557</v>
      </c>
      <c r="K77" s="28"/>
      <c r="L77" s="28" t="s">
        <v>558</v>
      </c>
      <c r="M77" s="28"/>
      <c r="N77" s="16"/>
      <c r="O77" s="28" t="s">
        <v>559</v>
      </c>
      <c r="P77" s="28"/>
      <c r="Q77" s="28" t="s">
        <v>560</v>
      </c>
      <c r="R77" s="28"/>
      <c r="S77" s="16"/>
      <c r="T77" s="28" t="s">
        <v>550</v>
      </c>
      <c r="U77" s="28"/>
      <c r="V77" s="28" t="s">
        <v>397</v>
      </c>
      <c r="W77" s="28" t="s">
        <v>551</v>
      </c>
      <c r="X77" s="28"/>
      <c r="Y77" s="16"/>
      <c r="Z77" s="28"/>
      <c r="AA77" s="28"/>
      <c r="AB77" s="28"/>
      <c r="AC77" s="28"/>
      <c r="AD77" s="16"/>
      <c r="AE77" s="28"/>
      <c r="AF77" s="28"/>
      <c r="AG77" s="28"/>
      <c r="AH77" s="28"/>
      <c r="AI77" s="16"/>
      <c r="AJ77" s="28"/>
      <c r="AK77" s="28"/>
      <c r="AL77" s="28"/>
      <c r="AM77" s="28"/>
      <c r="AN77" s="16"/>
      <c r="AO77" s="28"/>
      <c r="AP77" s="28"/>
      <c r="AQ77" s="28"/>
      <c r="AR77" s="28"/>
      <c r="AS77" s="16"/>
      <c r="AT77" s="28"/>
      <c r="AU77" s="28"/>
      <c r="AV77" s="28"/>
      <c r="AW77" s="28"/>
    </row>
    <row r="78" ht="15.75" customHeight="1">
      <c r="A78" s="36"/>
      <c r="B78" s="24" t="s">
        <v>155</v>
      </c>
      <c r="C78" s="52"/>
      <c r="D78" s="52"/>
      <c r="E78" s="52"/>
      <c r="F78" s="52"/>
      <c r="G78" s="52"/>
      <c r="H78" s="16"/>
      <c r="I78" s="52"/>
      <c r="J78" s="52"/>
      <c r="K78" s="52"/>
      <c r="L78" s="52"/>
      <c r="M78" s="52"/>
      <c r="N78" s="16"/>
      <c r="O78" s="28" t="s">
        <v>559</v>
      </c>
      <c r="P78" s="52"/>
      <c r="Q78" s="52"/>
      <c r="R78" s="52" t="s">
        <v>564</v>
      </c>
      <c r="S78" s="16"/>
      <c r="T78" s="52"/>
      <c r="U78" s="52"/>
      <c r="V78" s="52"/>
      <c r="W78" s="52"/>
      <c r="X78" s="52"/>
      <c r="Y78" s="16"/>
      <c r="Z78" s="52"/>
      <c r="AA78" s="52"/>
      <c r="AB78" s="52"/>
      <c r="AC78" s="52"/>
      <c r="AD78" s="16"/>
      <c r="AE78" s="52"/>
      <c r="AF78" s="52"/>
      <c r="AG78" s="52"/>
      <c r="AH78" s="52"/>
      <c r="AI78" s="16"/>
      <c r="AJ78" s="52"/>
      <c r="AK78" s="52"/>
      <c r="AL78" s="52"/>
      <c r="AM78" s="52"/>
      <c r="AN78" s="16"/>
      <c r="AO78" s="52"/>
      <c r="AP78" s="52"/>
      <c r="AQ78" s="52"/>
      <c r="AR78" s="52"/>
      <c r="AS78" s="16"/>
      <c r="AT78" s="52"/>
      <c r="AU78" s="52"/>
      <c r="AV78" s="52"/>
      <c r="AW78" s="52" t="s">
        <v>569</v>
      </c>
    </row>
    <row r="79" ht="15.75" customHeight="1">
      <c r="A79" s="36"/>
      <c r="B79" s="40" t="s">
        <v>111</v>
      </c>
      <c r="C79" s="40"/>
      <c r="D79" s="40"/>
      <c r="E79" s="40"/>
      <c r="F79" s="40"/>
      <c r="G79" s="40"/>
      <c r="H79" s="16"/>
      <c r="I79" s="40"/>
      <c r="J79" s="40"/>
      <c r="K79" s="40"/>
      <c r="L79" s="40"/>
      <c r="M79" s="40"/>
      <c r="N79" s="16"/>
      <c r="O79" s="40"/>
      <c r="P79" s="40"/>
      <c r="Q79" s="40"/>
      <c r="R79" s="40"/>
      <c r="S79" s="16"/>
      <c r="T79" s="40"/>
      <c r="U79" s="40"/>
      <c r="V79" s="40"/>
      <c r="W79" s="40"/>
      <c r="X79" s="40"/>
      <c r="Y79" s="16"/>
      <c r="Z79" s="40"/>
      <c r="AA79" s="40"/>
      <c r="AB79" s="40"/>
      <c r="AC79" s="40"/>
      <c r="AD79" s="16"/>
      <c r="AE79" s="40"/>
      <c r="AF79" s="40"/>
      <c r="AG79" s="40"/>
      <c r="AH79" s="40"/>
      <c r="AI79" s="16"/>
      <c r="AJ79" s="40"/>
      <c r="AK79" s="40"/>
      <c r="AL79" s="40"/>
      <c r="AM79" s="40"/>
      <c r="AN79" s="16"/>
      <c r="AO79" s="40"/>
      <c r="AP79" s="40"/>
      <c r="AQ79" s="40"/>
      <c r="AR79" s="40"/>
      <c r="AS79" s="16"/>
      <c r="AT79" s="40"/>
      <c r="AU79" s="40"/>
      <c r="AV79" s="40"/>
      <c r="AW79" s="106"/>
    </row>
    <row r="80" ht="15.75" customHeight="1">
      <c r="A80" s="36"/>
      <c r="B80" s="24" t="s">
        <v>164</v>
      </c>
      <c r="C80" s="52"/>
      <c r="D80" s="52"/>
      <c r="E80" s="52"/>
      <c r="F80" s="52"/>
      <c r="G80" s="52"/>
      <c r="H80" s="16"/>
      <c r="I80" s="52"/>
      <c r="J80" s="52"/>
      <c r="K80" s="52"/>
      <c r="L80" s="52"/>
      <c r="M80" s="52"/>
      <c r="N80" s="16"/>
      <c r="O80" s="52" t="s">
        <v>580</v>
      </c>
      <c r="P80" s="52"/>
      <c r="Q80" s="52"/>
      <c r="R80" s="52" t="s">
        <v>564</v>
      </c>
      <c r="S80" s="16"/>
      <c r="T80" s="52"/>
      <c r="U80" s="52"/>
      <c r="V80" s="52"/>
      <c r="W80" s="52"/>
      <c r="X80" s="52"/>
      <c r="Y80" s="16"/>
      <c r="Z80" s="52"/>
      <c r="AA80" s="52"/>
      <c r="AB80" s="52" t="s">
        <v>583</v>
      </c>
      <c r="AC80" s="52"/>
      <c r="AD80" s="16"/>
      <c r="AE80" s="52"/>
      <c r="AF80" s="52"/>
      <c r="AG80" s="52"/>
      <c r="AH80" s="52"/>
      <c r="AI80" s="16"/>
      <c r="AJ80" s="52"/>
      <c r="AK80" s="52"/>
      <c r="AL80" s="52"/>
      <c r="AM80" s="52"/>
      <c r="AN80" s="16"/>
      <c r="AO80" s="52"/>
      <c r="AP80" s="52"/>
      <c r="AQ80" s="52" t="s">
        <v>589</v>
      </c>
      <c r="AR80" s="113"/>
      <c r="AS80" s="16"/>
      <c r="AT80" s="52"/>
      <c r="AU80" s="52"/>
      <c r="AV80" s="52"/>
      <c r="AW80" s="52" t="s">
        <v>569</v>
      </c>
    </row>
    <row r="81" ht="15.75" customHeight="1">
      <c r="A81" s="36"/>
      <c r="B81" s="24" t="s">
        <v>174</v>
      </c>
      <c r="C81" s="28"/>
      <c r="D81" s="28"/>
      <c r="E81" s="28"/>
      <c r="F81" s="28"/>
      <c r="G81" s="28"/>
      <c r="H81" s="16"/>
      <c r="I81" s="28"/>
      <c r="J81" s="28"/>
      <c r="K81" s="28"/>
      <c r="L81" s="28"/>
      <c r="M81" s="28"/>
      <c r="N81" s="16"/>
      <c r="O81" s="28" t="s">
        <v>146</v>
      </c>
      <c r="P81" s="28"/>
      <c r="Q81" s="28"/>
      <c r="R81" s="30" t="s">
        <v>592</v>
      </c>
      <c r="S81" s="16"/>
      <c r="T81" s="28"/>
      <c r="U81" s="28"/>
      <c r="V81" s="28"/>
      <c r="W81" s="28"/>
      <c r="X81" s="28"/>
      <c r="Y81" s="16"/>
      <c r="Z81" s="28" t="s">
        <v>593</v>
      </c>
      <c r="AA81" s="30" t="s">
        <v>594</v>
      </c>
      <c r="AB81" s="28" t="s">
        <v>595</v>
      </c>
      <c r="AC81" s="28" t="s">
        <v>596</v>
      </c>
      <c r="AD81" s="16"/>
      <c r="AE81" s="12"/>
      <c r="AF81" s="30" t="s">
        <v>597</v>
      </c>
      <c r="AG81" s="28"/>
      <c r="AH81" s="28" t="s">
        <v>598</v>
      </c>
      <c r="AI81" s="16"/>
      <c r="AJ81" s="28"/>
      <c r="AK81" s="30" t="s">
        <v>467</v>
      </c>
      <c r="AL81" s="30" t="s">
        <v>289</v>
      </c>
      <c r="AM81" s="28" t="s">
        <v>599</v>
      </c>
      <c r="AN81" s="16"/>
      <c r="AO81" s="28"/>
      <c r="AP81" s="30" t="s">
        <v>467</v>
      </c>
      <c r="AQ81" s="30" t="s">
        <v>600</v>
      </c>
      <c r="AR81" s="115"/>
      <c r="AS81" s="16"/>
      <c r="AT81" s="61" t="s">
        <v>187</v>
      </c>
      <c r="AU81" s="61" t="s">
        <v>601</v>
      </c>
      <c r="AV81" s="28" t="s">
        <v>602</v>
      </c>
      <c r="AW81" s="61" t="s">
        <v>569</v>
      </c>
    </row>
    <row r="82" ht="15.75" customHeight="1">
      <c r="A82" s="36"/>
      <c r="B82" s="24" t="s">
        <v>193</v>
      </c>
      <c r="C82" s="28"/>
      <c r="D82" s="28"/>
      <c r="E82" s="28"/>
      <c r="F82" s="28"/>
      <c r="G82" s="28"/>
      <c r="H82" s="16"/>
      <c r="I82" s="28"/>
      <c r="J82" s="28"/>
      <c r="K82" s="28"/>
      <c r="L82" s="28"/>
      <c r="M82" s="28"/>
      <c r="N82" s="16"/>
      <c r="O82" s="28" t="s">
        <v>146</v>
      </c>
      <c r="P82" s="28"/>
      <c r="Q82" s="28"/>
      <c r="R82" s="30" t="s">
        <v>592</v>
      </c>
      <c r="S82" s="16"/>
      <c r="T82" s="28"/>
      <c r="U82" s="28"/>
      <c r="V82" s="28"/>
      <c r="W82" s="28"/>
      <c r="X82" s="28"/>
      <c r="Y82" s="16"/>
      <c r="Z82" s="28" t="s">
        <v>593</v>
      </c>
      <c r="AA82" s="30" t="s">
        <v>594</v>
      </c>
      <c r="AB82" s="28" t="s">
        <v>595</v>
      </c>
      <c r="AC82" s="28" t="s">
        <v>596</v>
      </c>
      <c r="AD82" s="16"/>
      <c r="AE82" s="12"/>
      <c r="AF82" s="30" t="s">
        <v>603</v>
      </c>
      <c r="AG82" s="28"/>
      <c r="AH82" s="28" t="s">
        <v>598</v>
      </c>
      <c r="AI82" s="16"/>
      <c r="AJ82" s="28"/>
      <c r="AK82" s="30" t="s">
        <v>467</v>
      </c>
      <c r="AL82" s="30" t="s">
        <v>289</v>
      </c>
      <c r="AM82" s="28" t="s">
        <v>599</v>
      </c>
      <c r="AN82" s="16"/>
      <c r="AO82" s="28"/>
      <c r="AP82" s="30" t="s">
        <v>467</v>
      </c>
      <c r="AQ82" s="30" t="s">
        <v>600</v>
      </c>
      <c r="AR82" s="115"/>
      <c r="AS82" s="16"/>
      <c r="AT82" s="61" t="s">
        <v>187</v>
      </c>
      <c r="AU82" s="61" t="s">
        <v>604</v>
      </c>
      <c r="AV82" s="28" t="s">
        <v>602</v>
      </c>
      <c r="AW82" s="61" t="s">
        <v>569</v>
      </c>
    </row>
    <row r="83" ht="15.75" customHeight="1">
      <c r="A83" s="36"/>
      <c r="B83" s="40" t="s">
        <v>111</v>
      </c>
      <c r="C83" s="40"/>
      <c r="D83" s="40"/>
      <c r="E83" s="40"/>
      <c r="F83" s="40"/>
      <c r="G83" s="40"/>
      <c r="H83" s="16"/>
      <c r="I83" s="40"/>
      <c r="J83" s="40"/>
      <c r="K83" s="40"/>
      <c r="L83" s="40"/>
      <c r="M83" s="40"/>
      <c r="N83" s="16"/>
      <c r="O83" s="40"/>
      <c r="P83" s="40"/>
      <c r="Q83" s="40"/>
      <c r="R83" s="40"/>
      <c r="S83" s="16"/>
      <c r="T83" s="40"/>
      <c r="U83" s="40"/>
      <c r="V83" s="40"/>
      <c r="W83" s="40"/>
      <c r="X83" s="40"/>
      <c r="Y83" s="16"/>
      <c r="Z83" s="40"/>
      <c r="AA83" s="40"/>
      <c r="AB83" s="40"/>
      <c r="AC83" s="40"/>
      <c r="AD83" s="16"/>
      <c r="AE83" s="40"/>
      <c r="AF83" s="40"/>
      <c r="AG83" s="40"/>
      <c r="AH83" s="40"/>
      <c r="AI83" s="16"/>
      <c r="AJ83" s="40"/>
      <c r="AK83" s="40"/>
      <c r="AL83" s="40"/>
      <c r="AM83" s="40"/>
      <c r="AN83" s="16"/>
      <c r="AO83" s="40"/>
      <c r="AP83" s="40"/>
      <c r="AQ83" s="40"/>
      <c r="AR83" s="40"/>
      <c r="AS83" s="16"/>
      <c r="AT83" s="40"/>
      <c r="AU83" s="40"/>
      <c r="AV83" s="40"/>
      <c r="AW83" s="40"/>
    </row>
    <row r="84" ht="15.75" customHeight="1">
      <c r="A84" s="36"/>
      <c r="B84" s="24" t="s">
        <v>198</v>
      </c>
      <c r="C84" s="28"/>
      <c r="D84" s="28"/>
      <c r="E84" s="28"/>
      <c r="F84" s="28"/>
      <c r="G84" s="28"/>
      <c r="H84" s="16"/>
      <c r="I84" s="28"/>
      <c r="J84" s="28"/>
      <c r="K84" s="28"/>
      <c r="L84" s="28"/>
      <c r="M84" s="28"/>
      <c r="N84" s="16"/>
      <c r="O84" s="28"/>
      <c r="P84" s="28"/>
      <c r="Q84" s="28"/>
      <c r="R84" s="28" t="s">
        <v>605</v>
      </c>
      <c r="S84" s="16"/>
      <c r="T84" s="28"/>
      <c r="U84" s="28"/>
      <c r="V84" s="28"/>
      <c r="W84" s="28"/>
      <c r="X84" s="28"/>
      <c r="Y84" s="16"/>
      <c r="Z84" s="28" t="s">
        <v>328</v>
      </c>
      <c r="AA84" s="28" t="s">
        <v>200</v>
      </c>
      <c r="AB84" s="28" t="s">
        <v>606</v>
      </c>
      <c r="AC84" s="28" t="s">
        <v>607</v>
      </c>
      <c r="AD84" s="16"/>
      <c r="AE84" s="12"/>
      <c r="AF84" s="28" t="s">
        <v>608</v>
      </c>
      <c r="AG84" s="30" t="s">
        <v>609</v>
      </c>
      <c r="AH84" s="28"/>
      <c r="AI84" s="16"/>
      <c r="AJ84" s="28"/>
      <c r="AK84" s="28" t="s">
        <v>204</v>
      </c>
      <c r="AL84" s="30" t="s">
        <v>609</v>
      </c>
      <c r="AM84" s="28" t="s">
        <v>610</v>
      </c>
      <c r="AN84" s="16"/>
      <c r="AO84" s="28"/>
      <c r="AP84" s="28" t="s">
        <v>305</v>
      </c>
      <c r="AQ84" s="28" t="s">
        <v>442</v>
      </c>
      <c r="AR84" s="115"/>
      <c r="AS84" s="16"/>
      <c r="AT84" s="28" t="s">
        <v>611</v>
      </c>
      <c r="AU84" s="61" t="s">
        <v>612</v>
      </c>
      <c r="AV84" s="28" t="s">
        <v>602</v>
      </c>
      <c r="AW84" s="61" t="s">
        <v>613</v>
      </c>
    </row>
    <row r="85" ht="15.75" customHeight="1">
      <c r="A85" s="66"/>
      <c r="B85" s="24" t="s">
        <v>210</v>
      </c>
      <c r="C85" s="28"/>
      <c r="D85" s="28"/>
      <c r="E85" s="28"/>
      <c r="F85" s="28"/>
      <c r="G85" s="28"/>
      <c r="H85" s="16"/>
      <c r="I85" s="28"/>
      <c r="J85" s="28"/>
      <c r="K85" s="28"/>
      <c r="L85" s="28"/>
      <c r="M85" s="28"/>
      <c r="N85" s="16"/>
      <c r="O85" s="28"/>
      <c r="P85" s="28"/>
      <c r="Q85" s="28"/>
      <c r="R85" s="28" t="s">
        <v>605</v>
      </c>
      <c r="S85" s="16"/>
      <c r="T85" s="28"/>
      <c r="U85" s="28"/>
      <c r="V85" s="28"/>
      <c r="W85" s="28"/>
      <c r="X85" s="28"/>
      <c r="Y85" s="16"/>
      <c r="Z85" s="28" t="s">
        <v>328</v>
      </c>
      <c r="AA85" s="28" t="s">
        <v>200</v>
      </c>
      <c r="AB85" s="28" t="s">
        <v>606</v>
      </c>
      <c r="AC85" s="28" t="s">
        <v>607</v>
      </c>
      <c r="AD85" s="16"/>
      <c r="AE85" s="12"/>
      <c r="AF85" s="28" t="s">
        <v>614</v>
      </c>
      <c r="AG85" s="30" t="s">
        <v>609</v>
      </c>
      <c r="AH85" s="28"/>
      <c r="AI85" s="16"/>
      <c r="AJ85" s="28"/>
      <c r="AK85" s="28" t="s">
        <v>204</v>
      </c>
      <c r="AL85" s="30" t="s">
        <v>609</v>
      </c>
      <c r="AM85" s="28" t="s">
        <v>610</v>
      </c>
      <c r="AN85" s="16"/>
      <c r="AO85" s="28"/>
      <c r="AP85" s="28" t="s">
        <v>305</v>
      </c>
      <c r="AQ85" s="28" t="s">
        <v>442</v>
      </c>
      <c r="AR85" s="115"/>
      <c r="AS85" s="16"/>
      <c r="AT85" s="28" t="s">
        <v>615</v>
      </c>
      <c r="AU85" s="61" t="s">
        <v>612</v>
      </c>
      <c r="AV85" s="28" t="s">
        <v>602</v>
      </c>
      <c r="AW85" s="61" t="s">
        <v>273</v>
      </c>
    </row>
    <row r="86" ht="15.75" customHeight="1">
      <c r="A86" s="6" t="s">
        <v>20</v>
      </c>
      <c r="B86" s="6" t="s">
        <v>23</v>
      </c>
      <c r="C86" s="6" t="s">
        <v>24</v>
      </c>
      <c r="D86" s="6" t="s">
        <v>27</v>
      </c>
      <c r="E86" s="6" t="s">
        <v>29</v>
      </c>
      <c r="F86" s="6" t="s">
        <v>32</v>
      </c>
      <c r="G86" s="6" t="s">
        <v>33</v>
      </c>
      <c r="H86" s="16"/>
      <c r="I86" s="6" t="s">
        <v>34</v>
      </c>
      <c r="J86" s="6" t="s">
        <v>36</v>
      </c>
      <c r="K86" s="6" t="s">
        <v>39</v>
      </c>
      <c r="L86" s="6" t="s">
        <v>42</v>
      </c>
      <c r="M86" s="6" t="s">
        <v>43</v>
      </c>
      <c r="N86" s="16"/>
      <c r="O86" s="6" t="s">
        <v>44</v>
      </c>
      <c r="P86" s="6" t="s">
        <v>45</v>
      </c>
      <c r="Q86" s="6" t="s">
        <v>46</v>
      </c>
      <c r="R86" s="6" t="s">
        <v>47</v>
      </c>
      <c r="S86" s="16"/>
      <c r="T86" s="6" t="s">
        <v>48</v>
      </c>
      <c r="U86" s="6" t="s">
        <v>49</v>
      </c>
      <c r="V86" s="6" t="s">
        <v>50</v>
      </c>
      <c r="W86" s="6" t="s">
        <v>51</v>
      </c>
      <c r="X86" s="6" t="s">
        <v>52</v>
      </c>
      <c r="Y86" s="16"/>
      <c r="Z86" s="6" t="s">
        <v>53</v>
      </c>
      <c r="AA86" s="6" t="s">
        <v>54</v>
      </c>
      <c r="AB86" s="6" t="s">
        <v>56</v>
      </c>
      <c r="AC86" s="6" t="s">
        <v>57</v>
      </c>
      <c r="AD86" s="16"/>
      <c r="AE86" s="6" t="s">
        <v>59</v>
      </c>
      <c r="AF86" s="6"/>
      <c r="AG86" s="6" t="s">
        <v>63</v>
      </c>
      <c r="AH86" s="6" t="s">
        <v>65</v>
      </c>
      <c r="AI86" s="16"/>
      <c r="AJ86" s="6" t="s">
        <v>66</v>
      </c>
      <c r="AK86" s="6" t="s">
        <v>67</v>
      </c>
      <c r="AL86" s="6" t="s">
        <v>68</v>
      </c>
      <c r="AM86" s="6" t="s">
        <v>69</v>
      </c>
      <c r="AN86" s="16"/>
      <c r="AO86" s="6" t="s">
        <v>70</v>
      </c>
      <c r="AP86" s="6" t="s">
        <v>71</v>
      </c>
      <c r="AQ86" s="6" t="s">
        <v>72</v>
      </c>
      <c r="AR86" s="6" t="s">
        <v>73</v>
      </c>
      <c r="AS86" s="16"/>
      <c r="AT86" s="6" t="s">
        <v>74</v>
      </c>
      <c r="AU86" s="6" t="s">
        <v>75</v>
      </c>
      <c r="AV86" s="6" t="s">
        <v>76</v>
      </c>
      <c r="AW86" s="6" t="s">
        <v>77</v>
      </c>
    </row>
    <row r="87" ht="15.75" customHeight="1">
      <c r="A87" s="23" t="s">
        <v>14</v>
      </c>
      <c r="B87" s="24" t="s">
        <v>79</v>
      </c>
      <c r="C87" s="12" t="s">
        <v>616</v>
      </c>
      <c r="D87" s="28"/>
      <c r="E87" s="28" t="s">
        <v>617</v>
      </c>
      <c r="F87" s="28"/>
      <c r="G87" s="28"/>
      <c r="H87" s="16"/>
      <c r="I87" s="28"/>
      <c r="J87" s="33"/>
      <c r="K87" s="28"/>
      <c r="L87" s="28" t="s">
        <v>618</v>
      </c>
      <c r="M87" s="33"/>
      <c r="N87" s="16"/>
      <c r="O87" s="28"/>
      <c r="P87" s="28"/>
      <c r="Q87" s="28"/>
      <c r="R87" s="28"/>
      <c r="S87" s="16"/>
      <c r="T87" s="28" t="s">
        <v>134</v>
      </c>
      <c r="U87" s="28" t="s">
        <v>619</v>
      </c>
      <c r="V87" s="28" t="s">
        <v>620</v>
      </c>
      <c r="W87" s="28" t="s">
        <v>621</v>
      </c>
      <c r="X87" s="28"/>
      <c r="Y87" s="16"/>
      <c r="Z87" s="28"/>
      <c r="AA87" s="33"/>
      <c r="AB87" s="28"/>
      <c r="AC87" s="28"/>
      <c r="AD87" s="16"/>
      <c r="AE87" s="28"/>
      <c r="AF87" s="28"/>
      <c r="AG87" s="28"/>
      <c r="AH87" s="28"/>
      <c r="AI87" s="16"/>
      <c r="AJ87" s="28"/>
      <c r="AK87" s="28"/>
      <c r="AL87" s="28"/>
      <c r="AM87" s="28"/>
      <c r="AN87" s="16"/>
      <c r="AO87" s="28"/>
      <c r="AP87" s="28"/>
      <c r="AQ87" s="28"/>
      <c r="AR87" s="28"/>
      <c r="AS87" s="16"/>
      <c r="AT87" s="28"/>
      <c r="AU87" s="28"/>
      <c r="AV87" s="28"/>
      <c r="AW87" s="33"/>
    </row>
    <row r="88" ht="15.75" customHeight="1">
      <c r="A88" s="36"/>
      <c r="B88" s="24" t="s">
        <v>109</v>
      </c>
      <c r="C88" s="12" t="s">
        <v>616</v>
      </c>
      <c r="D88" s="28"/>
      <c r="E88" s="28" t="s">
        <v>617</v>
      </c>
      <c r="F88" s="28"/>
      <c r="G88" s="28"/>
      <c r="H88" s="16"/>
      <c r="I88" s="28"/>
      <c r="J88" s="33"/>
      <c r="K88" s="28"/>
      <c r="L88" s="28" t="s">
        <v>618</v>
      </c>
      <c r="M88" s="33"/>
      <c r="N88" s="16"/>
      <c r="O88" s="28"/>
      <c r="P88" s="28"/>
      <c r="Q88" s="28"/>
      <c r="R88" s="28"/>
      <c r="S88" s="16"/>
      <c r="T88" s="28" t="s">
        <v>134</v>
      </c>
      <c r="U88" s="28" t="s">
        <v>619</v>
      </c>
      <c r="V88" s="28" t="s">
        <v>620</v>
      </c>
      <c r="W88" s="28" t="s">
        <v>621</v>
      </c>
      <c r="X88" s="28"/>
      <c r="Y88" s="16"/>
      <c r="Z88" s="28"/>
      <c r="AA88" s="28"/>
      <c r="AB88" s="28"/>
      <c r="AC88" s="28"/>
      <c r="AD88" s="16"/>
      <c r="AE88" s="28"/>
      <c r="AF88" s="28"/>
      <c r="AG88" s="28"/>
      <c r="AH88" s="28"/>
      <c r="AI88" s="16"/>
      <c r="AJ88" s="28"/>
      <c r="AK88" s="28"/>
      <c r="AL88" s="28"/>
      <c r="AM88" s="28"/>
      <c r="AN88" s="16"/>
      <c r="AO88" s="28"/>
      <c r="AP88" s="28"/>
      <c r="AQ88" s="28"/>
      <c r="AR88" s="28"/>
      <c r="AS88" s="16"/>
      <c r="AT88" s="28"/>
      <c r="AU88" s="28"/>
      <c r="AV88" s="28"/>
      <c r="AW88" s="28"/>
    </row>
    <row r="89" ht="15.75" customHeight="1">
      <c r="A89" s="36"/>
      <c r="B89" s="40" t="s">
        <v>111</v>
      </c>
      <c r="C89" s="40"/>
      <c r="D89" s="40"/>
      <c r="E89" s="40"/>
      <c r="F89" s="40"/>
      <c r="G89" s="40"/>
      <c r="H89" s="16"/>
      <c r="I89" s="40"/>
      <c r="J89" s="40"/>
      <c r="K89" s="40"/>
      <c r="L89" s="40"/>
      <c r="M89" s="40"/>
      <c r="N89" s="16"/>
      <c r="O89" s="40"/>
      <c r="P89" s="40"/>
      <c r="Q89" s="40"/>
      <c r="R89" s="40"/>
      <c r="S89" s="16"/>
      <c r="T89" s="40"/>
      <c r="U89" s="40"/>
      <c r="V89" s="40"/>
      <c r="W89" s="40"/>
      <c r="X89" s="40"/>
      <c r="Y89" s="16"/>
      <c r="Z89" s="40"/>
      <c r="AA89" s="40"/>
      <c r="AB89" s="40"/>
      <c r="AC89" s="40"/>
      <c r="AD89" s="16"/>
      <c r="AE89" s="40"/>
      <c r="AF89" s="40"/>
      <c r="AG89" s="40"/>
      <c r="AH89" s="40"/>
      <c r="AI89" s="16"/>
      <c r="AJ89" s="40"/>
      <c r="AK89" s="40"/>
      <c r="AL89" s="40"/>
      <c r="AM89" s="40"/>
      <c r="AN89" s="16"/>
      <c r="AO89" s="40"/>
      <c r="AP89" s="40"/>
      <c r="AQ89" s="40"/>
      <c r="AR89" s="40"/>
      <c r="AS89" s="16"/>
      <c r="AT89" s="40"/>
      <c r="AU89" s="40"/>
      <c r="AV89" s="40"/>
      <c r="AW89" s="40"/>
    </row>
    <row r="90" ht="58.5" customHeight="1">
      <c r="A90" s="36"/>
      <c r="B90" s="24" t="s">
        <v>113</v>
      </c>
      <c r="C90" s="28"/>
      <c r="D90" s="28" t="s">
        <v>623</v>
      </c>
      <c r="E90" s="28" t="s">
        <v>617</v>
      </c>
      <c r="F90" s="28"/>
      <c r="G90" s="28"/>
      <c r="H90" s="16"/>
      <c r="I90" s="28" t="s">
        <v>624</v>
      </c>
      <c r="J90" s="28"/>
      <c r="K90" s="28"/>
      <c r="L90" s="28" t="s">
        <v>618</v>
      </c>
      <c r="M90" s="28"/>
      <c r="N90" s="16"/>
      <c r="O90" s="28"/>
      <c r="P90" s="28"/>
      <c r="Q90" s="28"/>
      <c r="R90" s="28"/>
      <c r="S90" s="16"/>
      <c r="T90" s="28" t="s">
        <v>625</v>
      </c>
      <c r="U90" s="28" t="s">
        <v>626</v>
      </c>
      <c r="V90" s="28" t="s">
        <v>148</v>
      </c>
      <c r="W90" s="28" t="s">
        <v>627</v>
      </c>
      <c r="X90" s="28"/>
      <c r="Y90" s="16"/>
      <c r="Z90" s="28"/>
      <c r="AA90" s="28"/>
      <c r="AB90" s="28"/>
      <c r="AC90" s="28"/>
      <c r="AD90" s="16"/>
      <c r="AE90" s="28"/>
      <c r="AF90" s="28"/>
      <c r="AG90" s="28"/>
      <c r="AH90" s="28"/>
      <c r="AI90" s="16"/>
      <c r="AJ90" s="28"/>
      <c r="AK90" s="28"/>
      <c r="AL90" s="28"/>
      <c r="AM90" s="28"/>
      <c r="AN90" s="16"/>
      <c r="AO90" s="28"/>
      <c r="AP90" s="28"/>
      <c r="AQ90" s="28"/>
      <c r="AR90" s="28"/>
      <c r="AS90" s="16"/>
      <c r="AT90" s="28"/>
      <c r="AU90" s="28"/>
      <c r="AV90" s="28"/>
      <c r="AW90" s="28"/>
    </row>
    <row r="91" ht="66.75" customHeight="1">
      <c r="A91" s="36"/>
      <c r="B91" s="24" t="s">
        <v>120</v>
      </c>
      <c r="C91" s="28"/>
      <c r="D91" s="28" t="s">
        <v>623</v>
      </c>
      <c r="E91" s="28" t="s">
        <v>617</v>
      </c>
      <c r="F91" s="28" t="s">
        <v>632</v>
      </c>
      <c r="G91" s="28"/>
      <c r="H91" s="16"/>
      <c r="I91" s="28" t="s">
        <v>624</v>
      </c>
      <c r="J91" s="28"/>
      <c r="K91" s="28"/>
      <c r="L91" s="28" t="s">
        <v>618</v>
      </c>
      <c r="M91" s="28"/>
      <c r="N91" s="16"/>
      <c r="O91" s="28"/>
      <c r="P91" s="28"/>
      <c r="Q91" s="28"/>
      <c r="R91" s="28"/>
      <c r="S91" s="16"/>
      <c r="T91" s="28" t="s">
        <v>625</v>
      </c>
      <c r="U91" s="28" t="s">
        <v>626</v>
      </c>
      <c r="V91" s="28" t="s">
        <v>148</v>
      </c>
      <c r="W91" s="28" t="s">
        <v>621</v>
      </c>
      <c r="X91" s="28"/>
      <c r="Y91" s="16"/>
      <c r="Z91" s="28"/>
      <c r="AA91" s="28"/>
      <c r="AB91" s="28"/>
      <c r="AC91" s="28"/>
      <c r="AD91" s="16"/>
      <c r="AE91" s="28"/>
      <c r="AF91" s="28"/>
      <c r="AG91" s="28"/>
      <c r="AH91" s="28"/>
      <c r="AI91" s="16"/>
      <c r="AJ91" s="28"/>
      <c r="AK91" s="28"/>
      <c r="AL91" s="28"/>
      <c r="AM91" s="28"/>
      <c r="AN91" s="16"/>
      <c r="AO91" s="28"/>
      <c r="AP91" s="28"/>
      <c r="AQ91" s="28"/>
      <c r="AR91" s="28"/>
      <c r="AS91" s="16"/>
      <c r="AT91" s="28"/>
      <c r="AU91" s="28"/>
      <c r="AV91" s="28"/>
      <c r="AW91" s="28"/>
    </row>
    <row r="92" ht="15.75" customHeight="1">
      <c r="A92" s="36"/>
      <c r="B92" s="24" t="s">
        <v>121</v>
      </c>
      <c r="C92" s="28"/>
      <c r="D92" s="28"/>
      <c r="E92" s="33"/>
      <c r="F92" s="28" t="s">
        <v>632</v>
      </c>
      <c r="G92" s="28"/>
      <c r="H92" s="16"/>
      <c r="I92" s="33"/>
      <c r="J92" s="28"/>
      <c r="K92" s="28"/>
      <c r="L92" s="28"/>
      <c r="M92" s="28"/>
      <c r="N92" s="16"/>
      <c r="O92" s="28"/>
      <c r="P92" s="28"/>
      <c r="Q92" s="28"/>
      <c r="R92" s="28"/>
      <c r="S92" s="16"/>
      <c r="T92" s="28"/>
      <c r="U92" s="28"/>
      <c r="V92" s="28"/>
      <c r="W92" s="28"/>
      <c r="X92" s="28"/>
      <c r="Y92" s="16"/>
      <c r="Z92" s="28"/>
      <c r="AA92" s="28"/>
      <c r="AB92" s="28"/>
      <c r="AC92" s="28"/>
      <c r="AD92" s="16"/>
      <c r="AE92" s="28"/>
      <c r="AF92" s="28"/>
      <c r="AG92" s="28"/>
      <c r="AH92" s="28"/>
      <c r="AI92" s="16"/>
      <c r="AJ92" s="28"/>
      <c r="AK92" s="28"/>
      <c r="AL92" s="28"/>
      <c r="AM92" s="28"/>
      <c r="AN92" s="16"/>
      <c r="AO92" s="28"/>
      <c r="AP92" s="28"/>
      <c r="AQ92" s="28"/>
      <c r="AR92" s="28"/>
      <c r="AS92" s="16"/>
      <c r="AT92" s="28"/>
      <c r="AU92" s="28"/>
      <c r="AV92" s="28"/>
      <c r="AW92" s="28"/>
    </row>
    <row r="93" ht="15.75" customHeight="1">
      <c r="A93" s="36"/>
      <c r="B93" s="40" t="s">
        <v>124</v>
      </c>
      <c r="C93" s="40"/>
      <c r="D93" s="40"/>
      <c r="E93" s="40"/>
      <c r="F93" s="40"/>
      <c r="G93" s="40"/>
      <c r="H93" s="16"/>
      <c r="I93" s="40"/>
      <c r="J93" s="40"/>
      <c r="K93" s="40"/>
      <c r="L93" s="40"/>
      <c r="M93" s="40"/>
      <c r="N93" s="16"/>
      <c r="O93" s="40"/>
      <c r="P93" s="40"/>
      <c r="Q93" s="40"/>
      <c r="R93" s="40"/>
      <c r="S93" s="16"/>
      <c r="T93" s="40"/>
      <c r="U93" s="40"/>
      <c r="V93" s="40"/>
      <c r="W93" s="40"/>
      <c r="X93" s="40"/>
      <c r="Y93" s="16"/>
      <c r="Z93" s="40"/>
      <c r="AA93" s="40"/>
      <c r="AB93" s="40"/>
      <c r="AC93" s="40"/>
      <c r="AD93" s="16"/>
      <c r="AE93" s="40"/>
      <c r="AF93" s="40"/>
      <c r="AG93" s="40"/>
      <c r="AH93" s="40"/>
      <c r="AI93" s="16"/>
      <c r="AJ93" s="40"/>
      <c r="AK93" s="40"/>
      <c r="AL93" s="40"/>
      <c r="AM93" s="40"/>
      <c r="AN93" s="16"/>
      <c r="AO93" s="40"/>
      <c r="AP93" s="40"/>
      <c r="AQ93" s="40"/>
      <c r="AR93" s="40"/>
      <c r="AS93" s="16"/>
      <c r="AT93" s="40"/>
      <c r="AU93" s="40"/>
      <c r="AV93" s="40"/>
      <c r="AW93" s="40"/>
    </row>
    <row r="94" ht="15.75" customHeight="1">
      <c r="A94" s="36"/>
      <c r="B94" s="24" t="s">
        <v>126</v>
      </c>
      <c r="C94" s="28"/>
      <c r="D94" s="28" t="s">
        <v>646</v>
      </c>
      <c r="E94" s="28" t="s">
        <v>647</v>
      </c>
      <c r="F94" s="28" t="s">
        <v>648</v>
      </c>
      <c r="G94" s="28"/>
      <c r="H94" s="16"/>
      <c r="I94" s="28" t="s">
        <v>556</v>
      </c>
      <c r="J94" s="28" t="s">
        <v>359</v>
      </c>
      <c r="K94" s="28"/>
      <c r="L94" s="28" t="s">
        <v>651</v>
      </c>
      <c r="M94" s="28"/>
      <c r="N94" s="16"/>
      <c r="O94" s="28"/>
      <c r="P94" s="28"/>
      <c r="Q94" s="28"/>
      <c r="R94" s="28"/>
      <c r="S94" s="16"/>
      <c r="T94" s="28"/>
      <c r="U94" s="28"/>
      <c r="V94" s="28"/>
      <c r="W94" s="28" t="s">
        <v>365</v>
      </c>
      <c r="X94" s="28"/>
      <c r="Y94" s="16"/>
      <c r="Z94" s="33"/>
      <c r="AA94" s="33"/>
      <c r="AB94" s="28"/>
      <c r="AC94" s="28"/>
      <c r="AD94" s="16"/>
      <c r="AE94" s="28"/>
      <c r="AF94" s="33"/>
      <c r="AG94" s="33"/>
      <c r="AH94" s="33"/>
      <c r="AI94" s="16"/>
      <c r="AJ94" s="28"/>
      <c r="AK94" s="33"/>
      <c r="AL94" s="33"/>
      <c r="AM94" s="33"/>
      <c r="AN94" s="16"/>
      <c r="AO94" s="28"/>
      <c r="AP94" s="33"/>
      <c r="AQ94" s="33"/>
      <c r="AR94" s="33"/>
      <c r="AS94" s="16"/>
      <c r="AT94" s="28"/>
      <c r="AU94" s="28"/>
      <c r="AV94" s="28"/>
      <c r="AW94" s="28"/>
    </row>
    <row r="95" ht="15.75" customHeight="1">
      <c r="A95" s="36"/>
      <c r="B95" s="24" t="s">
        <v>138</v>
      </c>
      <c r="C95" s="28"/>
      <c r="D95" s="28" t="s">
        <v>646</v>
      </c>
      <c r="E95" s="28" t="s">
        <v>647</v>
      </c>
      <c r="F95" s="28" t="s">
        <v>648</v>
      </c>
      <c r="G95" s="28"/>
      <c r="H95" s="16"/>
      <c r="I95" s="28" t="s">
        <v>556</v>
      </c>
      <c r="J95" s="28" t="s">
        <v>359</v>
      </c>
      <c r="K95" s="28"/>
      <c r="L95" s="28" t="s">
        <v>651</v>
      </c>
      <c r="M95" s="28"/>
      <c r="N95" s="16"/>
      <c r="O95" s="28"/>
      <c r="P95" s="28"/>
      <c r="Q95" s="28"/>
      <c r="R95" s="28"/>
      <c r="S95" s="16"/>
      <c r="T95" s="28"/>
      <c r="U95" s="28"/>
      <c r="V95" s="28"/>
      <c r="W95" s="28" t="s">
        <v>365</v>
      </c>
      <c r="X95" s="28"/>
      <c r="Y95" s="16"/>
      <c r="Z95" s="33"/>
      <c r="AA95" s="33"/>
      <c r="AB95" s="28"/>
      <c r="AC95" s="28"/>
      <c r="AD95" s="16"/>
      <c r="AE95" s="28"/>
      <c r="AF95" s="33"/>
      <c r="AG95" s="33"/>
      <c r="AH95" s="33"/>
      <c r="AI95" s="16"/>
      <c r="AJ95" s="28"/>
      <c r="AK95" s="33"/>
      <c r="AL95" s="33"/>
      <c r="AM95" s="33"/>
      <c r="AN95" s="16"/>
      <c r="AO95" s="28"/>
      <c r="AP95" s="33"/>
      <c r="AQ95" s="33"/>
      <c r="AR95" s="33"/>
      <c r="AS95" s="16"/>
      <c r="AT95" s="28"/>
      <c r="AU95" s="28"/>
      <c r="AV95" s="28"/>
      <c r="AW95" s="28"/>
    </row>
    <row r="96" ht="15.75" customHeight="1">
      <c r="A96" s="36"/>
      <c r="B96" s="40" t="s">
        <v>111</v>
      </c>
      <c r="C96" s="40"/>
      <c r="D96" s="40"/>
      <c r="E96" s="40"/>
      <c r="F96" s="40"/>
      <c r="G96" s="40"/>
      <c r="H96" s="16"/>
      <c r="I96" s="40"/>
      <c r="J96" s="40"/>
      <c r="K96" s="40"/>
      <c r="L96" s="40"/>
      <c r="M96" s="40"/>
      <c r="N96" s="16"/>
      <c r="O96" s="40"/>
      <c r="P96" s="40"/>
      <c r="Q96" s="40"/>
      <c r="R96" s="40"/>
      <c r="S96" s="16"/>
      <c r="T96" s="40"/>
      <c r="U96" s="40"/>
      <c r="V96" s="40"/>
      <c r="W96" s="40"/>
      <c r="X96" s="40"/>
      <c r="Y96" s="16"/>
      <c r="Z96" s="40"/>
      <c r="AA96" s="40"/>
      <c r="AB96" s="40"/>
      <c r="AC96" s="40"/>
      <c r="AD96" s="16"/>
      <c r="AE96" s="40"/>
      <c r="AF96" s="40"/>
      <c r="AG96" s="40"/>
      <c r="AH96" s="40"/>
      <c r="AI96" s="16"/>
      <c r="AJ96" s="40"/>
      <c r="AK96" s="40"/>
      <c r="AL96" s="40"/>
      <c r="AM96" s="40"/>
      <c r="AN96" s="16"/>
      <c r="AO96" s="40"/>
      <c r="AP96" s="40"/>
      <c r="AQ96" s="40"/>
      <c r="AR96" s="40"/>
      <c r="AS96" s="16"/>
      <c r="AT96" s="40"/>
      <c r="AU96" s="40"/>
      <c r="AV96" s="40"/>
      <c r="AW96" s="40"/>
    </row>
    <row r="97" ht="15.75" customHeight="1">
      <c r="A97" s="36"/>
      <c r="B97" s="24" t="s">
        <v>141</v>
      </c>
      <c r="C97" s="28"/>
      <c r="D97" s="28" t="s">
        <v>670</v>
      </c>
      <c r="E97" s="28" t="s">
        <v>647</v>
      </c>
      <c r="F97" s="28" t="s">
        <v>648</v>
      </c>
      <c r="G97" s="28"/>
      <c r="H97" s="16"/>
      <c r="I97" s="28" t="s">
        <v>526</v>
      </c>
      <c r="J97" s="28" t="s">
        <v>557</v>
      </c>
      <c r="K97" s="28"/>
      <c r="L97" s="28"/>
      <c r="M97" s="28"/>
      <c r="N97" s="16"/>
      <c r="O97" s="28" t="s">
        <v>671</v>
      </c>
      <c r="P97" s="28"/>
      <c r="Q97" s="28"/>
      <c r="R97" s="28"/>
      <c r="S97" s="16"/>
      <c r="T97" s="28"/>
      <c r="U97" s="33"/>
      <c r="V97" s="28"/>
      <c r="W97" s="28" t="s">
        <v>672</v>
      </c>
      <c r="X97" s="28"/>
      <c r="Y97" s="16"/>
      <c r="Z97" s="28"/>
      <c r="AA97" s="30"/>
      <c r="AB97" s="28"/>
      <c r="AC97" s="28"/>
      <c r="AD97" s="16"/>
      <c r="AE97" s="28"/>
      <c r="AF97" s="28"/>
      <c r="AG97" s="33"/>
      <c r="AH97" s="28"/>
      <c r="AI97" s="16"/>
      <c r="AJ97" s="28"/>
      <c r="AK97" s="28"/>
      <c r="AL97" s="33"/>
      <c r="AM97" s="28"/>
      <c r="AN97" s="16"/>
      <c r="AO97" s="28"/>
      <c r="AP97" s="33"/>
      <c r="AQ97" s="33"/>
      <c r="AR97" s="33"/>
      <c r="AS97" s="16"/>
      <c r="AT97" s="28"/>
      <c r="AU97" s="28"/>
      <c r="AV97" s="28"/>
      <c r="AW97" s="28"/>
    </row>
    <row r="98" ht="15.75" customHeight="1">
      <c r="A98" s="36"/>
      <c r="B98" s="24" t="s">
        <v>154</v>
      </c>
      <c r="C98" s="28"/>
      <c r="D98" s="28" t="s">
        <v>670</v>
      </c>
      <c r="E98" s="28" t="s">
        <v>647</v>
      </c>
      <c r="F98" s="28" t="s">
        <v>648</v>
      </c>
      <c r="G98" s="28"/>
      <c r="H98" s="16"/>
      <c r="I98" s="28" t="s">
        <v>526</v>
      </c>
      <c r="J98" s="28" t="s">
        <v>557</v>
      </c>
      <c r="K98" s="28"/>
      <c r="L98" s="28"/>
      <c r="M98" s="28"/>
      <c r="N98" s="16"/>
      <c r="O98" s="28" t="s">
        <v>671</v>
      </c>
      <c r="P98" s="28"/>
      <c r="Q98" s="28"/>
      <c r="R98" s="28"/>
      <c r="S98" s="16"/>
      <c r="T98" s="28"/>
      <c r="U98" s="33"/>
      <c r="V98" s="28"/>
      <c r="W98" s="28" t="s">
        <v>672</v>
      </c>
      <c r="X98" s="28"/>
      <c r="Y98" s="16"/>
      <c r="Z98" s="33"/>
      <c r="AA98" s="30"/>
      <c r="AB98" s="28"/>
      <c r="AC98" s="28"/>
      <c r="AD98" s="16"/>
      <c r="AE98" s="28"/>
      <c r="AF98" s="28"/>
      <c r="AG98" s="28"/>
      <c r="AH98" s="28"/>
      <c r="AI98" s="16"/>
      <c r="AJ98" s="28"/>
      <c r="AK98" s="28"/>
      <c r="AL98" s="33"/>
      <c r="AM98" s="28"/>
      <c r="AN98" s="16"/>
      <c r="AO98" s="28"/>
      <c r="AP98" s="33"/>
      <c r="AQ98" s="28"/>
      <c r="AR98" s="28"/>
      <c r="AS98" s="16"/>
      <c r="AT98" s="33"/>
      <c r="AU98" s="28"/>
      <c r="AV98" s="28"/>
      <c r="AW98" s="28"/>
    </row>
    <row r="99" ht="15.75" customHeight="1">
      <c r="A99" s="36"/>
      <c r="B99" s="24" t="s">
        <v>155</v>
      </c>
      <c r="C99" s="52"/>
      <c r="D99" s="52"/>
      <c r="E99" s="52"/>
      <c r="F99" s="52"/>
      <c r="G99" s="52"/>
      <c r="H99" s="16"/>
      <c r="I99" s="52"/>
      <c r="J99" s="52"/>
      <c r="K99" s="52"/>
      <c r="L99" s="52"/>
      <c r="M99" s="52"/>
      <c r="N99" s="16"/>
      <c r="O99" s="52"/>
      <c r="P99" s="52"/>
      <c r="Q99" s="52"/>
      <c r="R99" s="52"/>
      <c r="S99" s="16"/>
      <c r="T99" s="52"/>
      <c r="U99" s="52"/>
      <c r="V99" s="52"/>
      <c r="W99" s="52"/>
      <c r="X99" s="52"/>
      <c r="Y99" s="16"/>
      <c r="Z99" s="52"/>
      <c r="AA99" s="52"/>
      <c r="AB99" s="52"/>
      <c r="AC99" s="52"/>
      <c r="AD99" s="16"/>
      <c r="AE99" s="52"/>
      <c r="AF99" s="52"/>
      <c r="AG99" s="52"/>
      <c r="AH99" s="52"/>
      <c r="AI99" s="16"/>
      <c r="AJ99" s="52"/>
      <c r="AK99" s="52"/>
      <c r="AL99" s="52"/>
      <c r="AM99" s="52"/>
      <c r="AN99" s="16"/>
      <c r="AO99" s="52" t="s">
        <v>681</v>
      </c>
      <c r="AP99" s="52"/>
      <c r="AQ99" s="52"/>
      <c r="AR99" s="52"/>
      <c r="AS99" s="16"/>
      <c r="AT99" s="52"/>
      <c r="AU99" s="52" t="s">
        <v>682</v>
      </c>
      <c r="AV99" s="52"/>
      <c r="AW99" s="52"/>
    </row>
    <row r="100" ht="15.75" customHeight="1">
      <c r="A100" s="36"/>
      <c r="B100" s="40" t="s">
        <v>111</v>
      </c>
      <c r="C100" s="40"/>
      <c r="D100" s="40"/>
      <c r="E100" s="40"/>
      <c r="F100" s="40"/>
      <c r="G100" s="40"/>
      <c r="H100" s="16"/>
      <c r="I100" s="40"/>
      <c r="J100" s="40"/>
      <c r="K100" s="40"/>
      <c r="L100" s="40"/>
      <c r="M100" s="40"/>
      <c r="N100" s="16"/>
      <c r="O100" s="40"/>
      <c r="P100" s="40"/>
      <c r="Q100" s="40"/>
      <c r="R100" s="40"/>
      <c r="S100" s="16"/>
      <c r="T100" s="40"/>
      <c r="U100" s="40"/>
      <c r="V100" s="40"/>
      <c r="W100" s="40"/>
      <c r="X100" s="40"/>
      <c r="Y100" s="16"/>
      <c r="Z100" s="40"/>
      <c r="AA100" s="40"/>
      <c r="AB100" s="40"/>
      <c r="AC100" s="40"/>
      <c r="AD100" s="16"/>
      <c r="AE100" s="40"/>
      <c r="AF100" s="40"/>
      <c r="AG100" s="40"/>
      <c r="AH100" s="40"/>
      <c r="AI100" s="16"/>
      <c r="AJ100" s="40"/>
      <c r="AK100" s="40"/>
      <c r="AL100" s="40"/>
      <c r="AM100" s="40"/>
      <c r="AN100" s="16"/>
      <c r="AO100" s="40"/>
      <c r="AP100" s="40"/>
      <c r="AQ100" s="40"/>
      <c r="AR100" s="40"/>
      <c r="AS100" s="16"/>
      <c r="AT100" s="40"/>
      <c r="AU100" s="40"/>
      <c r="AV100" s="40"/>
      <c r="AW100" s="40"/>
    </row>
    <row r="101" ht="15.75" customHeight="1">
      <c r="A101" s="36"/>
      <c r="B101" s="24" t="s">
        <v>164</v>
      </c>
      <c r="C101" s="52"/>
      <c r="D101" s="52"/>
      <c r="E101" s="52"/>
      <c r="F101" s="52"/>
      <c r="G101" s="52"/>
      <c r="H101" s="16"/>
      <c r="I101" s="52"/>
      <c r="J101" s="52"/>
      <c r="K101" s="52"/>
      <c r="L101" s="52"/>
      <c r="M101" s="52"/>
      <c r="N101" s="16"/>
      <c r="O101" s="52"/>
      <c r="P101" s="52"/>
      <c r="Q101" s="52"/>
      <c r="R101" s="52"/>
      <c r="S101" s="16"/>
      <c r="T101" s="52"/>
      <c r="U101" s="52"/>
      <c r="V101" s="52"/>
      <c r="W101" s="52"/>
      <c r="X101" s="52"/>
      <c r="Y101" s="16"/>
      <c r="Z101" s="52"/>
      <c r="AA101" s="52"/>
      <c r="AB101" s="52"/>
      <c r="AC101" s="52"/>
      <c r="AD101" s="16"/>
      <c r="AE101" s="52"/>
      <c r="AF101" s="52"/>
      <c r="AG101" s="52"/>
      <c r="AH101" s="113"/>
      <c r="AI101" s="16"/>
      <c r="AJ101" s="52"/>
      <c r="AK101" s="52"/>
      <c r="AL101" s="52"/>
      <c r="AM101" s="52"/>
      <c r="AN101" s="16"/>
      <c r="AO101" s="52" t="s">
        <v>681</v>
      </c>
      <c r="AP101" s="52"/>
      <c r="AQ101" s="52"/>
      <c r="AR101" s="52"/>
      <c r="AS101" s="16"/>
      <c r="AT101" s="28" t="s">
        <v>436</v>
      </c>
      <c r="AU101" s="52" t="s">
        <v>682</v>
      </c>
      <c r="AV101" s="52" t="s">
        <v>699</v>
      </c>
      <c r="AW101" s="52"/>
    </row>
    <row r="102" ht="15.75" customHeight="1">
      <c r="A102" s="36"/>
      <c r="B102" s="24" t="s">
        <v>174</v>
      </c>
      <c r="C102" s="28"/>
      <c r="D102" s="28"/>
      <c r="E102" s="28"/>
      <c r="F102" s="28"/>
      <c r="G102" s="28"/>
      <c r="H102" s="16"/>
      <c r="I102" s="28"/>
      <c r="J102" s="28"/>
      <c r="K102" s="28"/>
      <c r="L102" s="28"/>
      <c r="M102" s="28"/>
      <c r="N102" s="16"/>
      <c r="O102" s="28"/>
      <c r="P102" s="28"/>
      <c r="Q102" s="28"/>
      <c r="R102" s="28"/>
      <c r="S102" s="16"/>
      <c r="T102" s="28"/>
      <c r="U102" s="28"/>
      <c r="V102" s="28"/>
      <c r="W102" s="28"/>
      <c r="X102" s="28"/>
      <c r="Y102" s="16"/>
      <c r="Z102" s="28" t="s">
        <v>701</v>
      </c>
      <c r="AA102" s="28" t="s">
        <v>286</v>
      </c>
      <c r="AB102" s="28" t="s">
        <v>595</v>
      </c>
      <c r="AC102" s="28" t="s">
        <v>702</v>
      </c>
      <c r="AD102" s="16"/>
      <c r="AE102" s="33"/>
      <c r="AF102" s="12"/>
      <c r="AG102" s="28" t="s">
        <v>296</v>
      </c>
      <c r="AH102" s="28" t="s">
        <v>703</v>
      </c>
      <c r="AI102" s="16"/>
      <c r="AJ102" s="123"/>
      <c r="AK102" s="84" t="s">
        <v>717</v>
      </c>
      <c r="AL102" s="84" t="s">
        <v>718</v>
      </c>
      <c r="AM102" s="28"/>
      <c r="AN102" s="16"/>
      <c r="AO102" s="28"/>
      <c r="AP102" s="28" t="s">
        <v>719</v>
      </c>
      <c r="AQ102" s="28" t="s">
        <v>720</v>
      </c>
      <c r="AR102" s="28"/>
      <c r="AS102" s="16"/>
      <c r="AT102" s="28"/>
      <c r="AU102" s="61" t="s">
        <v>307</v>
      </c>
      <c r="AV102" s="33" t="s">
        <v>721</v>
      </c>
      <c r="AW102" s="84" t="s">
        <v>722</v>
      </c>
    </row>
    <row r="103" ht="15.75" customHeight="1">
      <c r="A103" s="36"/>
      <c r="B103" s="24" t="s">
        <v>193</v>
      </c>
      <c r="C103" s="28"/>
      <c r="D103" s="28"/>
      <c r="E103" s="28"/>
      <c r="F103" s="28"/>
      <c r="G103" s="28"/>
      <c r="H103" s="16"/>
      <c r="I103" s="28"/>
      <c r="J103" s="28"/>
      <c r="K103" s="28"/>
      <c r="L103" s="28"/>
      <c r="M103" s="28"/>
      <c r="N103" s="16"/>
      <c r="O103" s="28"/>
      <c r="P103" s="28"/>
      <c r="Q103" s="28"/>
      <c r="R103" s="28"/>
      <c r="S103" s="16"/>
      <c r="T103" s="28"/>
      <c r="U103" s="28"/>
      <c r="V103" s="28"/>
      <c r="W103" s="28"/>
      <c r="X103" s="28"/>
      <c r="Y103" s="16"/>
      <c r="Z103" s="28" t="s">
        <v>701</v>
      </c>
      <c r="AA103" s="28" t="s">
        <v>286</v>
      </c>
      <c r="AB103" s="28" t="s">
        <v>595</v>
      </c>
      <c r="AC103" s="28" t="s">
        <v>702</v>
      </c>
      <c r="AD103" s="16"/>
      <c r="AE103" s="33"/>
      <c r="AF103" s="12"/>
      <c r="AG103" s="28" t="s">
        <v>296</v>
      </c>
      <c r="AH103" s="28" t="s">
        <v>703</v>
      </c>
      <c r="AI103" s="16"/>
      <c r="AJ103" s="123"/>
      <c r="AK103" s="84" t="s">
        <v>717</v>
      </c>
      <c r="AL103" s="84" t="s">
        <v>718</v>
      </c>
      <c r="AM103" s="28"/>
      <c r="AN103" s="16"/>
      <c r="AO103" s="28"/>
      <c r="AP103" s="28" t="s">
        <v>719</v>
      </c>
      <c r="AQ103" s="28" t="s">
        <v>720</v>
      </c>
      <c r="AR103" s="28"/>
      <c r="AS103" s="16"/>
      <c r="AT103" s="28" t="s">
        <v>724</v>
      </c>
      <c r="AU103" s="61" t="s">
        <v>307</v>
      </c>
      <c r="AV103" s="28"/>
      <c r="AW103" s="84" t="s">
        <v>722</v>
      </c>
    </row>
    <row r="104" ht="15.75" customHeight="1">
      <c r="A104" s="36"/>
      <c r="B104" s="40" t="s">
        <v>111</v>
      </c>
      <c r="C104" s="40"/>
      <c r="D104" s="40"/>
      <c r="E104" s="40"/>
      <c r="F104" s="40"/>
      <c r="G104" s="40"/>
      <c r="H104" s="16"/>
      <c r="I104" s="40"/>
      <c r="J104" s="40"/>
      <c r="K104" s="40"/>
      <c r="L104" s="40"/>
      <c r="M104" s="40"/>
      <c r="N104" s="16"/>
      <c r="O104" s="40"/>
      <c r="P104" s="40"/>
      <c r="Q104" s="40"/>
      <c r="R104" s="40"/>
      <c r="S104" s="16"/>
      <c r="T104" s="40"/>
      <c r="U104" s="40"/>
      <c r="V104" s="40"/>
      <c r="W104" s="40"/>
      <c r="X104" s="40"/>
      <c r="Y104" s="16"/>
      <c r="Z104" s="40"/>
      <c r="AA104" s="40"/>
      <c r="AB104" s="40"/>
      <c r="AC104" s="40"/>
      <c r="AD104" s="16"/>
      <c r="AE104" s="40"/>
      <c r="AF104" s="22"/>
      <c r="AG104" s="40"/>
      <c r="AH104" s="40"/>
      <c r="AI104" s="16"/>
      <c r="AJ104" s="40"/>
      <c r="AK104" s="40"/>
      <c r="AL104" s="40"/>
      <c r="AM104" s="40"/>
      <c r="AN104" s="16"/>
      <c r="AO104" s="40"/>
      <c r="AP104" s="40"/>
      <c r="AQ104" s="40"/>
      <c r="AR104" s="40"/>
      <c r="AS104" s="16"/>
      <c r="AT104" s="40"/>
      <c r="AU104" s="40"/>
      <c r="AV104" s="40"/>
      <c r="AW104" s="40"/>
    </row>
    <row r="105" ht="15.75" customHeight="1">
      <c r="A105" s="36"/>
      <c r="B105" s="24" t="s">
        <v>198</v>
      </c>
      <c r="C105" s="28"/>
      <c r="D105" s="28"/>
      <c r="E105" s="28"/>
      <c r="F105" s="28"/>
      <c r="G105" s="28"/>
      <c r="H105" s="16"/>
      <c r="I105" s="28"/>
      <c r="J105" s="28"/>
      <c r="K105" s="28"/>
      <c r="L105" s="28"/>
      <c r="M105" s="28"/>
      <c r="N105" s="16"/>
      <c r="O105" s="28"/>
      <c r="P105" s="28"/>
      <c r="Q105" s="28"/>
      <c r="R105" s="28"/>
      <c r="S105" s="16"/>
      <c r="T105" s="28"/>
      <c r="U105" s="28"/>
      <c r="V105" s="28"/>
      <c r="W105" s="28"/>
      <c r="X105" s="28"/>
      <c r="Y105" s="16"/>
      <c r="Z105" s="28" t="s">
        <v>593</v>
      </c>
      <c r="AA105" s="30" t="s">
        <v>438</v>
      </c>
      <c r="AB105" s="28" t="s">
        <v>730</v>
      </c>
      <c r="AC105" s="28"/>
      <c r="AD105" s="16"/>
      <c r="AE105" s="28"/>
      <c r="AF105" s="30" t="s">
        <v>440</v>
      </c>
      <c r="AG105" s="28" t="s">
        <v>731</v>
      </c>
      <c r="AH105" s="28"/>
      <c r="AI105" s="16"/>
      <c r="AJ105" s="123"/>
      <c r="AK105" s="30" t="s">
        <v>438</v>
      </c>
      <c r="AL105" s="84" t="s">
        <v>732</v>
      </c>
      <c r="AM105" s="28"/>
      <c r="AN105" s="16"/>
      <c r="AO105" s="28"/>
      <c r="AP105" s="28"/>
      <c r="AQ105" s="84" t="s">
        <v>733</v>
      </c>
      <c r="AR105" s="30"/>
      <c r="AS105" s="16"/>
      <c r="AT105" s="28" t="s">
        <v>724</v>
      </c>
      <c r="AU105" s="61" t="s">
        <v>612</v>
      </c>
      <c r="AV105" s="28" t="s">
        <v>735</v>
      </c>
      <c r="AW105" s="84" t="s">
        <v>736</v>
      </c>
    </row>
    <row r="106" ht="15.75" customHeight="1">
      <c r="A106" s="66"/>
      <c r="B106" s="24" t="s">
        <v>210</v>
      </c>
      <c r="C106" s="28"/>
      <c r="D106" s="28"/>
      <c r="E106" s="28"/>
      <c r="F106" s="28"/>
      <c r="G106" s="28"/>
      <c r="H106" s="16"/>
      <c r="I106" s="28"/>
      <c r="J106" s="28"/>
      <c r="K106" s="28"/>
      <c r="L106" s="28"/>
      <c r="M106" s="28"/>
      <c r="N106" s="16"/>
      <c r="O106" s="28"/>
      <c r="P106" s="28"/>
      <c r="Q106" s="28"/>
      <c r="R106" s="28"/>
      <c r="S106" s="16"/>
      <c r="T106" s="28"/>
      <c r="U106" s="28"/>
      <c r="V106" s="28"/>
      <c r="W106" s="28"/>
      <c r="X106" s="28"/>
      <c r="Y106" s="16"/>
      <c r="Z106" s="28" t="s">
        <v>593</v>
      </c>
      <c r="AA106" s="30" t="s">
        <v>438</v>
      </c>
      <c r="AB106" s="28" t="s">
        <v>730</v>
      </c>
      <c r="AC106" s="28"/>
      <c r="AD106" s="16"/>
      <c r="AE106" s="28"/>
      <c r="AF106" s="30" t="s">
        <v>438</v>
      </c>
      <c r="AG106" s="28" t="s">
        <v>731</v>
      </c>
      <c r="AH106" s="28"/>
      <c r="AI106" s="16"/>
      <c r="AJ106" s="123"/>
      <c r="AK106" s="30" t="s">
        <v>438</v>
      </c>
      <c r="AL106" s="84" t="s">
        <v>732</v>
      </c>
      <c r="AM106" s="28"/>
      <c r="AN106" s="16"/>
      <c r="AO106" s="28"/>
      <c r="AP106" s="28"/>
      <c r="AQ106" s="84" t="s">
        <v>733</v>
      </c>
      <c r="AR106" s="30"/>
      <c r="AS106" s="16"/>
      <c r="AT106" s="28" t="s">
        <v>724</v>
      </c>
      <c r="AU106" s="61" t="s">
        <v>738</v>
      </c>
      <c r="AV106" s="28" t="s">
        <v>735</v>
      </c>
      <c r="AW106" s="84" t="s">
        <v>722</v>
      </c>
    </row>
    <row r="107" ht="15.75" customHeight="1">
      <c r="A107" s="6" t="s">
        <v>20</v>
      </c>
      <c r="B107" s="6" t="s">
        <v>23</v>
      </c>
      <c r="C107" s="6" t="s">
        <v>24</v>
      </c>
      <c r="D107" s="6" t="s">
        <v>27</v>
      </c>
      <c r="E107" s="6" t="s">
        <v>29</v>
      </c>
      <c r="F107" s="6" t="s">
        <v>32</v>
      </c>
      <c r="G107" s="6" t="s">
        <v>33</v>
      </c>
      <c r="H107" s="16"/>
      <c r="I107" s="6" t="s">
        <v>34</v>
      </c>
      <c r="J107" s="6" t="s">
        <v>36</v>
      </c>
      <c r="K107" s="6" t="s">
        <v>39</v>
      </c>
      <c r="L107" s="6" t="s">
        <v>42</v>
      </c>
      <c r="M107" s="6" t="s">
        <v>43</v>
      </c>
      <c r="N107" s="16"/>
      <c r="O107" s="6" t="s">
        <v>44</v>
      </c>
      <c r="P107" s="6" t="s">
        <v>45</v>
      </c>
      <c r="Q107" s="6" t="s">
        <v>46</v>
      </c>
      <c r="R107" s="6" t="s">
        <v>47</v>
      </c>
      <c r="S107" s="16"/>
      <c r="T107" s="6" t="s">
        <v>48</v>
      </c>
      <c r="U107" s="6" t="s">
        <v>49</v>
      </c>
      <c r="V107" s="6" t="s">
        <v>50</v>
      </c>
      <c r="W107" s="6" t="s">
        <v>51</v>
      </c>
      <c r="X107" s="6" t="s">
        <v>52</v>
      </c>
      <c r="Y107" s="16"/>
      <c r="Z107" s="6" t="s">
        <v>53</v>
      </c>
      <c r="AA107" s="6" t="s">
        <v>54</v>
      </c>
      <c r="AB107" s="6" t="s">
        <v>56</v>
      </c>
      <c r="AC107" s="6" t="s">
        <v>57</v>
      </c>
      <c r="AD107" s="16"/>
      <c r="AE107" s="6" t="s">
        <v>59</v>
      </c>
      <c r="AF107" s="6" t="s">
        <v>61</v>
      </c>
      <c r="AG107" s="6" t="s">
        <v>63</v>
      </c>
      <c r="AH107" s="6" t="s">
        <v>65</v>
      </c>
      <c r="AI107" s="16"/>
      <c r="AJ107" s="6" t="s">
        <v>66</v>
      </c>
      <c r="AK107" s="6" t="s">
        <v>67</v>
      </c>
      <c r="AL107" s="6" t="s">
        <v>68</v>
      </c>
      <c r="AM107" s="6" t="s">
        <v>69</v>
      </c>
      <c r="AN107" s="16"/>
      <c r="AO107" s="6" t="s">
        <v>70</v>
      </c>
      <c r="AP107" s="6" t="s">
        <v>71</v>
      </c>
      <c r="AQ107" s="6" t="s">
        <v>72</v>
      </c>
      <c r="AR107" s="6" t="s">
        <v>73</v>
      </c>
      <c r="AS107" s="16"/>
      <c r="AT107" s="6" t="s">
        <v>74</v>
      </c>
      <c r="AU107" s="6" t="s">
        <v>75</v>
      </c>
      <c r="AV107" s="6" t="s">
        <v>76</v>
      </c>
      <c r="AW107" s="6" t="s">
        <v>77</v>
      </c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</row>
  </sheetData>
  <mergeCells count="14">
    <mergeCell ref="AO1:AR1"/>
    <mergeCell ref="AT1:AW1"/>
    <mergeCell ref="A3:A22"/>
    <mergeCell ref="A24:A43"/>
    <mergeCell ref="A45:A64"/>
    <mergeCell ref="A66:A85"/>
    <mergeCell ref="A87:A106"/>
    <mergeCell ref="C1:G1"/>
    <mergeCell ref="I1:M1"/>
    <mergeCell ref="O1:R1"/>
    <mergeCell ref="T1:X1"/>
    <mergeCell ref="Z1:AC1"/>
    <mergeCell ref="AE1:AH1"/>
    <mergeCell ref="AJ1:AM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.88"/>
    <col customWidth="1" min="2" max="2" width="10.88"/>
    <col customWidth="1" min="3" max="3" width="27.88"/>
    <col customWidth="1" min="4" max="4" width="28.25"/>
    <col customWidth="1" min="5" max="6" width="25.13"/>
    <col customWidth="1" min="7" max="7" width="29.13"/>
    <col customWidth="1" min="8" max="8" width="29.25"/>
    <col customWidth="1" min="9" max="9" width="4.0"/>
    <col customWidth="1" min="10" max="10" width="29.13"/>
    <col customWidth="1" min="11" max="11" width="30.25"/>
    <col customWidth="1" min="12" max="12" width="34.5"/>
    <col customWidth="1" min="13" max="13" width="35.38"/>
    <col customWidth="1" min="14" max="14" width="29.63"/>
    <col customWidth="1" min="15" max="15" width="29.13"/>
    <col customWidth="1" min="16" max="16" width="4.63"/>
    <col customWidth="1" min="17" max="18" width="25.13"/>
    <col customWidth="1" min="19" max="19" width="32.88"/>
    <col customWidth="1" min="20" max="20" width="34.63"/>
    <col customWidth="1" min="21" max="21" width="26.88"/>
    <col customWidth="1" min="22" max="22" width="27.5"/>
    <col customWidth="1" min="23" max="23" width="4.63"/>
    <col customWidth="1" min="24" max="24" width="25.13"/>
    <col customWidth="1" min="25" max="25" width="4.63"/>
    <col customWidth="1" min="26" max="26" width="25.13"/>
  </cols>
  <sheetData>
    <row r="1" ht="15.75" customHeight="1">
      <c r="A1" s="4" t="s">
        <v>0</v>
      </c>
      <c r="B1" s="5"/>
      <c r="C1" s="11" t="s">
        <v>2</v>
      </c>
      <c r="I1" s="12"/>
      <c r="J1" s="15" t="s">
        <v>5</v>
      </c>
      <c r="K1" s="8"/>
      <c r="L1" s="8"/>
      <c r="M1" s="8"/>
      <c r="N1" s="8"/>
      <c r="O1" s="10"/>
      <c r="P1" s="12"/>
      <c r="Q1" s="15" t="s">
        <v>6</v>
      </c>
      <c r="R1" s="8"/>
      <c r="S1" s="8"/>
      <c r="T1" s="8"/>
      <c r="U1" s="8"/>
      <c r="V1" s="10"/>
      <c r="W1" s="12"/>
      <c r="X1" s="15" t="s">
        <v>7</v>
      </c>
      <c r="Y1" s="12"/>
      <c r="Z1" s="19" t="s">
        <v>8</v>
      </c>
    </row>
    <row r="2" ht="15.75" customHeight="1">
      <c r="A2" s="22" t="s">
        <v>20</v>
      </c>
      <c r="B2" s="26" t="s">
        <v>23</v>
      </c>
      <c r="C2" s="26" t="s">
        <v>80</v>
      </c>
      <c r="D2" s="26" t="s">
        <v>81</v>
      </c>
      <c r="E2" s="26" t="s">
        <v>82</v>
      </c>
      <c r="F2" s="26" t="s">
        <v>83</v>
      </c>
      <c r="G2" s="26" t="s">
        <v>84</v>
      </c>
      <c r="H2" s="26" t="s">
        <v>85</v>
      </c>
      <c r="I2" s="31"/>
      <c r="J2" s="26" t="s">
        <v>94</v>
      </c>
      <c r="K2" s="26" t="s">
        <v>95</v>
      </c>
      <c r="L2" s="26" t="s">
        <v>96</v>
      </c>
      <c r="M2" s="26" t="s">
        <v>97</v>
      </c>
      <c r="N2" s="26" t="s">
        <v>98</v>
      </c>
      <c r="O2" s="26" t="s">
        <v>99</v>
      </c>
      <c r="P2" s="31"/>
      <c r="Q2" s="26" t="s">
        <v>100</v>
      </c>
      <c r="R2" s="26" t="s">
        <v>101</v>
      </c>
      <c r="S2" s="26" t="s">
        <v>102</v>
      </c>
      <c r="T2" s="26" t="s">
        <v>103</v>
      </c>
      <c r="U2" s="26" t="s">
        <v>104</v>
      </c>
      <c r="V2" s="26" t="s">
        <v>105</v>
      </c>
      <c r="W2" s="31"/>
      <c r="X2" s="26" t="s">
        <v>106</v>
      </c>
      <c r="Y2" s="31"/>
      <c r="Z2" s="34" t="s">
        <v>107</v>
      </c>
    </row>
    <row r="3" ht="44.25" customHeight="1">
      <c r="A3" s="37" t="s">
        <v>108</v>
      </c>
      <c r="B3" s="31" t="s">
        <v>79</v>
      </c>
      <c r="C3" s="39" t="s">
        <v>110</v>
      </c>
      <c r="D3" s="41" t="s">
        <v>112</v>
      </c>
      <c r="E3" s="43" t="s">
        <v>115</v>
      </c>
      <c r="F3" s="41" t="s">
        <v>122</v>
      </c>
      <c r="G3" s="43" t="s">
        <v>123</v>
      </c>
      <c r="H3" s="44" t="s">
        <v>125</v>
      </c>
      <c r="I3" s="45"/>
      <c r="J3" s="46" t="s">
        <v>140</v>
      </c>
      <c r="K3" s="47" t="s">
        <v>142</v>
      </c>
      <c r="L3" s="48" t="s">
        <v>149</v>
      </c>
      <c r="M3" s="48" t="s">
        <v>150</v>
      </c>
      <c r="N3" s="49" t="s">
        <v>151</v>
      </c>
      <c r="O3" s="48" t="s">
        <v>152</v>
      </c>
      <c r="P3" s="45"/>
      <c r="Q3" s="51" t="s">
        <v>153</v>
      </c>
      <c r="R3" s="53" t="s">
        <v>156</v>
      </c>
      <c r="S3" s="55" t="s">
        <v>162</v>
      </c>
      <c r="T3" s="51" t="s">
        <v>169</v>
      </c>
      <c r="U3" s="51" t="s">
        <v>171</v>
      </c>
      <c r="V3" s="55" t="s">
        <v>173</v>
      </c>
      <c r="W3" s="45"/>
      <c r="X3" s="57" t="s">
        <v>175</v>
      </c>
      <c r="Y3" s="45"/>
      <c r="Z3" s="58"/>
    </row>
    <row r="4" ht="39.0" customHeight="1">
      <c r="A4" s="36"/>
      <c r="B4" s="31" t="s">
        <v>109</v>
      </c>
      <c r="C4" s="39" t="s">
        <v>183</v>
      </c>
      <c r="D4" s="41" t="s">
        <v>112</v>
      </c>
      <c r="E4" s="43" t="s">
        <v>115</v>
      </c>
      <c r="F4" s="41" t="s">
        <v>122</v>
      </c>
      <c r="G4" s="43" t="s">
        <v>184</v>
      </c>
      <c r="H4" s="44" t="s">
        <v>125</v>
      </c>
      <c r="I4" s="45"/>
      <c r="J4" s="46" t="s">
        <v>140</v>
      </c>
      <c r="K4" s="47" t="s">
        <v>142</v>
      </c>
      <c r="L4" s="48" t="s">
        <v>149</v>
      </c>
      <c r="M4" s="48" t="s">
        <v>150</v>
      </c>
      <c r="N4" s="49" t="s">
        <v>151</v>
      </c>
      <c r="O4" s="49" t="s">
        <v>152</v>
      </c>
      <c r="P4" s="45"/>
      <c r="Q4" s="60"/>
      <c r="R4" s="51" t="s">
        <v>188</v>
      </c>
      <c r="S4" s="55" t="s">
        <v>162</v>
      </c>
      <c r="T4" s="51" t="s">
        <v>169</v>
      </c>
      <c r="U4" s="51" t="s">
        <v>171</v>
      </c>
      <c r="V4" s="55" t="s">
        <v>173</v>
      </c>
      <c r="W4" s="45"/>
      <c r="X4" s="57" t="s">
        <v>175</v>
      </c>
      <c r="Y4" s="45"/>
      <c r="Z4" s="62" t="s">
        <v>189</v>
      </c>
    </row>
    <row r="5" ht="15.75" customHeight="1">
      <c r="A5" s="36"/>
      <c r="B5" s="63" t="s">
        <v>111</v>
      </c>
      <c r="C5" s="65"/>
      <c r="D5" s="68"/>
      <c r="E5" s="68"/>
      <c r="F5" s="70"/>
      <c r="G5" s="70"/>
      <c r="H5" s="70"/>
      <c r="I5" s="72"/>
      <c r="J5" s="65"/>
      <c r="K5" s="73"/>
      <c r="L5" s="68"/>
      <c r="M5" s="68"/>
      <c r="N5" s="68"/>
      <c r="O5" s="68"/>
      <c r="P5" s="45"/>
      <c r="Q5" s="65"/>
      <c r="R5" s="68"/>
      <c r="S5" s="68"/>
      <c r="T5" s="68"/>
      <c r="U5" s="68"/>
      <c r="V5" s="68"/>
      <c r="W5" s="45"/>
      <c r="X5" s="65"/>
      <c r="Y5" s="45"/>
      <c r="Z5" s="68"/>
    </row>
    <row r="6" ht="42.75" customHeight="1">
      <c r="A6" s="36"/>
      <c r="B6" s="31" t="s">
        <v>113</v>
      </c>
      <c r="C6" s="39" t="s">
        <v>224</v>
      </c>
      <c r="D6" s="41" t="s">
        <v>225</v>
      </c>
      <c r="E6" s="41" t="s">
        <v>226</v>
      </c>
      <c r="F6" s="43" t="s">
        <v>115</v>
      </c>
      <c r="G6" s="43" t="s">
        <v>123</v>
      </c>
      <c r="H6" s="39" t="s">
        <v>227</v>
      </c>
      <c r="I6" s="45"/>
      <c r="J6" s="46" t="s">
        <v>140</v>
      </c>
      <c r="K6" s="49" t="s">
        <v>228</v>
      </c>
      <c r="L6" s="48" t="s">
        <v>150</v>
      </c>
      <c r="M6" s="48" t="s">
        <v>149</v>
      </c>
      <c r="N6" s="49" t="s">
        <v>229</v>
      </c>
      <c r="O6" s="49" t="s">
        <v>230</v>
      </c>
      <c r="P6" s="45"/>
      <c r="Q6" s="53" t="s">
        <v>231</v>
      </c>
      <c r="R6" s="51" t="s">
        <v>232</v>
      </c>
      <c r="S6" s="51" t="s">
        <v>233</v>
      </c>
      <c r="T6" s="51" t="s">
        <v>234</v>
      </c>
      <c r="U6" s="53" t="s">
        <v>236</v>
      </c>
      <c r="V6" s="51" t="s">
        <v>237</v>
      </c>
      <c r="W6" s="45"/>
      <c r="X6" s="74" t="s">
        <v>238</v>
      </c>
      <c r="Y6" s="45"/>
      <c r="Z6" s="75" t="s">
        <v>239</v>
      </c>
    </row>
    <row r="7" ht="38.25" customHeight="1">
      <c r="A7" s="36"/>
      <c r="B7" s="31" t="s">
        <v>120</v>
      </c>
      <c r="C7" s="41" t="s">
        <v>241</v>
      </c>
      <c r="D7" s="41" t="s">
        <v>242</v>
      </c>
      <c r="E7" s="41" t="s">
        <v>226</v>
      </c>
      <c r="F7" s="43" t="s">
        <v>115</v>
      </c>
      <c r="G7" s="43" t="s">
        <v>243</v>
      </c>
      <c r="H7" s="43" t="s">
        <v>244</v>
      </c>
      <c r="I7" s="45"/>
      <c r="J7" s="46" t="s">
        <v>140</v>
      </c>
      <c r="K7" s="76"/>
      <c r="L7" s="48" t="s">
        <v>150</v>
      </c>
      <c r="M7" s="48" t="s">
        <v>149</v>
      </c>
      <c r="N7" s="49" t="s">
        <v>253</v>
      </c>
      <c r="O7" s="49" t="s">
        <v>230</v>
      </c>
      <c r="P7" s="45"/>
      <c r="Q7" s="78" t="s">
        <v>258</v>
      </c>
      <c r="R7" s="51" t="s">
        <v>232</v>
      </c>
      <c r="S7" s="51" t="s">
        <v>233</v>
      </c>
      <c r="T7" s="51" t="s">
        <v>234</v>
      </c>
      <c r="U7" s="53" t="s">
        <v>236</v>
      </c>
      <c r="V7" s="53"/>
      <c r="W7" s="45"/>
      <c r="X7" s="74" t="s">
        <v>238</v>
      </c>
      <c r="Y7" s="45"/>
      <c r="Z7" s="80" t="s">
        <v>274</v>
      </c>
    </row>
    <row r="8" ht="40.5" customHeight="1">
      <c r="A8" s="36"/>
      <c r="B8" s="31" t="s">
        <v>121</v>
      </c>
      <c r="C8" s="39" t="s">
        <v>224</v>
      </c>
      <c r="D8" s="41" t="s">
        <v>242</v>
      </c>
      <c r="E8" s="41" t="s">
        <v>276</v>
      </c>
      <c r="F8" s="83"/>
      <c r="G8" s="43" t="s">
        <v>243</v>
      </c>
      <c r="H8" s="43" t="s">
        <v>284</v>
      </c>
      <c r="I8" s="45"/>
      <c r="J8" s="49" t="s">
        <v>285</v>
      </c>
      <c r="K8" s="85"/>
      <c r="L8" s="46" t="s">
        <v>290</v>
      </c>
      <c r="M8" s="48" t="s">
        <v>291</v>
      </c>
      <c r="N8" s="46" t="s">
        <v>292</v>
      </c>
      <c r="O8" s="49" t="s">
        <v>293</v>
      </c>
      <c r="P8" s="45"/>
      <c r="Q8" s="78" t="s">
        <v>258</v>
      </c>
      <c r="R8" s="60"/>
      <c r="S8" s="51" t="s">
        <v>294</v>
      </c>
      <c r="T8" s="51" t="s">
        <v>234</v>
      </c>
      <c r="U8" s="53"/>
      <c r="V8" s="53" t="s">
        <v>295</v>
      </c>
      <c r="W8" s="45"/>
      <c r="X8" s="87"/>
      <c r="Y8" s="45"/>
      <c r="Z8" s="88" t="s">
        <v>298</v>
      </c>
    </row>
    <row r="9" ht="15.75" customHeight="1">
      <c r="A9" s="36"/>
      <c r="B9" s="63" t="s">
        <v>124</v>
      </c>
      <c r="C9" s="65"/>
      <c r="D9" s="68"/>
      <c r="E9" s="68"/>
      <c r="F9" s="70"/>
      <c r="G9" s="70"/>
      <c r="H9" s="70"/>
      <c r="I9" s="45"/>
      <c r="J9" s="65"/>
      <c r="K9" s="68"/>
      <c r="L9" s="68"/>
      <c r="M9" s="68"/>
      <c r="N9" s="68"/>
      <c r="O9" s="68"/>
      <c r="P9" s="45"/>
      <c r="Q9" s="65"/>
      <c r="R9" s="68"/>
      <c r="S9" s="68"/>
      <c r="T9" s="68"/>
      <c r="U9" s="68"/>
      <c r="V9" s="68"/>
      <c r="W9" s="45"/>
      <c r="X9" s="65"/>
      <c r="Y9" s="45"/>
      <c r="Z9" s="68"/>
    </row>
    <row r="10" ht="15.75" customHeight="1">
      <c r="A10" s="36"/>
      <c r="B10" s="31" t="s">
        <v>126</v>
      </c>
      <c r="C10" s="39" t="s">
        <v>224</v>
      </c>
      <c r="D10" s="41" t="s">
        <v>299</v>
      </c>
      <c r="E10" s="43" t="s">
        <v>300</v>
      </c>
      <c r="F10" s="43" t="s">
        <v>301</v>
      </c>
      <c r="G10" s="41" t="s">
        <v>302</v>
      </c>
      <c r="H10" s="43" t="s">
        <v>123</v>
      </c>
      <c r="I10" s="45"/>
      <c r="J10" s="90"/>
      <c r="K10" s="46" t="s">
        <v>310</v>
      </c>
      <c r="L10" s="49" t="s">
        <v>311</v>
      </c>
      <c r="M10" s="48" t="s">
        <v>291</v>
      </c>
      <c r="N10" s="49" t="s">
        <v>312</v>
      </c>
      <c r="O10" s="49" t="s">
        <v>313</v>
      </c>
      <c r="P10" s="45"/>
      <c r="Q10" s="53" t="s">
        <v>314</v>
      </c>
      <c r="R10" s="78" t="s">
        <v>315</v>
      </c>
      <c r="S10" s="51" t="s">
        <v>294</v>
      </c>
      <c r="T10" s="53" t="s">
        <v>317</v>
      </c>
      <c r="U10" s="51" t="s">
        <v>318</v>
      </c>
      <c r="V10" s="91" t="s">
        <v>319</v>
      </c>
      <c r="W10" s="45"/>
      <c r="X10" s="92" t="s">
        <v>324</v>
      </c>
      <c r="Y10" s="45"/>
      <c r="Z10" s="62" t="s">
        <v>327</v>
      </c>
    </row>
    <row r="11" ht="15.75" customHeight="1">
      <c r="A11" s="36"/>
      <c r="B11" s="31" t="s">
        <v>138</v>
      </c>
      <c r="C11" s="41" t="s">
        <v>329</v>
      </c>
      <c r="D11" s="41" t="s">
        <v>299</v>
      </c>
      <c r="E11" s="43" t="s">
        <v>300</v>
      </c>
      <c r="F11" s="43" t="s">
        <v>301</v>
      </c>
      <c r="G11" s="41" t="s">
        <v>302</v>
      </c>
      <c r="H11" s="43" t="s">
        <v>123</v>
      </c>
      <c r="I11" s="45"/>
      <c r="J11" s="90"/>
      <c r="K11" s="46" t="s">
        <v>310</v>
      </c>
      <c r="L11" s="49" t="s">
        <v>311</v>
      </c>
      <c r="M11" s="46" t="s">
        <v>331</v>
      </c>
      <c r="N11" s="49" t="s">
        <v>312</v>
      </c>
      <c r="O11" s="49" t="s">
        <v>313</v>
      </c>
      <c r="P11" s="45"/>
      <c r="Q11" s="53" t="s">
        <v>314</v>
      </c>
      <c r="R11" s="78" t="s">
        <v>315</v>
      </c>
      <c r="S11" s="51" t="s">
        <v>234</v>
      </c>
      <c r="T11" s="53" t="s">
        <v>317</v>
      </c>
      <c r="U11" s="51" t="s">
        <v>318</v>
      </c>
      <c r="V11" s="91" t="s">
        <v>319</v>
      </c>
      <c r="W11" s="45"/>
      <c r="X11" s="74" t="s">
        <v>332</v>
      </c>
      <c r="Y11" s="45"/>
      <c r="Z11" s="62" t="s">
        <v>327</v>
      </c>
    </row>
    <row r="12" ht="15.75" customHeight="1">
      <c r="A12" s="36"/>
      <c r="B12" s="63" t="s">
        <v>111</v>
      </c>
      <c r="C12" s="65"/>
      <c r="D12" s="68"/>
      <c r="E12" s="68"/>
      <c r="F12" s="68"/>
      <c r="G12" s="68"/>
      <c r="H12" s="68"/>
      <c r="I12" s="45"/>
      <c r="J12" s="65"/>
      <c r="K12" s="68"/>
      <c r="L12" s="68"/>
      <c r="M12" s="68"/>
      <c r="N12" s="70"/>
      <c r="O12" s="70"/>
      <c r="P12" s="45"/>
      <c r="Q12" s="65"/>
      <c r="R12" s="68"/>
      <c r="S12" s="68"/>
      <c r="T12" s="68"/>
      <c r="U12" s="68"/>
      <c r="V12" s="68"/>
      <c r="W12" s="45"/>
      <c r="X12" s="65"/>
      <c r="Y12" s="45"/>
      <c r="Z12" s="68"/>
    </row>
    <row r="13" ht="51.0" customHeight="1">
      <c r="A13" s="36"/>
      <c r="B13" s="31" t="s">
        <v>141</v>
      </c>
      <c r="C13" s="41" t="s">
        <v>333</v>
      </c>
      <c r="D13" s="39" t="s">
        <v>334</v>
      </c>
      <c r="E13" s="39" t="s">
        <v>335</v>
      </c>
      <c r="F13" s="41" t="s">
        <v>336</v>
      </c>
      <c r="G13" s="43" t="s">
        <v>337</v>
      </c>
      <c r="H13" s="43" t="s">
        <v>123</v>
      </c>
      <c r="I13" s="45"/>
      <c r="J13" s="48" t="s">
        <v>340</v>
      </c>
      <c r="K13" s="48" t="s">
        <v>341</v>
      </c>
      <c r="L13" s="46" t="s">
        <v>343</v>
      </c>
      <c r="M13" s="46" t="s">
        <v>344</v>
      </c>
      <c r="N13" s="49" t="s">
        <v>313</v>
      </c>
      <c r="O13" s="49" t="s">
        <v>312</v>
      </c>
      <c r="P13" s="45"/>
      <c r="Q13" s="91" t="s">
        <v>310</v>
      </c>
      <c r="R13" s="53" t="s">
        <v>345</v>
      </c>
      <c r="S13" s="51" t="s">
        <v>234</v>
      </c>
      <c r="T13" s="51" t="s">
        <v>233</v>
      </c>
      <c r="U13" s="91" t="s">
        <v>347</v>
      </c>
      <c r="V13" s="51" t="s">
        <v>349</v>
      </c>
      <c r="W13" s="45"/>
      <c r="X13" s="74" t="s">
        <v>350</v>
      </c>
      <c r="Y13" s="45"/>
      <c r="Z13" s="75" t="s">
        <v>351</v>
      </c>
    </row>
    <row r="14" ht="54.75" customHeight="1">
      <c r="A14" s="36"/>
      <c r="B14" s="31" t="s">
        <v>154</v>
      </c>
      <c r="C14" s="41" t="s">
        <v>333</v>
      </c>
      <c r="D14" s="39" t="s">
        <v>334</v>
      </c>
      <c r="E14" s="39" t="s">
        <v>335</v>
      </c>
      <c r="F14" s="41" t="s">
        <v>336</v>
      </c>
      <c r="G14" s="43" t="s">
        <v>337</v>
      </c>
      <c r="H14" s="41"/>
      <c r="I14" s="45"/>
      <c r="J14" s="48" t="s">
        <v>340</v>
      </c>
      <c r="K14" s="48" t="s">
        <v>353</v>
      </c>
      <c r="L14" s="46" t="s">
        <v>343</v>
      </c>
      <c r="M14" s="46" t="s">
        <v>344</v>
      </c>
      <c r="N14" s="49" t="s">
        <v>313</v>
      </c>
      <c r="O14" s="49" t="s">
        <v>312</v>
      </c>
      <c r="P14" s="45"/>
      <c r="Q14" s="91" t="s">
        <v>310</v>
      </c>
      <c r="R14" s="53" t="s">
        <v>345</v>
      </c>
      <c r="S14" s="51" t="s">
        <v>234</v>
      </c>
      <c r="T14" s="51" t="s">
        <v>233</v>
      </c>
      <c r="U14" s="91" t="s">
        <v>347</v>
      </c>
      <c r="V14" s="51" t="s">
        <v>349</v>
      </c>
      <c r="W14" s="45"/>
      <c r="X14" s="74" t="s">
        <v>350</v>
      </c>
      <c r="Y14" s="45"/>
      <c r="Z14" s="75" t="s">
        <v>354</v>
      </c>
    </row>
    <row r="15" ht="15.75" customHeight="1">
      <c r="A15" s="36"/>
      <c r="B15" s="94" t="s">
        <v>155</v>
      </c>
      <c r="C15" s="95"/>
      <c r="D15" s="95"/>
      <c r="E15" s="95"/>
      <c r="F15" s="95"/>
      <c r="G15" s="95"/>
      <c r="H15" s="95"/>
      <c r="I15" s="95"/>
      <c r="J15" s="96"/>
      <c r="K15" s="95"/>
      <c r="L15" s="97"/>
      <c r="M15" s="97"/>
      <c r="N15" s="97"/>
      <c r="O15" s="97"/>
      <c r="P15" s="95"/>
      <c r="Q15" s="96"/>
      <c r="R15" s="97"/>
      <c r="S15" s="97"/>
      <c r="T15" s="97"/>
      <c r="U15" s="97"/>
      <c r="V15" s="97"/>
      <c r="W15" s="95"/>
      <c r="X15" s="96"/>
      <c r="Y15" s="95"/>
      <c r="Z15" s="97"/>
    </row>
    <row r="16" ht="15.75" customHeight="1">
      <c r="A16" s="66"/>
      <c r="B16" s="94" t="s">
        <v>164</v>
      </c>
      <c r="C16" s="95"/>
      <c r="D16" s="95"/>
      <c r="E16" s="95"/>
      <c r="F16" s="95"/>
      <c r="G16" s="95"/>
      <c r="H16" s="95"/>
      <c r="I16" s="95"/>
      <c r="J16" s="96"/>
      <c r="K16" s="97"/>
      <c r="L16" s="97"/>
      <c r="M16" s="97"/>
      <c r="N16" s="97"/>
      <c r="O16" s="97"/>
      <c r="P16" s="95"/>
      <c r="Q16" s="96"/>
      <c r="R16" s="97"/>
      <c r="S16" s="97"/>
      <c r="T16" s="97"/>
      <c r="U16" s="97"/>
      <c r="V16" s="97"/>
      <c r="W16" s="95"/>
      <c r="X16" s="96"/>
      <c r="Y16" s="95"/>
      <c r="Z16" s="97"/>
    </row>
    <row r="17" ht="15.75" customHeight="1">
      <c r="A17" s="22" t="s">
        <v>20</v>
      </c>
      <c r="B17" s="26" t="s">
        <v>23</v>
      </c>
      <c r="C17" s="22" t="s">
        <v>366</v>
      </c>
      <c r="D17" s="22" t="s">
        <v>367</v>
      </c>
      <c r="E17" s="22" t="s">
        <v>368</v>
      </c>
      <c r="F17" s="22" t="s">
        <v>369</v>
      </c>
      <c r="G17" s="22" t="s">
        <v>370</v>
      </c>
      <c r="H17" s="22" t="s">
        <v>371</v>
      </c>
      <c r="I17" s="45"/>
      <c r="J17" s="98" t="s">
        <v>374</v>
      </c>
      <c r="K17" s="99" t="s">
        <v>377</v>
      </c>
      <c r="L17" s="99" t="s">
        <v>379</v>
      </c>
      <c r="M17" s="99" t="s">
        <v>380</v>
      </c>
      <c r="N17" s="99" t="s">
        <v>381</v>
      </c>
      <c r="O17" s="99" t="s">
        <v>382</v>
      </c>
      <c r="P17" s="45"/>
      <c r="Q17" s="98" t="s">
        <v>383</v>
      </c>
      <c r="R17" s="99" t="s">
        <v>384</v>
      </c>
      <c r="S17" s="99" t="s">
        <v>385</v>
      </c>
      <c r="T17" s="99" t="s">
        <v>386</v>
      </c>
      <c r="U17" s="99" t="s">
        <v>387</v>
      </c>
      <c r="V17" s="99" t="s">
        <v>388</v>
      </c>
      <c r="W17" s="45"/>
      <c r="X17" s="98" t="s">
        <v>389</v>
      </c>
      <c r="Y17" s="45"/>
      <c r="Z17" s="98" t="s">
        <v>390</v>
      </c>
    </row>
    <row r="18" ht="42.0" customHeight="1">
      <c r="A18" s="37" t="s">
        <v>391</v>
      </c>
      <c r="B18" s="100" t="s">
        <v>79</v>
      </c>
      <c r="C18" s="41" t="s">
        <v>398</v>
      </c>
      <c r="D18" s="43" t="s">
        <v>399</v>
      </c>
      <c r="E18" s="43" t="s">
        <v>400</v>
      </c>
      <c r="F18" s="44" t="s">
        <v>401</v>
      </c>
      <c r="G18" s="44" t="s">
        <v>402</v>
      </c>
      <c r="H18" s="43" t="s">
        <v>403</v>
      </c>
      <c r="I18" s="45"/>
      <c r="J18" s="48" t="s">
        <v>404</v>
      </c>
      <c r="K18" s="46" t="s">
        <v>140</v>
      </c>
      <c r="L18" s="48" t="s">
        <v>405</v>
      </c>
      <c r="M18" s="49" t="s">
        <v>406</v>
      </c>
      <c r="N18" s="46" t="s">
        <v>407</v>
      </c>
      <c r="O18" s="49" t="s">
        <v>408</v>
      </c>
      <c r="P18" s="45"/>
      <c r="Q18" s="51" t="s">
        <v>409</v>
      </c>
      <c r="R18" s="91" t="s">
        <v>310</v>
      </c>
      <c r="S18" s="51" t="s">
        <v>410</v>
      </c>
      <c r="T18" s="51" t="s">
        <v>233</v>
      </c>
      <c r="U18" s="51" t="s">
        <v>411</v>
      </c>
      <c r="V18" s="53" t="s">
        <v>295</v>
      </c>
      <c r="W18" s="45"/>
      <c r="X18" s="102" t="s">
        <v>412</v>
      </c>
      <c r="Y18" s="45"/>
      <c r="Z18" s="80" t="s">
        <v>413</v>
      </c>
    </row>
    <row r="19" ht="39.0" customHeight="1">
      <c r="A19" s="36"/>
      <c r="B19" s="100" t="s">
        <v>109</v>
      </c>
      <c r="C19" s="41" t="s">
        <v>398</v>
      </c>
      <c r="D19" s="43" t="s">
        <v>414</v>
      </c>
      <c r="E19" s="43" t="s">
        <v>400</v>
      </c>
      <c r="F19" s="44" t="s">
        <v>415</v>
      </c>
      <c r="G19" s="44" t="s">
        <v>402</v>
      </c>
      <c r="H19" s="43" t="s">
        <v>403</v>
      </c>
      <c r="I19" s="45"/>
      <c r="J19" s="48" t="s">
        <v>404</v>
      </c>
      <c r="K19" s="46" t="s">
        <v>140</v>
      </c>
      <c r="L19" s="48" t="s">
        <v>405</v>
      </c>
      <c r="M19" s="49" t="s">
        <v>406</v>
      </c>
      <c r="N19" s="46" t="s">
        <v>407</v>
      </c>
      <c r="O19" s="49" t="s">
        <v>408</v>
      </c>
      <c r="P19" s="45"/>
      <c r="Q19" s="51" t="s">
        <v>409</v>
      </c>
      <c r="R19" s="91" t="s">
        <v>310</v>
      </c>
      <c r="S19" s="51" t="s">
        <v>410</v>
      </c>
      <c r="T19" s="51" t="s">
        <v>233</v>
      </c>
      <c r="U19" s="55" t="s">
        <v>416</v>
      </c>
      <c r="V19" s="51" t="s">
        <v>237</v>
      </c>
      <c r="W19" s="45"/>
      <c r="X19" s="102" t="s">
        <v>412</v>
      </c>
      <c r="Y19" s="45"/>
      <c r="Z19" s="80" t="s">
        <v>413</v>
      </c>
    </row>
    <row r="20" ht="15.75" customHeight="1">
      <c r="A20" s="36"/>
      <c r="B20" s="104" t="s">
        <v>111</v>
      </c>
      <c r="C20" s="65"/>
      <c r="D20" s="68"/>
      <c r="E20" s="68"/>
      <c r="F20" s="68"/>
      <c r="G20" s="68"/>
      <c r="H20" s="68"/>
      <c r="I20" s="45"/>
      <c r="J20" s="65"/>
      <c r="K20" s="68"/>
      <c r="L20" s="68"/>
      <c r="M20" s="68"/>
      <c r="N20" s="68"/>
      <c r="O20" s="68"/>
      <c r="P20" s="45"/>
      <c r="Q20" s="65"/>
      <c r="R20" s="68"/>
      <c r="S20" s="68"/>
      <c r="T20" s="68"/>
      <c r="U20" s="68"/>
      <c r="V20" s="68"/>
      <c r="W20" s="45"/>
      <c r="X20" s="65"/>
      <c r="Y20" s="45"/>
      <c r="Z20" s="68"/>
    </row>
    <row r="21" ht="39.0" customHeight="1">
      <c r="A21" s="36"/>
      <c r="B21" s="100" t="s">
        <v>113</v>
      </c>
      <c r="C21" s="41" t="s">
        <v>398</v>
      </c>
      <c r="D21" s="43" t="s">
        <v>419</v>
      </c>
      <c r="E21" s="44" t="s">
        <v>420</v>
      </c>
      <c r="F21" s="43" t="s">
        <v>400</v>
      </c>
      <c r="G21" s="44" t="s">
        <v>402</v>
      </c>
      <c r="H21" s="41" t="s">
        <v>422</v>
      </c>
      <c r="I21" s="45"/>
      <c r="J21" s="47" t="s">
        <v>423</v>
      </c>
      <c r="K21" s="46" t="s">
        <v>140</v>
      </c>
      <c r="L21" s="46" t="s">
        <v>424</v>
      </c>
      <c r="M21" s="49" t="s">
        <v>425</v>
      </c>
      <c r="N21" s="49" t="s">
        <v>426</v>
      </c>
      <c r="O21" s="49" t="s">
        <v>427</v>
      </c>
      <c r="P21" s="45"/>
      <c r="Q21" s="105"/>
      <c r="R21" s="51" t="s">
        <v>430</v>
      </c>
      <c r="S21" s="51" t="s">
        <v>233</v>
      </c>
      <c r="T21" s="51" t="s">
        <v>431</v>
      </c>
      <c r="U21" s="55" t="s">
        <v>416</v>
      </c>
      <c r="V21" s="51" t="s">
        <v>432</v>
      </c>
      <c r="W21" s="45"/>
      <c r="X21" s="107" t="s">
        <v>433</v>
      </c>
      <c r="Y21" s="45"/>
      <c r="Z21" s="75" t="s">
        <v>446</v>
      </c>
    </row>
    <row r="22" ht="40.5" customHeight="1">
      <c r="A22" s="36"/>
      <c r="B22" s="100" t="s">
        <v>120</v>
      </c>
      <c r="C22" s="43" t="s">
        <v>448</v>
      </c>
      <c r="D22" s="43" t="s">
        <v>450</v>
      </c>
      <c r="E22" s="44" t="s">
        <v>420</v>
      </c>
      <c r="F22" s="43" t="s">
        <v>400</v>
      </c>
      <c r="G22" s="43" t="s">
        <v>451</v>
      </c>
      <c r="H22" s="43" t="s">
        <v>452</v>
      </c>
      <c r="I22" s="45"/>
      <c r="J22" s="47" t="s">
        <v>453</v>
      </c>
      <c r="K22" s="46" t="s">
        <v>140</v>
      </c>
      <c r="L22" s="49" t="s">
        <v>454</v>
      </c>
      <c r="M22" s="49" t="s">
        <v>425</v>
      </c>
      <c r="N22" s="49" t="s">
        <v>426</v>
      </c>
      <c r="O22" s="49" t="s">
        <v>408</v>
      </c>
      <c r="P22" s="45"/>
      <c r="Q22" s="55" t="s">
        <v>341</v>
      </c>
      <c r="R22" s="51" t="s">
        <v>430</v>
      </c>
      <c r="S22" s="51" t="s">
        <v>233</v>
      </c>
      <c r="T22" s="51" t="s">
        <v>431</v>
      </c>
      <c r="U22" s="91"/>
      <c r="V22" s="51" t="s">
        <v>455</v>
      </c>
      <c r="W22" s="45"/>
      <c r="X22" s="107" t="s">
        <v>433</v>
      </c>
      <c r="Y22" s="45"/>
      <c r="Z22" s="88" t="s">
        <v>456</v>
      </c>
    </row>
    <row r="23" ht="40.5" customHeight="1">
      <c r="A23" s="36"/>
      <c r="B23" s="100" t="s">
        <v>121</v>
      </c>
      <c r="C23" s="43" t="s">
        <v>457</v>
      </c>
      <c r="D23" s="43" t="s">
        <v>450</v>
      </c>
      <c r="E23" s="44" t="s">
        <v>420</v>
      </c>
      <c r="F23" s="44" t="s">
        <v>458</v>
      </c>
      <c r="G23" s="43" t="s">
        <v>451</v>
      </c>
      <c r="H23" s="43" t="s">
        <v>452</v>
      </c>
      <c r="I23" s="45"/>
      <c r="J23" s="47" t="s">
        <v>453</v>
      </c>
      <c r="K23" s="47" t="s">
        <v>462</v>
      </c>
      <c r="L23" s="49" t="s">
        <v>454</v>
      </c>
      <c r="M23" s="46" t="s">
        <v>331</v>
      </c>
      <c r="N23" s="47" t="s">
        <v>464</v>
      </c>
      <c r="O23" s="46" t="s">
        <v>465</v>
      </c>
      <c r="P23" s="45"/>
      <c r="Q23" s="108"/>
      <c r="R23" s="60"/>
      <c r="S23" s="51" t="s">
        <v>475</v>
      </c>
      <c r="T23" s="51" t="s">
        <v>476</v>
      </c>
      <c r="U23" s="91"/>
      <c r="V23" s="51" t="s">
        <v>455</v>
      </c>
      <c r="W23" s="45"/>
      <c r="X23" s="107" t="s">
        <v>433</v>
      </c>
      <c r="Y23" s="45"/>
      <c r="Z23" s="88" t="s">
        <v>456</v>
      </c>
    </row>
    <row r="24" ht="15.75" customHeight="1">
      <c r="A24" s="36"/>
      <c r="B24" s="63" t="s">
        <v>124</v>
      </c>
      <c r="C24" s="65"/>
      <c r="D24" s="68"/>
      <c r="E24" s="68"/>
      <c r="F24" s="68"/>
      <c r="G24" s="68"/>
      <c r="H24" s="68"/>
      <c r="I24" s="45"/>
      <c r="J24" s="65"/>
      <c r="K24" s="68"/>
      <c r="L24" s="68"/>
      <c r="M24" s="68"/>
      <c r="N24" s="68"/>
      <c r="O24" s="68"/>
      <c r="P24" s="45"/>
      <c r="Q24" s="109"/>
      <c r="R24" s="109"/>
      <c r="S24" s="68"/>
      <c r="T24" s="68"/>
      <c r="U24" s="68"/>
      <c r="V24" s="68"/>
      <c r="W24" s="45"/>
      <c r="X24" s="109"/>
      <c r="Y24" s="45"/>
      <c r="Z24" s="109"/>
    </row>
    <row r="25" ht="38.25" customHeight="1">
      <c r="A25" s="36"/>
      <c r="B25" s="31" t="s">
        <v>126</v>
      </c>
      <c r="C25" s="41" t="s">
        <v>477</v>
      </c>
      <c r="D25" s="39" t="s">
        <v>478</v>
      </c>
      <c r="E25" s="44" t="s">
        <v>479</v>
      </c>
      <c r="F25" s="44" t="s">
        <v>420</v>
      </c>
      <c r="G25" s="43" t="s">
        <v>480</v>
      </c>
      <c r="H25" s="44" t="s">
        <v>402</v>
      </c>
      <c r="I25" s="45"/>
      <c r="J25" s="47" t="s">
        <v>481</v>
      </c>
      <c r="K25" s="48" t="s">
        <v>482</v>
      </c>
      <c r="L25" s="49" t="s">
        <v>483</v>
      </c>
      <c r="M25" s="47" t="s">
        <v>484</v>
      </c>
      <c r="N25" s="49" t="s">
        <v>451</v>
      </c>
      <c r="O25" s="49" t="s">
        <v>452</v>
      </c>
      <c r="P25" s="45"/>
      <c r="Q25" s="53" t="s">
        <v>485</v>
      </c>
      <c r="R25" s="53" t="s">
        <v>486</v>
      </c>
      <c r="S25" s="51" t="s">
        <v>487</v>
      </c>
      <c r="T25" s="51" t="s">
        <v>488</v>
      </c>
      <c r="U25" s="51" t="s">
        <v>489</v>
      </c>
      <c r="V25" s="91"/>
      <c r="W25" s="45"/>
      <c r="X25" s="57" t="s">
        <v>491</v>
      </c>
      <c r="Y25" s="45"/>
      <c r="Z25" s="75"/>
    </row>
    <row r="26" ht="37.5" customHeight="1">
      <c r="A26" s="36"/>
      <c r="B26" s="31" t="s">
        <v>138</v>
      </c>
      <c r="C26" s="41" t="s">
        <v>477</v>
      </c>
      <c r="D26" s="39" t="s">
        <v>478</v>
      </c>
      <c r="E26" s="39" t="s">
        <v>492</v>
      </c>
      <c r="F26" s="44" t="s">
        <v>420</v>
      </c>
      <c r="G26" s="43" t="s">
        <v>480</v>
      </c>
      <c r="H26" s="44" t="s">
        <v>402</v>
      </c>
      <c r="I26" s="45"/>
      <c r="J26" s="47" t="s">
        <v>481</v>
      </c>
      <c r="K26" s="48" t="s">
        <v>482</v>
      </c>
      <c r="L26" s="49" t="s">
        <v>493</v>
      </c>
      <c r="M26" s="47" t="s">
        <v>484</v>
      </c>
      <c r="N26" s="49" t="s">
        <v>451</v>
      </c>
      <c r="O26" s="49" t="s">
        <v>452</v>
      </c>
      <c r="P26" s="45"/>
      <c r="Q26" s="53" t="s">
        <v>485</v>
      </c>
      <c r="R26" s="53" t="s">
        <v>486</v>
      </c>
      <c r="S26" s="51" t="s">
        <v>494</v>
      </c>
      <c r="T26" s="51" t="s">
        <v>488</v>
      </c>
      <c r="U26" s="51" t="s">
        <v>489</v>
      </c>
      <c r="V26" s="110" t="s">
        <v>495</v>
      </c>
      <c r="W26" s="45"/>
      <c r="X26" s="107" t="s">
        <v>498</v>
      </c>
      <c r="Y26" s="45"/>
      <c r="Z26" s="75"/>
    </row>
    <row r="27" ht="15.75" customHeight="1">
      <c r="A27" s="36"/>
      <c r="B27" s="63" t="s">
        <v>111</v>
      </c>
      <c r="C27" s="65"/>
      <c r="D27" s="68"/>
      <c r="E27" s="65"/>
      <c r="F27" s="68"/>
      <c r="G27" s="68"/>
      <c r="H27" s="68"/>
      <c r="I27" s="45"/>
      <c r="J27" s="70"/>
      <c r="K27" s="65"/>
      <c r="L27" s="68"/>
      <c r="M27" s="68"/>
      <c r="N27" s="70"/>
      <c r="O27" s="109"/>
      <c r="P27" s="45"/>
      <c r="Q27" s="109"/>
      <c r="R27" s="72"/>
      <c r="S27" s="68"/>
      <c r="T27" s="68"/>
      <c r="U27" s="68"/>
      <c r="V27" s="68"/>
      <c r="W27" s="45"/>
      <c r="X27" s="109"/>
      <c r="Y27" s="45"/>
      <c r="Z27" s="72"/>
    </row>
    <row r="28" ht="54.0" customHeight="1">
      <c r="A28" s="36"/>
      <c r="B28" s="31" t="s">
        <v>141</v>
      </c>
      <c r="C28" s="41" t="s">
        <v>477</v>
      </c>
      <c r="D28" s="39" t="s">
        <v>500</v>
      </c>
      <c r="E28" s="39" t="s">
        <v>502</v>
      </c>
      <c r="F28" s="44" t="s">
        <v>420</v>
      </c>
      <c r="G28" s="39" t="s">
        <v>504</v>
      </c>
      <c r="H28" s="44" t="s">
        <v>402</v>
      </c>
      <c r="I28" s="45"/>
      <c r="J28" s="46" t="s">
        <v>310</v>
      </c>
      <c r="K28" s="49" t="s">
        <v>506</v>
      </c>
      <c r="L28" s="49" t="s">
        <v>425</v>
      </c>
      <c r="M28" s="49" t="s">
        <v>507</v>
      </c>
      <c r="N28" s="49" t="s">
        <v>508</v>
      </c>
      <c r="O28" s="46" t="s">
        <v>510</v>
      </c>
      <c r="P28" s="45"/>
      <c r="Q28" s="53" t="s">
        <v>511</v>
      </c>
      <c r="R28" s="53" t="s">
        <v>485</v>
      </c>
      <c r="S28" s="53" t="s">
        <v>513</v>
      </c>
      <c r="T28" s="55" t="s">
        <v>514</v>
      </c>
      <c r="U28" s="91" t="s">
        <v>515</v>
      </c>
      <c r="V28" s="51" t="s">
        <v>489</v>
      </c>
      <c r="W28" s="45"/>
      <c r="X28" s="102" t="s">
        <v>516</v>
      </c>
      <c r="Y28" s="45"/>
      <c r="Z28" s="75" t="s">
        <v>517</v>
      </c>
    </row>
    <row r="29" ht="15.75" customHeight="1">
      <c r="A29" s="36"/>
      <c r="B29" s="31" t="s">
        <v>154</v>
      </c>
      <c r="C29" s="39" t="s">
        <v>518</v>
      </c>
      <c r="D29" s="41" t="s">
        <v>225</v>
      </c>
      <c r="E29" s="44" t="s">
        <v>519</v>
      </c>
      <c r="F29" s="39" t="s">
        <v>502</v>
      </c>
      <c r="G29" s="43" t="s">
        <v>337</v>
      </c>
      <c r="H29" s="39" t="s">
        <v>504</v>
      </c>
      <c r="I29" s="45"/>
      <c r="J29" s="46" t="s">
        <v>310</v>
      </c>
      <c r="K29" s="49" t="s">
        <v>506</v>
      </c>
      <c r="L29" s="49" t="s">
        <v>425</v>
      </c>
      <c r="M29" s="49" t="s">
        <v>507</v>
      </c>
      <c r="N29" s="49" t="s">
        <v>508</v>
      </c>
      <c r="O29" s="46" t="s">
        <v>510</v>
      </c>
      <c r="P29" s="45"/>
      <c r="Q29" s="53" t="s">
        <v>511</v>
      </c>
      <c r="R29" s="53" t="s">
        <v>485</v>
      </c>
      <c r="S29" s="53" t="s">
        <v>513</v>
      </c>
      <c r="T29" s="55" t="s">
        <v>514</v>
      </c>
      <c r="U29" s="91" t="s">
        <v>515</v>
      </c>
      <c r="V29" s="51" t="s">
        <v>489</v>
      </c>
      <c r="W29" s="45"/>
      <c r="X29" s="74" t="s">
        <v>522</v>
      </c>
      <c r="Y29" s="45"/>
      <c r="Z29" s="75" t="s">
        <v>517</v>
      </c>
    </row>
    <row r="30" ht="15.75" customHeight="1">
      <c r="A30" s="36"/>
      <c r="B30" s="94" t="s">
        <v>155</v>
      </c>
      <c r="C30" s="95"/>
      <c r="D30" s="95"/>
      <c r="E30" s="95"/>
      <c r="F30" s="95"/>
      <c r="G30" s="95"/>
      <c r="H30" s="95"/>
      <c r="I30" s="95"/>
      <c r="J30" s="96"/>
      <c r="K30" s="95"/>
      <c r="L30" s="97"/>
      <c r="M30" s="97"/>
      <c r="N30" s="97"/>
      <c r="O30" s="97"/>
      <c r="P30" s="95"/>
      <c r="Q30" s="96"/>
      <c r="R30" s="97"/>
      <c r="S30" s="97"/>
      <c r="T30" s="97"/>
      <c r="U30" s="97"/>
      <c r="V30" s="97"/>
      <c r="W30" s="95"/>
      <c r="X30" s="96"/>
      <c r="Y30" s="95"/>
      <c r="Z30" s="97"/>
    </row>
    <row r="31" ht="15.75" customHeight="1">
      <c r="A31" s="66"/>
      <c r="B31" s="94" t="s">
        <v>164</v>
      </c>
      <c r="C31" s="95"/>
      <c r="D31" s="95"/>
      <c r="E31" s="95"/>
      <c r="F31" s="95"/>
      <c r="G31" s="95"/>
      <c r="H31" s="95"/>
      <c r="I31" s="95"/>
      <c r="J31" s="96"/>
      <c r="K31" s="97"/>
      <c r="L31" s="97"/>
      <c r="M31" s="97"/>
      <c r="N31" s="97"/>
      <c r="O31" s="97"/>
      <c r="P31" s="95"/>
      <c r="Q31" s="96"/>
      <c r="R31" s="97"/>
      <c r="S31" s="97"/>
      <c r="T31" s="97"/>
      <c r="U31" s="97"/>
      <c r="V31" s="97"/>
      <c r="W31" s="95"/>
      <c r="X31" s="96"/>
      <c r="Y31" s="95"/>
      <c r="Z31" s="97"/>
    </row>
    <row r="32" ht="15.75" customHeight="1">
      <c r="A32" s="22" t="s">
        <v>20</v>
      </c>
      <c r="B32" s="26" t="s">
        <v>23</v>
      </c>
      <c r="C32" s="22" t="s">
        <v>366</v>
      </c>
      <c r="D32" s="22" t="s">
        <v>367</v>
      </c>
      <c r="E32" s="22" t="s">
        <v>368</v>
      </c>
      <c r="F32" s="22" t="s">
        <v>369</v>
      </c>
      <c r="G32" s="22" t="s">
        <v>370</v>
      </c>
      <c r="H32" s="22" t="s">
        <v>371</v>
      </c>
      <c r="I32" s="45"/>
      <c r="J32" s="98" t="s">
        <v>374</v>
      </c>
      <c r="K32" s="99" t="s">
        <v>377</v>
      </c>
      <c r="L32" s="99" t="s">
        <v>379</v>
      </c>
      <c r="M32" s="99" t="s">
        <v>380</v>
      </c>
      <c r="N32" s="99" t="s">
        <v>381</v>
      </c>
      <c r="O32" s="99" t="s">
        <v>382</v>
      </c>
      <c r="P32" s="45"/>
      <c r="Q32" s="98" t="s">
        <v>383</v>
      </c>
      <c r="R32" s="99" t="s">
        <v>384</v>
      </c>
      <c r="S32" s="99" t="s">
        <v>385</v>
      </c>
      <c r="T32" s="99" t="s">
        <v>386</v>
      </c>
      <c r="U32" s="99" t="s">
        <v>387</v>
      </c>
      <c r="V32" s="99" t="s">
        <v>388</v>
      </c>
      <c r="W32" s="45"/>
      <c r="X32" s="98" t="s">
        <v>389</v>
      </c>
      <c r="Y32" s="45"/>
      <c r="Z32" s="98" t="s">
        <v>107</v>
      </c>
    </row>
    <row r="33" ht="42.75" customHeight="1">
      <c r="A33" s="37" t="s">
        <v>530</v>
      </c>
      <c r="B33" s="100" t="s">
        <v>79</v>
      </c>
      <c r="C33" s="43" t="s">
        <v>531</v>
      </c>
      <c r="D33" s="41" t="s">
        <v>477</v>
      </c>
      <c r="E33" s="41" t="s">
        <v>532</v>
      </c>
      <c r="F33" s="41" t="s">
        <v>533</v>
      </c>
      <c r="G33" s="44" t="s">
        <v>534</v>
      </c>
      <c r="H33" s="43" t="s">
        <v>123</v>
      </c>
      <c r="I33" s="45"/>
      <c r="J33" s="47" t="s">
        <v>535</v>
      </c>
      <c r="K33" s="47" t="s">
        <v>537</v>
      </c>
      <c r="L33" s="49" t="s">
        <v>539</v>
      </c>
      <c r="M33" s="49" t="s">
        <v>540</v>
      </c>
      <c r="N33" s="49" t="s">
        <v>541</v>
      </c>
      <c r="O33" s="49" t="s">
        <v>293</v>
      </c>
      <c r="P33" s="45"/>
      <c r="Q33" s="53" t="s">
        <v>542</v>
      </c>
      <c r="R33" s="91" t="s">
        <v>543</v>
      </c>
      <c r="S33" s="53" t="s">
        <v>544</v>
      </c>
      <c r="T33" s="51" t="s">
        <v>476</v>
      </c>
      <c r="U33" s="51" t="s">
        <v>545</v>
      </c>
      <c r="V33" s="51" t="s">
        <v>546</v>
      </c>
      <c r="W33" s="45"/>
      <c r="X33" s="102" t="s">
        <v>548</v>
      </c>
      <c r="Y33" s="45"/>
      <c r="Z33" s="80" t="s">
        <v>549</v>
      </c>
    </row>
    <row r="34" ht="43.5" customHeight="1">
      <c r="A34" s="36"/>
      <c r="B34" s="100" t="s">
        <v>109</v>
      </c>
      <c r="C34" s="43" t="s">
        <v>531</v>
      </c>
      <c r="D34" s="41" t="s">
        <v>477</v>
      </c>
      <c r="E34" s="41" t="s">
        <v>532</v>
      </c>
      <c r="F34" s="41" t="s">
        <v>533</v>
      </c>
      <c r="G34" s="44" t="s">
        <v>534</v>
      </c>
      <c r="H34" s="43" t="s">
        <v>123</v>
      </c>
      <c r="I34" s="45"/>
      <c r="J34" s="47" t="s">
        <v>535</v>
      </c>
      <c r="K34" s="47" t="s">
        <v>537</v>
      </c>
      <c r="L34" s="49" t="s">
        <v>539</v>
      </c>
      <c r="M34" s="49" t="s">
        <v>540</v>
      </c>
      <c r="N34" s="49" t="s">
        <v>541</v>
      </c>
      <c r="O34" s="47" t="s">
        <v>552</v>
      </c>
      <c r="P34" s="45"/>
      <c r="Q34" s="53" t="s">
        <v>542</v>
      </c>
      <c r="R34" s="91" t="s">
        <v>543</v>
      </c>
      <c r="S34" s="53" t="s">
        <v>553</v>
      </c>
      <c r="T34" s="51" t="s">
        <v>554</v>
      </c>
      <c r="U34" s="51" t="s">
        <v>545</v>
      </c>
      <c r="V34" s="51" t="s">
        <v>546</v>
      </c>
      <c r="W34" s="45"/>
      <c r="X34" s="102" t="s">
        <v>548</v>
      </c>
      <c r="Y34" s="45"/>
      <c r="Z34" s="80" t="s">
        <v>549</v>
      </c>
    </row>
    <row r="35" ht="15.75" customHeight="1">
      <c r="A35" s="36"/>
      <c r="B35" s="104" t="s">
        <v>111</v>
      </c>
      <c r="C35" s="65"/>
      <c r="D35" s="68"/>
      <c r="E35" s="68"/>
      <c r="F35" s="68"/>
      <c r="G35" s="68"/>
      <c r="H35" s="68"/>
      <c r="I35" s="45"/>
      <c r="J35" s="65"/>
      <c r="K35" s="68"/>
      <c r="L35" s="68"/>
      <c r="M35" s="70"/>
      <c r="N35" s="68"/>
      <c r="O35" s="68"/>
      <c r="P35" s="73"/>
      <c r="Q35" s="65"/>
      <c r="R35" s="68"/>
      <c r="S35" s="68"/>
      <c r="T35" s="68"/>
      <c r="U35" s="68"/>
      <c r="V35" s="68"/>
      <c r="W35" s="73"/>
      <c r="X35" s="65"/>
      <c r="Y35" s="73"/>
      <c r="Z35" s="112"/>
    </row>
    <row r="36" ht="15.75" customHeight="1">
      <c r="A36" s="36"/>
      <c r="B36" s="100" t="s">
        <v>113</v>
      </c>
      <c r="C36" s="41" t="s">
        <v>561</v>
      </c>
      <c r="D36" s="43" t="s">
        <v>419</v>
      </c>
      <c r="E36" s="41" t="s">
        <v>562</v>
      </c>
      <c r="F36" s="44" t="s">
        <v>563</v>
      </c>
      <c r="G36" s="43" t="s">
        <v>123</v>
      </c>
      <c r="H36" s="44" t="s">
        <v>534</v>
      </c>
      <c r="I36" s="45"/>
      <c r="J36" s="48" t="s">
        <v>565</v>
      </c>
      <c r="K36" s="47" t="s">
        <v>535</v>
      </c>
      <c r="L36" s="49" t="s">
        <v>493</v>
      </c>
      <c r="M36" s="49" t="s">
        <v>566</v>
      </c>
      <c r="N36" s="47" t="s">
        <v>464</v>
      </c>
      <c r="O36" s="49" t="s">
        <v>541</v>
      </c>
      <c r="P36" s="45"/>
      <c r="Q36" s="51" t="s">
        <v>567</v>
      </c>
      <c r="R36" s="108"/>
      <c r="S36" s="51" t="s">
        <v>494</v>
      </c>
      <c r="T36" s="51" t="s">
        <v>554</v>
      </c>
      <c r="U36" s="51" t="s">
        <v>568</v>
      </c>
      <c r="V36" s="51" t="s">
        <v>545</v>
      </c>
      <c r="W36" s="45"/>
      <c r="X36" s="74" t="s">
        <v>570</v>
      </c>
      <c r="Y36" s="45"/>
      <c r="Z36" s="75" t="s">
        <v>571</v>
      </c>
    </row>
    <row r="37" ht="15.75" customHeight="1">
      <c r="A37" s="36"/>
      <c r="B37" s="100" t="s">
        <v>120</v>
      </c>
      <c r="C37" s="43" t="s">
        <v>572</v>
      </c>
      <c r="D37" s="43" t="s">
        <v>419</v>
      </c>
      <c r="E37" s="41" t="s">
        <v>562</v>
      </c>
      <c r="F37" s="44" t="s">
        <v>573</v>
      </c>
      <c r="G37" s="43" t="s">
        <v>123</v>
      </c>
      <c r="H37" s="44" t="s">
        <v>534</v>
      </c>
      <c r="I37" s="45"/>
      <c r="J37" s="47" t="s">
        <v>574</v>
      </c>
      <c r="K37" s="47" t="s">
        <v>535</v>
      </c>
      <c r="L37" s="49" t="s">
        <v>575</v>
      </c>
      <c r="M37" s="49" t="s">
        <v>566</v>
      </c>
      <c r="N37" s="47" t="s">
        <v>464</v>
      </c>
      <c r="O37" s="49" t="s">
        <v>541</v>
      </c>
      <c r="P37" s="45"/>
      <c r="Q37" s="51" t="s">
        <v>567</v>
      </c>
      <c r="R37" s="53" t="s">
        <v>576</v>
      </c>
      <c r="S37" s="51" t="s">
        <v>577</v>
      </c>
      <c r="T37" s="53" t="s">
        <v>578</v>
      </c>
      <c r="U37" s="51" t="s">
        <v>568</v>
      </c>
      <c r="V37" s="51" t="s">
        <v>545</v>
      </c>
      <c r="W37" s="45"/>
      <c r="X37" s="74" t="s">
        <v>579</v>
      </c>
      <c r="Y37" s="45"/>
      <c r="Z37" s="88" t="s">
        <v>581</v>
      </c>
    </row>
    <row r="38" ht="41.25" customHeight="1">
      <c r="A38" s="36"/>
      <c r="B38" s="100" t="s">
        <v>121</v>
      </c>
      <c r="C38" s="43" t="s">
        <v>572</v>
      </c>
      <c r="D38" s="41" t="s">
        <v>477</v>
      </c>
      <c r="E38" s="44" t="s">
        <v>479</v>
      </c>
      <c r="F38" s="44" t="s">
        <v>582</v>
      </c>
      <c r="G38" s="43" t="s">
        <v>584</v>
      </c>
      <c r="H38" s="39" t="s">
        <v>585</v>
      </c>
      <c r="I38" s="45"/>
      <c r="J38" s="47" t="s">
        <v>574</v>
      </c>
      <c r="K38" s="48" t="s">
        <v>586</v>
      </c>
      <c r="L38" s="49" t="s">
        <v>575</v>
      </c>
      <c r="M38" s="46" t="s">
        <v>587</v>
      </c>
      <c r="N38" s="47" t="s">
        <v>588</v>
      </c>
      <c r="O38" s="49" t="s">
        <v>293</v>
      </c>
      <c r="P38" s="45"/>
      <c r="Q38" s="53" t="s">
        <v>590</v>
      </c>
      <c r="R38" s="53" t="s">
        <v>576</v>
      </c>
      <c r="S38" s="51" t="s">
        <v>577</v>
      </c>
      <c r="T38" s="53" t="s">
        <v>578</v>
      </c>
      <c r="U38" s="51" t="s">
        <v>591</v>
      </c>
      <c r="V38" s="51" t="s">
        <v>545</v>
      </c>
      <c r="W38" s="45"/>
      <c r="X38" s="107" t="s">
        <v>498</v>
      </c>
      <c r="Y38" s="45"/>
      <c r="Z38" s="88" t="s">
        <v>581</v>
      </c>
    </row>
    <row r="39" ht="15.75" customHeight="1">
      <c r="A39" s="36"/>
      <c r="B39" s="63" t="s">
        <v>124</v>
      </c>
      <c r="C39" s="65"/>
      <c r="D39" s="68"/>
      <c r="E39" s="68"/>
      <c r="F39" s="68"/>
      <c r="G39" s="68"/>
      <c r="H39" s="68"/>
      <c r="I39" s="45"/>
      <c r="J39" s="65"/>
      <c r="K39" s="68"/>
      <c r="L39" s="68"/>
      <c r="M39" s="68"/>
      <c r="N39" s="68"/>
      <c r="O39" s="68"/>
      <c r="P39" s="45"/>
      <c r="Q39" s="65"/>
      <c r="R39" s="68"/>
      <c r="S39" s="68"/>
      <c r="T39" s="70"/>
      <c r="U39" s="68"/>
      <c r="V39" s="68"/>
      <c r="W39" s="45"/>
      <c r="X39" s="65"/>
      <c r="Y39" s="45"/>
      <c r="Z39" s="68"/>
    </row>
    <row r="40" ht="15.75" customHeight="1">
      <c r="A40" s="36"/>
      <c r="B40" s="31" t="s">
        <v>126</v>
      </c>
      <c r="C40" s="114"/>
      <c r="D40" s="114"/>
      <c r="E40" s="116"/>
      <c r="F40" s="116"/>
      <c r="G40" s="116"/>
      <c r="H40" s="117"/>
      <c r="I40" s="45"/>
      <c r="J40" s="116"/>
      <c r="K40" s="118"/>
      <c r="L40" s="116"/>
      <c r="M40" s="116"/>
      <c r="N40" s="118"/>
      <c r="O40" s="116"/>
      <c r="P40" s="45"/>
      <c r="Q40" s="118"/>
      <c r="R40" s="114"/>
      <c r="S40" s="116"/>
      <c r="T40" s="116"/>
      <c r="U40" s="119"/>
      <c r="V40" s="119"/>
      <c r="W40" s="45"/>
      <c r="X40" s="118"/>
      <c r="Y40" s="45"/>
      <c r="Z40" s="114"/>
    </row>
    <row r="41" ht="15.75" customHeight="1">
      <c r="A41" s="36"/>
      <c r="B41" s="31" t="s">
        <v>138</v>
      </c>
      <c r="C41" s="114"/>
      <c r="D41" s="118"/>
      <c r="E41" s="116"/>
      <c r="F41" s="116"/>
      <c r="G41" s="116"/>
      <c r="H41" s="117"/>
      <c r="I41" s="45"/>
      <c r="J41" s="114"/>
      <c r="K41" s="118"/>
      <c r="L41" s="116"/>
      <c r="M41" s="116"/>
      <c r="N41" s="116"/>
      <c r="O41" s="118"/>
      <c r="P41" s="45"/>
      <c r="Q41" s="118"/>
      <c r="R41" s="114"/>
      <c r="S41" s="116"/>
      <c r="T41" s="116"/>
      <c r="U41" s="119"/>
      <c r="V41" s="119"/>
      <c r="W41" s="45"/>
      <c r="X41" s="118"/>
      <c r="Y41" s="45"/>
      <c r="Z41" s="114"/>
    </row>
    <row r="42" ht="15.75" customHeight="1">
      <c r="A42" s="36"/>
      <c r="B42" s="63" t="s">
        <v>111</v>
      </c>
      <c r="C42" s="72"/>
      <c r="D42" s="72"/>
      <c r="E42" s="72"/>
      <c r="F42" s="72"/>
      <c r="G42" s="72"/>
      <c r="H42" s="72"/>
      <c r="I42" s="45"/>
      <c r="J42" s="65"/>
      <c r="K42" s="68"/>
      <c r="L42" s="68"/>
      <c r="M42" s="68"/>
      <c r="N42" s="68"/>
      <c r="O42" s="68"/>
      <c r="P42" s="45"/>
      <c r="Q42" s="65"/>
      <c r="R42" s="68"/>
      <c r="S42" s="68"/>
      <c r="T42" s="68"/>
      <c r="U42" s="68"/>
      <c r="V42" s="68"/>
      <c r="W42" s="45"/>
      <c r="X42" s="65"/>
      <c r="Y42" s="45"/>
      <c r="Z42" s="68"/>
    </row>
    <row r="43" ht="15.75" customHeight="1">
      <c r="A43" s="36"/>
      <c r="B43" s="31" t="s">
        <v>141</v>
      </c>
      <c r="C43" s="116"/>
      <c r="D43" s="114"/>
      <c r="E43" s="116"/>
      <c r="F43" s="114"/>
      <c r="G43" s="114"/>
      <c r="H43" s="114"/>
      <c r="I43" s="45"/>
      <c r="J43" s="116"/>
      <c r="K43" s="114"/>
      <c r="L43" s="116"/>
      <c r="M43" s="116"/>
      <c r="N43" s="116"/>
      <c r="O43" s="116"/>
      <c r="P43" s="45"/>
      <c r="Q43" s="118"/>
      <c r="R43" s="116"/>
      <c r="S43" s="114"/>
      <c r="T43" s="116"/>
      <c r="U43" s="116"/>
      <c r="V43" s="116"/>
      <c r="W43" s="45"/>
      <c r="X43" s="118"/>
      <c r="Y43" s="45"/>
      <c r="Z43" s="116"/>
    </row>
    <row r="44" ht="15.75" customHeight="1">
      <c r="A44" s="36"/>
      <c r="B44" s="31" t="s">
        <v>154</v>
      </c>
      <c r="C44" s="116"/>
      <c r="D44" s="114"/>
      <c r="E44" s="118"/>
      <c r="F44" s="114"/>
      <c r="G44" s="114"/>
      <c r="H44" s="114"/>
      <c r="I44" s="45"/>
      <c r="J44" s="114"/>
      <c r="K44" s="118"/>
      <c r="L44" s="118"/>
      <c r="M44" s="116"/>
      <c r="N44" s="116"/>
      <c r="O44" s="116"/>
      <c r="P44" s="45"/>
      <c r="Q44" s="118"/>
      <c r="R44" s="116"/>
      <c r="S44" s="114"/>
      <c r="T44" s="116"/>
      <c r="U44" s="116"/>
      <c r="V44" s="116"/>
      <c r="W44" s="45"/>
      <c r="X44" s="118"/>
      <c r="Y44" s="45"/>
      <c r="Z44" s="116"/>
    </row>
    <row r="45" ht="15.75" customHeight="1">
      <c r="A45" s="36"/>
      <c r="B45" s="94" t="s">
        <v>155</v>
      </c>
      <c r="C45" s="95"/>
      <c r="D45" s="95"/>
      <c r="E45" s="95"/>
      <c r="F45" s="95"/>
      <c r="G45" s="95"/>
      <c r="H45" s="95"/>
      <c r="I45" s="95"/>
      <c r="J45" s="96"/>
      <c r="K45" s="95"/>
      <c r="L45" s="97"/>
      <c r="M45" s="97"/>
      <c r="N45" s="97"/>
      <c r="O45" s="97"/>
      <c r="P45" s="95"/>
      <c r="Q45" s="96"/>
      <c r="R45" s="97"/>
      <c r="S45" s="97"/>
      <c r="T45" s="97"/>
      <c r="U45" s="97"/>
      <c r="V45" s="97"/>
      <c r="W45" s="95"/>
      <c r="X45" s="96"/>
      <c r="Y45" s="95"/>
      <c r="Z45" s="97"/>
    </row>
    <row r="46" ht="15.75" customHeight="1">
      <c r="A46" s="66"/>
      <c r="B46" s="94" t="s">
        <v>164</v>
      </c>
      <c r="C46" s="95"/>
      <c r="D46" s="95"/>
      <c r="E46" s="95"/>
      <c r="F46" s="95"/>
      <c r="G46" s="95"/>
      <c r="H46" s="95"/>
      <c r="I46" s="95"/>
      <c r="J46" s="96"/>
      <c r="K46" s="97"/>
      <c r="L46" s="97"/>
      <c r="M46" s="97"/>
      <c r="N46" s="97"/>
      <c r="O46" s="97"/>
      <c r="P46" s="95"/>
      <c r="Q46" s="96"/>
      <c r="R46" s="97"/>
      <c r="S46" s="97"/>
      <c r="T46" s="97"/>
      <c r="U46" s="97"/>
      <c r="V46" s="97"/>
      <c r="W46" s="95"/>
      <c r="X46" s="96"/>
      <c r="Y46" s="95"/>
      <c r="Z46" s="97"/>
    </row>
    <row r="47" ht="15.75" customHeight="1">
      <c r="A47" s="22" t="s">
        <v>20</v>
      </c>
      <c r="B47" s="26" t="s">
        <v>23</v>
      </c>
      <c r="C47" s="22" t="s">
        <v>366</v>
      </c>
      <c r="D47" s="22" t="s">
        <v>367</v>
      </c>
      <c r="E47" s="22" t="s">
        <v>368</v>
      </c>
      <c r="F47" s="22" t="s">
        <v>369</v>
      </c>
      <c r="G47" s="22" t="s">
        <v>370</v>
      </c>
      <c r="H47" s="22" t="s">
        <v>371</v>
      </c>
      <c r="I47" s="45"/>
      <c r="J47" s="98" t="s">
        <v>374</v>
      </c>
      <c r="K47" s="99" t="s">
        <v>377</v>
      </c>
      <c r="L47" s="99" t="s">
        <v>379</v>
      </c>
      <c r="M47" s="99" t="s">
        <v>380</v>
      </c>
      <c r="N47" s="99" t="s">
        <v>381</v>
      </c>
      <c r="O47" s="99" t="s">
        <v>382</v>
      </c>
      <c r="P47" s="45"/>
      <c r="Q47" s="98" t="s">
        <v>383</v>
      </c>
      <c r="R47" s="99" t="s">
        <v>384</v>
      </c>
      <c r="S47" s="99" t="s">
        <v>385</v>
      </c>
      <c r="T47" s="99" t="s">
        <v>386</v>
      </c>
      <c r="U47" s="99" t="s">
        <v>387</v>
      </c>
      <c r="V47" s="99" t="s">
        <v>388</v>
      </c>
      <c r="W47" s="45"/>
      <c r="X47" s="98" t="s">
        <v>389</v>
      </c>
      <c r="Y47" s="45"/>
      <c r="Z47" s="98" t="s">
        <v>107</v>
      </c>
    </row>
    <row r="48" ht="42.0" customHeight="1">
      <c r="A48" s="37" t="s">
        <v>622</v>
      </c>
      <c r="B48" s="100" t="s">
        <v>79</v>
      </c>
      <c r="C48" s="41" t="s">
        <v>628</v>
      </c>
      <c r="D48" s="43" t="s">
        <v>629</v>
      </c>
      <c r="E48" s="44" t="s">
        <v>630</v>
      </c>
      <c r="F48" s="41" t="s">
        <v>631</v>
      </c>
      <c r="G48" s="44" t="s">
        <v>633</v>
      </c>
      <c r="H48" s="43" t="s">
        <v>634</v>
      </c>
      <c r="I48" s="120"/>
      <c r="J48" s="48" t="s">
        <v>565</v>
      </c>
      <c r="K48" s="47" t="s">
        <v>635</v>
      </c>
      <c r="L48" s="48" t="s">
        <v>150</v>
      </c>
      <c r="M48" s="49" t="s">
        <v>539</v>
      </c>
      <c r="N48" s="49" t="s">
        <v>408</v>
      </c>
      <c r="O48" s="49" t="s">
        <v>636</v>
      </c>
      <c r="P48" s="45"/>
      <c r="Q48" s="53" t="s">
        <v>485</v>
      </c>
      <c r="R48" s="51" t="s">
        <v>637</v>
      </c>
      <c r="S48" s="51" t="s">
        <v>638</v>
      </c>
      <c r="T48" s="51" t="s">
        <v>639</v>
      </c>
      <c r="U48" s="51" t="s">
        <v>591</v>
      </c>
      <c r="V48" s="110" t="s">
        <v>640</v>
      </c>
      <c r="W48" s="45"/>
      <c r="X48" s="74" t="s">
        <v>641</v>
      </c>
      <c r="Y48" s="45"/>
      <c r="Z48" s="88" t="s">
        <v>642</v>
      </c>
    </row>
    <row r="49" ht="44.25" customHeight="1">
      <c r="A49" s="36"/>
      <c r="B49" s="100" t="s">
        <v>109</v>
      </c>
      <c r="C49" s="41" t="s">
        <v>643</v>
      </c>
      <c r="D49" s="43" t="s">
        <v>644</v>
      </c>
      <c r="E49" s="44" t="s">
        <v>630</v>
      </c>
      <c r="F49" s="44" t="s">
        <v>645</v>
      </c>
      <c r="G49" s="44" t="s">
        <v>633</v>
      </c>
      <c r="H49" s="43" t="s">
        <v>634</v>
      </c>
      <c r="I49" s="45"/>
      <c r="J49" s="48" t="s">
        <v>565</v>
      </c>
      <c r="K49" s="47" t="s">
        <v>635</v>
      </c>
      <c r="L49" s="48" t="s">
        <v>150</v>
      </c>
      <c r="M49" s="49" t="s">
        <v>539</v>
      </c>
      <c r="N49" s="49" t="s">
        <v>427</v>
      </c>
      <c r="O49" s="49" t="s">
        <v>636</v>
      </c>
      <c r="P49" s="45"/>
      <c r="Q49" s="53" t="s">
        <v>485</v>
      </c>
      <c r="R49" s="51" t="s">
        <v>637</v>
      </c>
      <c r="S49" s="51" t="s">
        <v>649</v>
      </c>
      <c r="T49" s="51" t="s">
        <v>639</v>
      </c>
      <c r="U49" s="51" t="s">
        <v>591</v>
      </c>
      <c r="V49" s="110" t="s">
        <v>640</v>
      </c>
      <c r="W49" s="45"/>
      <c r="X49" s="102" t="s">
        <v>650</v>
      </c>
      <c r="Y49" s="45"/>
      <c r="Z49" s="88" t="s">
        <v>642</v>
      </c>
    </row>
    <row r="50" ht="15.75" customHeight="1">
      <c r="A50" s="36"/>
      <c r="B50" s="104" t="s">
        <v>111</v>
      </c>
      <c r="C50" s="65"/>
      <c r="D50" s="68"/>
      <c r="E50" s="68"/>
      <c r="F50" s="68"/>
      <c r="G50" s="68"/>
      <c r="H50" s="68"/>
      <c r="I50" s="45"/>
      <c r="J50" s="109"/>
      <c r="K50" s="68"/>
      <c r="L50" s="68"/>
      <c r="M50" s="68"/>
      <c r="N50" s="68"/>
      <c r="O50" s="68"/>
      <c r="P50" s="45"/>
      <c r="Q50" s="65"/>
      <c r="R50" s="68"/>
      <c r="S50" s="70"/>
      <c r="T50" s="68"/>
      <c r="U50" s="68"/>
      <c r="V50" s="68"/>
      <c r="W50" s="45"/>
      <c r="X50" s="65"/>
      <c r="Y50" s="45"/>
      <c r="Z50" s="65"/>
    </row>
    <row r="51" ht="15.75" customHeight="1">
      <c r="A51" s="36"/>
      <c r="B51" s="100" t="s">
        <v>113</v>
      </c>
      <c r="C51" s="41" t="s">
        <v>643</v>
      </c>
      <c r="D51" s="41" t="s">
        <v>652</v>
      </c>
      <c r="E51" s="44" t="s">
        <v>630</v>
      </c>
      <c r="F51" s="44" t="s">
        <v>645</v>
      </c>
      <c r="G51" s="43" t="s">
        <v>653</v>
      </c>
      <c r="H51" s="44" t="s">
        <v>654</v>
      </c>
      <c r="I51" s="45"/>
      <c r="J51" s="49" t="s">
        <v>655</v>
      </c>
      <c r="K51" s="47" t="s">
        <v>656</v>
      </c>
      <c r="L51" s="49" t="s">
        <v>425</v>
      </c>
      <c r="M51" s="48" t="s">
        <v>150</v>
      </c>
      <c r="N51" s="49" t="s">
        <v>408</v>
      </c>
      <c r="O51" s="49" t="s">
        <v>657</v>
      </c>
      <c r="P51" s="45"/>
      <c r="Q51" s="53" t="s">
        <v>658</v>
      </c>
      <c r="R51" s="53" t="s">
        <v>485</v>
      </c>
      <c r="S51" s="51" t="s">
        <v>649</v>
      </c>
      <c r="T51" s="51" t="s">
        <v>659</v>
      </c>
      <c r="U51" s="110" t="s">
        <v>640</v>
      </c>
      <c r="V51" s="51" t="s">
        <v>660</v>
      </c>
      <c r="W51" s="45"/>
      <c r="X51" s="102" t="s">
        <v>412</v>
      </c>
      <c r="Y51" s="45"/>
      <c r="Z51" s="88" t="s">
        <v>456</v>
      </c>
    </row>
    <row r="52" ht="15.75" customHeight="1">
      <c r="A52" s="36"/>
      <c r="B52" s="100" t="s">
        <v>120</v>
      </c>
      <c r="C52" s="41" t="s">
        <v>643</v>
      </c>
      <c r="D52" s="41" t="s">
        <v>652</v>
      </c>
      <c r="E52" s="44" t="s">
        <v>661</v>
      </c>
      <c r="F52" s="44" t="s">
        <v>662</v>
      </c>
      <c r="G52" s="43" t="s">
        <v>653</v>
      </c>
      <c r="H52" s="44" t="s">
        <v>654</v>
      </c>
      <c r="I52" s="45"/>
      <c r="J52" s="47" t="s">
        <v>663</v>
      </c>
      <c r="K52" s="47" t="s">
        <v>656</v>
      </c>
      <c r="L52" s="49" t="s">
        <v>425</v>
      </c>
      <c r="M52" s="48" t="s">
        <v>150</v>
      </c>
      <c r="N52" s="49" t="s">
        <v>408</v>
      </c>
      <c r="O52" s="49" t="s">
        <v>664</v>
      </c>
      <c r="P52" s="45"/>
      <c r="Q52" s="55" t="s">
        <v>341</v>
      </c>
      <c r="R52" s="53" t="s">
        <v>485</v>
      </c>
      <c r="S52" s="91" t="s">
        <v>665</v>
      </c>
      <c r="T52" s="51" t="s">
        <v>666</v>
      </c>
      <c r="U52" s="110" t="s">
        <v>640</v>
      </c>
      <c r="V52" s="91" t="s">
        <v>667</v>
      </c>
      <c r="W52" s="45"/>
      <c r="X52" s="102" t="s">
        <v>412</v>
      </c>
      <c r="Y52" s="45"/>
      <c r="Z52" s="75" t="s">
        <v>668</v>
      </c>
    </row>
    <row r="53" ht="15.75" customHeight="1">
      <c r="A53" s="36"/>
      <c r="B53" s="100" t="s">
        <v>121</v>
      </c>
      <c r="C53" s="43" t="s">
        <v>531</v>
      </c>
      <c r="D53" s="41" t="s">
        <v>652</v>
      </c>
      <c r="E53" s="44" t="s">
        <v>661</v>
      </c>
      <c r="F53" s="121" t="s">
        <v>669</v>
      </c>
      <c r="G53" s="43" t="s">
        <v>673</v>
      </c>
      <c r="H53" s="44" t="s">
        <v>674</v>
      </c>
      <c r="I53" s="45"/>
      <c r="J53" s="47" t="s">
        <v>663</v>
      </c>
      <c r="K53" s="49" t="s">
        <v>675</v>
      </c>
      <c r="L53" s="46" t="s">
        <v>676</v>
      </c>
      <c r="M53" s="49" t="s">
        <v>540</v>
      </c>
      <c r="N53" s="47" t="s">
        <v>588</v>
      </c>
      <c r="O53" s="49" t="s">
        <v>664</v>
      </c>
      <c r="P53" s="45"/>
      <c r="Q53" s="91" t="s">
        <v>677</v>
      </c>
      <c r="R53" s="53" t="s">
        <v>658</v>
      </c>
      <c r="S53" s="91" t="s">
        <v>678</v>
      </c>
      <c r="T53" s="51" t="s">
        <v>666</v>
      </c>
      <c r="U53" s="91" t="s">
        <v>679</v>
      </c>
      <c r="V53" s="91" t="s">
        <v>680</v>
      </c>
      <c r="W53" s="45"/>
      <c r="X53" s="74" t="s">
        <v>641</v>
      </c>
      <c r="Y53" s="45"/>
      <c r="Z53" s="75" t="s">
        <v>239</v>
      </c>
    </row>
    <row r="54" ht="15.75" customHeight="1">
      <c r="A54" s="36"/>
      <c r="B54" s="63" t="s">
        <v>124</v>
      </c>
      <c r="C54" s="65"/>
      <c r="D54" s="70"/>
      <c r="E54" s="68"/>
      <c r="F54" s="68"/>
      <c r="G54" s="68"/>
      <c r="H54" s="68"/>
      <c r="I54" s="45"/>
      <c r="J54" s="65"/>
      <c r="K54" s="68"/>
      <c r="L54" s="68"/>
      <c r="M54" s="68"/>
      <c r="N54" s="68"/>
      <c r="O54" s="68"/>
      <c r="P54" s="45"/>
      <c r="Q54" s="65"/>
      <c r="R54" s="68"/>
      <c r="S54" s="65"/>
      <c r="T54" s="70"/>
      <c r="U54" s="68"/>
      <c r="V54" s="68"/>
      <c r="W54" s="45"/>
      <c r="X54" s="65"/>
      <c r="Y54" s="45"/>
      <c r="Z54" s="68"/>
    </row>
    <row r="55" ht="42.0" customHeight="1">
      <c r="A55" s="36"/>
      <c r="B55" s="31" t="s">
        <v>126</v>
      </c>
      <c r="C55" s="43" t="s">
        <v>683</v>
      </c>
      <c r="D55" s="41" t="s">
        <v>643</v>
      </c>
      <c r="E55" s="121" t="s">
        <v>684</v>
      </c>
      <c r="F55" s="44" t="s">
        <v>630</v>
      </c>
      <c r="G55" s="44" t="s">
        <v>685</v>
      </c>
      <c r="H55" s="39" t="s">
        <v>686</v>
      </c>
      <c r="I55" s="45"/>
      <c r="J55" s="47" t="s">
        <v>687</v>
      </c>
      <c r="K55" s="47" t="s">
        <v>688</v>
      </c>
      <c r="L55" s="49" t="s">
        <v>689</v>
      </c>
      <c r="M55" s="48" t="s">
        <v>690</v>
      </c>
      <c r="N55" s="46" t="s">
        <v>691</v>
      </c>
      <c r="O55" s="49" t="s">
        <v>312</v>
      </c>
      <c r="P55" s="45"/>
      <c r="Q55" s="53" t="s">
        <v>692</v>
      </c>
      <c r="R55" s="91" t="s">
        <v>677</v>
      </c>
      <c r="S55" s="53" t="s">
        <v>317</v>
      </c>
      <c r="T55" s="51" t="s">
        <v>693</v>
      </c>
      <c r="U55" s="51" t="s">
        <v>694</v>
      </c>
      <c r="V55" s="51" t="s">
        <v>489</v>
      </c>
      <c r="W55" s="45"/>
      <c r="X55" s="74" t="s">
        <v>522</v>
      </c>
      <c r="Y55" s="45"/>
      <c r="Z55" s="75" t="s">
        <v>695</v>
      </c>
    </row>
    <row r="56" ht="42.0" customHeight="1">
      <c r="A56" s="36"/>
      <c r="B56" s="31" t="s">
        <v>138</v>
      </c>
      <c r="C56" s="43" t="s">
        <v>683</v>
      </c>
      <c r="D56" s="41" t="s">
        <v>643</v>
      </c>
      <c r="E56" s="44" t="s">
        <v>696</v>
      </c>
      <c r="F56" s="44" t="s">
        <v>630</v>
      </c>
      <c r="G56" s="39" t="s">
        <v>697</v>
      </c>
      <c r="H56" s="41" t="s">
        <v>422</v>
      </c>
      <c r="I56" s="45"/>
      <c r="J56" s="47" t="s">
        <v>687</v>
      </c>
      <c r="K56" s="47" t="s">
        <v>688</v>
      </c>
      <c r="L56" s="49" t="s">
        <v>689</v>
      </c>
      <c r="M56" s="48" t="s">
        <v>690</v>
      </c>
      <c r="N56" s="46" t="s">
        <v>691</v>
      </c>
      <c r="O56" s="49" t="s">
        <v>312</v>
      </c>
      <c r="P56" s="45"/>
      <c r="Q56" s="53" t="s">
        <v>692</v>
      </c>
      <c r="R56" s="91" t="s">
        <v>677</v>
      </c>
      <c r="S56" s="53" t="s">
        <v>317</v>
      </c>
      <c r="T56" s="51" t="s">
        <v>698</v>
      </c>
      <c r="U56" s="51" t="s">
        <v>694</v>
      </c>
      <c r="V56" s="51" t="s">
        <v>489</v>
      </c>
      <c r="W56" s="45"/>
      <c r="X56" s="107" t="s">
        <v>700</v>
      </c>
      <c r="Y56" s="45"/>
      <c r="Z56" s="75" t="s">
        <v>695</v>
      </c>
    </row>
    <row r="57" ht="15.75" customHeight="1">
      <c r="A57" s="36"/>
      <c r="B57" s="63" t="s">
        <v>111</v>
      </c>
      <c r="C57" s="65"/>
      <c r="D57" s="68"/>
      <c r="E57" s="68"/>
      <c r="F57" s="68"/>
      <c r="G57" s="68"/>
      <c r="H57" s="68"/>
      <c r="I57" s="45"/>
      <c r="J57" s="65"/>
      <c r="K57" s="68"/>
      <c r="L57" s="68"/>
      <c r="M57" s="68"/>
      <c r="N57" s="68"/>
      <c r="O57" s="68"/>
      <c r="P57" s="45"/>
      <c r="Q57" s="65"/>
      <c r="R57" s="68"/>
      <c r="S57" s="65"/>
      <c r="T57" s="122"/>
      <c r="U57" s="68"/>
      <c r="V57" s="68"/>
      <c r="W57" s="45"/>
      <c r="X57" s="65"/>
      <c r="Y57" s="45"/>
      <c r="Z57" s="68"/>
    </row>
    <row r="58" ht="15.75" customHeight="1">
      <c r="A58" s="36"/>
      <c r="B58" s="31" t="s">
        <v>141</v>
      </c>
      <c r="C58" s="39" t="s">
        <v>704</v>
      </c>
      <c r="D58" s="41" t="s">
        <v>643</v>
      </c>
      <c r="E58" s="44" t="s">
        <v>705</v>
      </c>
      <c r="F58" s="44" t="s">
        <v>630</v>
      </c>
      <c r="G58" s="43" t="s">
        <v>673</v>
      </c>
      <c r="H58" s="43" t="s">
        <v>706</v>
      </c>
      <c r="I58" s="45"/>
      <c r="J58" s="49" t="s">
        <v>707</v>
      </c>
      <c r="K58" s="48" t="s">
        <v>708</v>
      </c>
      <c r="L58" s="48" t="s">
        <v>709</v>
      </c>
      <c r="M58" s="49" t="s">
        <v>425</v>
      </c>
      <c r="N58" s="49" t="s">
        <v>508</v>
      </c>
      <c r="O58" s="49" t="s">
        <v>710</v>
      </c>
      <c r="P58" s="45"/>
      <c r="Q58" s="91" t="s">
        <v>711</v>
      </c>
      <c r="R58" s="53" t="s">
        <v>712</v>
      </c>
      <c r="S58" s="51" t="s">
        <v>475</v>
      </c>
      <c r="T58" s="91" t="s">
        <v>678</v>
      </c>
      <c r="U58" s="51" t="s">
        <v>489</v>
      </c>
      <c r="V58" s="91" t="s">
        <v>713</v>
      </c>
      <c r="W58" s="45"/>
      <c r="X58" s="102" t="s">
        <v>714</v>
      </c>
      <c r="Y58" s="45"/>
      <c r="Z58" s="75" t="s">
        <v>715</v>
      </c>
    </row>
    <row r="59" ht="15.75" customHeight="1">
      <c r="A59" s="36"/>
      <c r="B59" s="31" t="s">
        <v>154</v>
      </c>
      <c r="C59" s="41" t="s">
        <v>329</v>
      </c>
      <c r="D59" s="39" t="s">
        <v>716</v>
      </c>
      <c r="E59" s="44" t="s">
        <v>705</v>
      </c>
      <c r="F59" s="43" t="s">
        <v>476</v>
      </c>
      <c r="G59" s="124"/>
      <c r="H59" s="43" t="s">
        <v>706</v>
      </c>
      <c r="I59" s="45"/>
      <c r="J59" s="49" t="s">
        <v>707</v>
      </c>
      <c r="K59" s="48" t="s">
        <v>708</v>
      </c>
      <c r="L59" s="48" t="s">
        <v>709</v>
      </c>
      <c r="M59" s="49" t="s">
        <v>425</v>
      </c>
      <c r="N59" s="47" t="s">
        <v>723</v>
      </c>
      <c r="O59" s="49" t="s">
        <v>664</v>
      </c>
      <c r="P59" s="45"/>
      <c r="Q59" s="91" t="s">
        <v>725</v>
      </c>
      <c r="R59" s="91" t="s">
        <v>726</v>
      </c>
      <c r="S59" s="51" t="s">
        <v>475</v>
      </c>
      <c r="T59" s="91" t="s">
        <v>678</v>
      </c>
      <c r="U59" s="51" t="s">
        <v>489</v>
      </c>
      <c r="V59" s="51" t="s">
        <v>727</v>
      </c>
      <c r="W59" s="45"/>
      <c r="X59" s="102" t="s">
        <v>728</v>
      </c>
      <c r="Y59" s="45"/>
      <c r="Z59" s="75" t="s">
        <v>729</v>
      </c>
    </row>
    <row r="60" ht="15.75" customHeight="1">
      <c r="A60" s="36"/>
      <c r="B60" s="94" t="s">
        <v>155</v>
      </c>
      <c r="C60" s="95"/>
      <c r="D60" s="95"/>
      <c r="E60" s="95"/>
      <c r="F60" s="95"/>
      <c r="G60" s="95"/>
      <c r="H60" s="95"/>
      <c r="I60" s="95"/>
      <c r="J60" s="96"/>
      <c r="K60" s="95"/>
      <c r="L60" s="97"/>
      <c r="M60" s="97"/>
      <c r="N60" s="97"/>
      <c r="O60" s="97"/>
      <c r="P60" s="95"/>
      <c r="Q60" s="96"/>
      <c r="R60" s="97"/>
      <c r="S60" s="97"/>
      <c r="T60" s="97"/>
      <c r="U60" s="97"/>
      <c r="V60" s="97"/>
      <c r="W60" s="95"/>
      <c r="X60" s="96"/>
      <c r="Y60" s="95"/>
      <c r="Z60" s="97"/>
    </row>
    <row r="61" ht="15.75" customHeight="1">
      <c r="A61" s="66"/>
      <c r="B61" s="94" t="s">
        <v>164</v>
      </c>
      <c r="C61" s="95"/>
      <c r="D61" s="95"/>
      <c r="E61" s="95"/>
      <c r="F61" s="95"/>
      <c r="G61" s="95"/>
      <c r="H61" s="95"/>
      <c r="I61" s="95"/>
      <c r="J61" s="96"/>
      <c r="K61" s="97"/>
      <c r="L61" s="97"/>
      <c r="M61" s="97"/>
      <c r="N61" s="97"/>
      <c r="O61" s="97"/>
      <c r="P61" s="95"/>
      <c r="Q61" s="96"/>
      <c r="R61" s="97"/>
      <c r="S61" s="97"/>
      <c r="T61" s="97"/>
      <c r="U61" s="97"/>
      <c r="V61" s="97"/>
      <c r="W61" s="95"/>
      <c r="X61" s="96"/>
      <c r="Y61" s="95"/>
      <c r="Z61" s="97"/>
    </row>
    <row r="62" ht="15.75" customHeight="1">
      <c r="A62" s="22" t="s">
        <v>20</v>
      </c>
      <c r="B62" s="26" t="s">
        <v>23</v>
      </c>
      <c r="C62" s="22" t="s">
        <v>366</v>
      </c>
      <c r="D62" s="22" t="s">
        <v>367</v>
      </c>
      <c r="E62" s="22" t="s">
        <v>368</v>
      </c>
      <c r="F62" s="22" t="s">
        <v>369</v>
      </c>
      <c r="G62" s="22" t="s">
        <v>370</v>
      </c>
      <c r="H62" s="22" t="s">
        <v>371</v>
      </c>
      <c r="I62" s="45"/>
      <c r="J62" s="98" t="s">
        <v>374</v>
      </c>
      <c r="K62" s="99" t="s">
        <v>377</v>
      </c>
      <c r="L62" s="99" t="s">
        <v>379</v>
      </c>
      <c r="M62" s="99" t="s">
        <v>380</v>
      </c>
      <c r="N62" s="99" t="s">
        <v>381</v>
      </c>
      <c r="O62" s="99" t="s">
        <v>382</v>
      </c>
      <c r="P62" s="45"/>
      <c r="Q62" s="98" t="s">
        <v>383</v>
      </c>
      <c r="R62" s="99" t="s">
        <v>384</v>
      </c>
      <c r="S62" s="99" t="s">
        <v>385</v>
      </c>
      <c r="T62" s="99" t="s">
        <v>386</v>
      </c>
      <c r="U62" s="99" t="s">
        <v>387</v>
      </c>
      <c r="V62" s="99" t="s">
        <v>388</v>
      </c>
      <c r="W62" s="45"/>
      <c r="X62" s="98" t="s">
        <v>389</v>
      </c>
      <c r="Y62" s="45"/>
      <c r="Z62" s="98" t="s">
        <v>107</v>
      </c>
    </row>
    <row r="63" ht="44.25" customHeight="1">
      <c r="A63" s="37" t="s">
        <v>734</v>
      </c>
      <c r="B63" s="100" t="s">
        <v>79</v>
      </c>
      <c r="C63" s="43" t="s">
        <v>737</v>
      </c>
      <c r="D63" s="39" t="s">
        <v>334</v>
      </c>
      <c r="E63" s="41" t="s">
        <v>122</v>
      </c>
      <c r="F63" s="41" t="s">
        <v>631</v>
      </c>
      <c r="G63" s="44" t="s">
        <v>685</v>
      </c>
      <c r="H63" s="43" t="s">
        <v>739</v>
      </c>
      <c r="I63" s="45"/>
      <c r="J63" s="47" t="s">
        <v>663</v>
      </c>
      <c r="K63" s="47" t="s">
        <v>535</v>
      </c>
      <c r="L63" s="48" t="s">
        <v>405</v>
      </c>
      <c r="M63" s="49" t="s">
        <v>740</v>
      </c>
      <c r="N63" s="49" t="s">
        <v>741</v>
      </c>
      <c r="O63" s="46" t="s">
        <v>691</v>
      </c>
      <c r="P63" s="45"/>
      <c r="Q63" s="53" t="s">
        <v>742</v>
      </c>
      <c r="R63" s="91" t="s">
        <v>726</v>
      </c>
      <c r="S63" s="51" t="s">
        <v>743</v>
      </c>
      <c r="T63" s="53" t="s">
        <v>744</v>
      </c>
      <c r="U63" s="51" t="s">
        <v>745</v>
      </c>
      <c r="V63" s="51" t="s">
        <v>545</v>
      </c>
      <c r="W63" s="45"/>
      <c r="X63" s="102" t="s">
        <v>548</v>
      </c>
      <c r="Y63" s="45"/>
      <c r="Z63" s="75" t="s">
        <v>746</v>
      </c>
    </row>
    <row r="64" ht="38.25" customHeight="1">
      <c r="A64" s="36"/>
      <c r="B64" s="100" t="s">
        <v>109</v>
      </c>
      <c r="C64" s="41" t="s">
        <v>561</v>
      </c>
      <c r="D64" s="41" t="s">
        <v>747</v>
      </c>
      <c r="E64" s="41" t="s">
        <v>122</v>
      </c>
      <c r="F64" s="125"/>
      <c r="G64" s="44" t="s">
        <v>685</v>
      </c>
      <c r="H64" s="43" t="s">
        <v>739</v>
      </c>
      <c r="I64" s="45"/>
      <c r="J64" s="47" t="s">
        <v>663</v>
      </c>
      <c r="K64" s="47" t="s">
        <v>535</v>
      </c>
      <c r="L64" s="49" t="s">
        <v>748</v>
      </c>
      <c r="M64" s="49" t="s">
        <v>740</v>
      </c>
      <c r="N64" s="49" t="s">
        <v>741</v>
      </c>
      <c r="O64" s="46" t="s">
        <v>691</v>
      </c>
      <c r="P64" s="45"/>
      <c r="Q64" s="91" t="s">
        <v>711</v>
      </c>
      <c r="R64" s="53" t="s">
        <v>749</v>
      </c>
      <c r="S64" s="51" t="s">
        <v>743</v>
      </c>
      <c r="T64" s="53" t="s">
        <v>744</v>
      </c>
      <c r="U64" s="51" t="s">
        <v>745</v>
      </c>
      <c r="V64" s="51" t="s">
        <v>545</v>
      </c>
      <c r="W64" s="45"/>
      <c r="X64" s="102" t="s">
        <v>548</v>
      </c>
      <c r="Y64" s="45"/>
      <c r="Z64" s="75" t="s">
        <v>746</v>
      </c>
    </row>
    <row r="65" ht="15.75" customHeight="1">
      <c r="A65" s="36"/>
      <c r="B65" s="104" t="s">
        <v>111</v>
      </c>
      <c r="C65" s="65"/>
      <c r="D65" s="68"/>
      <c r="E65" s="68"/>
      <c r="F65" s="68"/>
      <c r="G65" s="68"/>
      <c r="H65" s="68"/>
      <c r="I65" s="45"/>
      <c r="J65" s="65"/>
      <c r="K65" s="68"/>
      <c r="L65" s="68"/>
      <c r="M65" s="68"/>
      <c r="N65" s="68"/>
      <c r="O65" s="68"/>
      <c r="P65" s="45"/>
      <c r="Q65" s="65"/>
      <c r="R65" s="68"/>
      <c r="S65" s="68"/>
      <c r="T65" s="68"/>
      <c r="U65" s="68"/>
      <c r="V65" s="68"/>
      <c r="W65" s="45"/>
      <c r="X65" s="65"/>
      <c r="Y65" s="45"/>
      <c r="Z65" s="68"/>
    </row>
    <row r="66" ht="15.75" customHeight="1">
      <c r="A66" s="36"/>
      <c r="B66" s="100" t="s">
        <v>113</v>
      </c>
      <c r="C66" s="39" t="s">
        <v>224</v>
      </c>
      <c r="D66" s="41" t="s">
        <v>750</v>
      </c>
      <c r="E66" s="41" t="s">
        <v>276</v>
      </c>
      <c r="F66" s="41" t="s">
        <v>751</v>
      </c>
      <c r="G66" s="43" t="s">
        <v>706</v>
      </c>
      <c r="H66" s="44" t="s">
        <v>674</v>
      </c>
      <c r="I66" s="45"/>
      <c r="J66" s="47" t="s">
        <v>535</v>
      </c>
      <c r="K66" s="47" t="s">
        <v>752</v>
      </c>
      <c r="L66" s="49" t="s">
        <v>748</v>
      </c>
      <c r="M66" s="49" t="s">
        <v>753</v>
      </c>
      <c r="N66" s="49" t="s">
        <v>754</v>
      </c>
      <c r="O66" s="49" t="s">
        <v>710</v>
      </c>
      <c r="P66" s="45"/>
      <c r="Q66" s="91" t="s">
        <v>755</v>
      </c>
      <c r="R66" s="53" t="s">
        <v>749</v>
      </c>
      <c r="S66" s="51" t="s">
        <v>756</v>
      </c>
      <c r="T66" s="51" t="s">
        <v>743</v>
      </c>
      <c r="U66" s="51" t="s">
        <v>545</v>
      </c>
      <c r="V66" s="51" t="s">
        <v>757</v>
      </c>
      <c r="W66" s="45"/>
      <c r="X66" s="92" t="s">
        <v>324</v>
      </c>
      <c r="Y66" s="45"/>
      <c r="Z66" s="75" t="s">
        <v>758</v>
      </c>
    </row>
    <row r="67" ht="15.75" customHeight="1">
      <c r="A67" s="36"/>
      <c r="B67" s="100" t="s">
        <v>120</v>
      </c>
      <c r="C67" s="39" t="s">
        <v>478</v>
      </c>
      <c r="D67" s="41" t="s">
        <v>759</v>
      </c>
      <c r="E67" s="41"/>
      <c r="F67" s="39" t="s">
        <v>760</v>
      </c>
      <c r="G67" s="43" t="s">
        <v>706</v>
      </c>
      <c r="H67" s="44" t="s">
        <v>674</v>
      </c>
      <c r="I67" s="45"/>
      <c r="J67" s="47" t="s">
        <v>535</v>
      </c>
      <c r="K67" s="47" t="s">
        <v>663</v>
      </c>
      <c r="L67" s="47" t="s">
        <v>761</v>
      </c>
      <c r="M67" s="49" t="s">
        <v>753</v>
      </c>
      <c r="N67" s="49" t="s">
        <v>754</v>
      </c>
      <c r="O67" s="47" t="s">
        <v>762</v>
      </c>
      <c r="P67" s="45"/>
      <c r="Q67" s="91" t="s">
        <v>755</v>
      </c>
      <c r="R67" s="53" t="s">
        <v>576</v>
      </c>
      <c r="S67" s="51" t="s">
        <v>756</v>
      </c>
      <c r="T67" s="51" t="s">
        <v>743</v>
      </c>
      <c r="U67" s="51" t="s">
        <v>545</v>
      </c>
      <c r="V67" s="51" t="s">
        <v>757</v>
      </c>
      <c r="W67" s="45"/>
      <c r="X67" s="102"/>
      <c r="Y67" s="45"/>
      <c r="Z67" s="75" t="s">
        <v>758</v>
      </c>
    </row>
    <row r="68" ht="15.75" customHeight="1">
      <c r="A68" s="36"/>
      <c r="B68" s="24" t="s">
        <v>121</v>
      </c>
      <c r="C68" s="39" t="s">
        <v>478</v>
      </c>
      <c r="D68" s="41" t="s">
        <v>750</v>
      </c>
      <c r="E68" s="125"/>
      <c r="F68" s="39" t="s">
        <v>760</v>
      </c>
      <c r="G68" s="124"/>
      <c r="H68" s="125"/>
      <c r="I68" s="45"/>
      <c r="J68" s="47" t="s">
        <v>763</v>
      </c>
      <c r="K68" s="47" t="s">
        <v>663</v>
      </c>
      <c r="L68" s="47" t="s">
        <v>761</v>
      </c>
      <c r="M68" s="48" t="s">
        <v>764</v>
      </c>
      <c r="N68" s="47" t="s">
        <v>765</v>
      </c>
      <c r="O68" s="47" t="s">
        <v>552</v>
      </c>
      <c r="P68" s="45"/>
      <c r="Q68" s="105"/>
      <c r="R68" s="126"/>
      <c r="S68" s="51"/>
      <c r="T68" s="60"/>
      <c r="U68" s="51" t="s">
        <v>545</v>
      </c>
      <c r="V68" s="51" t="s">
        <v>727</v>
      </c>
      <c r="W68" s="45"/>
      <c r="X68" s="92"/>
      <c r="Y68" s="45"/>
      <c r="Z68" s="75"/>
    </row>
    <row r="69" ht="15.75" customHeight="1">
      <c r="A69" s="36"/>
      <c r="B69" s="127" t="s">
        <v>124</v>
      </c>
      <c r="C69" s="65"/>
      <c r="D69" s="68"/>
      <c r="E69" s="68"/>
      <c r="F69" s="68"/>
      <c r="G69" s="68"/>
      <c r="H69" s="68"/>
      <c r="I69" s="45"/>
      <c r="J69" s="65"/>
      <c r="K69" s="68"/>
      <c r="L69" s="68"/>
      <c r="M69" s="68"/>
      <c r="N69" s="68"/>
      <c r="O69" s="68"/>
      <c r="P69" s="45"/>
      <c r="Q69" s="65"/>
      <c r="R69" s="68"/>
      <c r="S69" s="68"/>
      <c r="T69" s="68"/>
      <c r="U69" s="68"/>
      <c r="V69" s="68"/>
      <c r="W69" s="45"/>
      <c r="X69" s="65"/>
      <c r="Y69" s="45"/>
      <c r="Z69" s="68"/>
    </row>
    <row r="70" ht="15.75" customHeight="1">
      <c r="A70" s="36"/>
      <c r="B70" s="31" t="s">
        <v>126</v>
      </c>
      <c r="C70" s="114"/>
      <c r="D70" s="114"/>
      <c r="E70" s="116"/>
      <c r="F70" s="116"/>
      <c r="G70" s="116"/>
      <c r="H70" s="117"/>
      <c r="I70" s="45"/>
      <c r="J70" s="116"/>
      <c r="K70" s="118"/>
      <c r="L70" s="116"/>
      <c r="M70" s="116"/>
      <c r="N70" s="118"/>
      <c r="O70" s="116"/>
      <c r="P70" s="45"/>
      <c r="Q70" s="118"/>
      <c r="R70" s="114"/>
      <c r="S70" s="116"/>
      <c r="T70" s="116"/>
      <c r="U70" s="116"/>
      <c r="V70" s="116"/>
      <c r="W70" s="45"/>
      <c r="X70" s="118"/>
      <c r="Y70" s="45"/>
      <c r="Z70" s="114"/>
    </row>
    <row r="71" ht="15.75" customHeight="1">
      <c r="A71" s="36"/>
      <c r="B71" s="31" t="s">
        <v>138</v>
      </c>
      <c r="C71" s="114"/>
      <c r="D71" s="118"/>
      <c r="E71" s="116"/>
      <c r="F71" s="116"/>
      <c r="G71" s="116"/>
      <c r="H71" s="117"/>
      <c r="I71" s="45"/>
      <c r="J71" s="114"/>
      <c r="K71" s="118"/>
      <c r="L71" s="116"/>
      <c r="M71" s="116"/>
      <c r="N71" s="116"/>
      <c r="O71" s="118"/>
      <c r="P71" s="45"/>
      <c r="Q71" s="118"/>
      <c r="R71" s="114"/>
      <c r="S71" s="116"/>
      <c r="T71" s="116"/>
      <c r="U71" s="116"/>
      <c r="V71" s="116"/>
      <c r="W71" s="45"/>
      <c r="X71" s="118"/>
      <c r="Y71" s="45"/>
      <c r="Z71" s="114"/>
    </row>
    <row r="72" ht="15.75" customHeight="1">
      <c r="A72" s="36"/>
      <c r="B72" s="63" t="s">
        <v>111</v>
      </c>
      <c r="C72" s="72"/>
      <c r="D72" s="72"/>
      <c r="E72" s="72"/>
      <c r="F72" s="72"/>
      <c r="G72" s="72"/>
      <c r="H72" s="72"/>
      <c r="I72" s="45"/>
      <c r="J72" s="65"/>
      <c r="K72" s="68"/>
      <c r="L72" s="68"/>
      <c r="M72" s="68"/>
      <c r="N72" s="68"/>
      <c r="O72" s="68"/>
      <c r="P72" s="45"/>
      <c r="Q72" s="65"/>
      <c r="R72" s="68"/>
      <c r="S72" s="68"/>
      <c r="T72" s="68"/>
      <c r="U72" s="68"/>
      <c r="V72" s="68"/>
      <c r="W72" s="45"/>
      <c r="X72" s="65"/>
      <c r="Y72" s="45"/>
      <c r="Z72" s="68"/>
    </row>
    <row r="73" ht="15.75" customHeight="1">
      <c r="A73" s="36"/>
      <c r="B73" s="31" t="s">
        <v>141</v>
      </c>
      <c r="C73" s="116"/>
      <c r="D73" s="114"/>
      <c r="E73" s="116"/>
      <c r="F73" s="114"/>
      <c r="G73" s="114"/>
      <c r="H73" s="114"/>
      <c r="I73" s="45"/>
      <c r="J73" s="116"/>
      <c r="K73" s="114"/>
      <c r="L73" s="116"/>
      <c r="M73" s="116"/>
      <c r="N73" s="116"/>
      <c r="O73" s="116"/>
      <c r="P73" s="45"/>
      <c r="Q73" s="118"/>
      <c r="R73" s="116"/>
      <c r="S73" s="114"/>
      <c r="T73" s="116"/>
      <c r="U73" s="116"/>
      <c r="V73" s="116"/>
      <c r="W73" s="45"/>
      <c r="X73" s="118"/>
      <c r="Y73" s="45"/>
      <c r="Z73" s="116"/>
    </row>
    <row r="74" ht="15.75" customHeight="1">
      <c r="A74" s="36"/>
      <c r="B74" s="31" t="s">
        <v>154</v>
      </c>
      <c r="C74" s="116"/>
      <c r="D74" s="114"/>
      <c r="E74" s="118"/>
      <c r="F74" s="114"/>
      <c r="G74" s="114"/>
      <c r="H74" s="114"/>
      <c r="I74" s="45"/>
      <c r="J74" s="114"/>
      <c r="K74" s="118"/>
      <c r="L74" s="118"/>
      <c r="M74" s="116"/>
      <c r="N74" s="116"/>
      <c r="O74" s="116"/>
      <c r="P74" s="45"/>
      <c r="Q74" s="118"/>
      <c r="R74" s="116"/>
      <c r="S74" s="114"/>
      <c r="T74" s="116"/>
      <c r="U74" s="116"/>
      <c r="V74" s="116"/>
      <c r="W74" s="45"/>
      <c r="X74" s="118"/>
      <c r="Y74" s="45"/>
      <c r="Z74" s="116"/>
    </row>
    <row r="75" ht="15.75" customHeight="1">
      <c r="A75" s="36"/>
      <c r="B75" s="128" t="s">
        <v>155</v>
      </c>
      <c r="C75" s="95"/>
      <c r="D75" s="95"/>
      <c r="E75" s="95"/>
      <c r="F75" s="95"/>
      <c r="G75" s="95"/>
      <c r="H75" s="95"/>
      <c r="I75" s="95"/>
      <c r="J75" s="96"/>
      <c r="K75" s="95"/>
      <c r="L75" s="97"/>
      <c r="M75" s="97"/>
      <c r="N75" s="97"/>
      <c r="O75" s="97"/>
      <c r="P75" s="95"/>
      <c r="Q75" s="96"/>
      <c r="R75" s="97"/>
      <c r="S75" s="97"/>
      <c r="T75" s="97"/>
      <c r="U75" s="97"/>
      <c r="V75" s="97"/>
      <c r="W75" s="95"/>
      <c r="X75" s="96"/>
      <c r="Y75" s="95"/>
      <c r="Z75" s="97"/>
    </row>
    <row r="76" ht="15.75" customHeight="1">
      <c r="A76" s="66"/>
      <c r="B76" s="128" t="s">
        <v>164</v>
      </c>
      <c r="C76" s="95"/>
      <c r="D76" s="95"/>
      <c r="E76" s="95"/>
      <c r="F76" s="95"/>
      <c r="G76" s="95"/>
      <c r="H76" s="95"/>
      <c r="I76" s="95"/>
      <c r="J76" s="96"/>
      <c r="K76" s="97"/>
      <c r="L76" s="97"/>
      <c r="M76" s="97"/>
      <c r="N76" s="97"/>
      <c r="O76" s="97"/>
      <c r="P76" s="95"/>
      <c r="Q76" s="96"/>
      <c r="R76" s="97"/>
      <c r="S76" s="97"/>
      <c r="T76" s="97"/>
      <c r="U76" s="97"/>
      <c r="V76" s="97"/>
      <c r="W76" s="95"/>
      <c r="X76" s="96"/>
      <c r="Y76" s="95"/>
      <c r="Z76" s="97"/>
    </row>
    <row r="77" ht="15.75" customHeight="1">
      <c r="A77" s="22" t="s">
        <v>20</v>
      </c>
      <c r="B77" s="22" t="s">
        <v>23</v>
      </c>
      <c r="C77" s="22" t="s">
        <v>366</v>
      </c>
      <c r="D77" s="22" t="s">
        <v>367</v>
      </c>
      <c r="E77" s="22" t="s">
        <v>368</v>
      </c>
      <c r="F77" s="22" t="s">
        <v>369</v>
      </c>
      <c r="G77" s="22" t="s">
        <v>370</v>
      </c>
      <c r="H77" s="22" t="s">
        <v>371</v>
      </c>
      <c r="I77" s="45"/>
      <c r="J77" s="22" t="s">
        <v>374</v>
      </c>
      <c r="K77" s="22" t="s">
        <v>377</v>
      </c>
      <c r="L77" s="22" t="s">
        <v>379</v>
      </c>
      <c r="M77" s="22" t="s">
        <v>380</v>
      </c>
      <c r="N77" s="22" t="s">
        <v>381</v>
      </c>
      <c r="O77" s="22" t="s">
        <v>382</v>
      </c>
      <c r="P77" s="45"/>
      <c r="Q77" s="22" t="s">
        <v>383</v>
      </c>
      <c r="R77" s="22" t="s">
        <v>384</v>
      </c>
      <c r="S77" s="22" t="s">
        <v>385</v>
      </c>
      <c r="T77" s="22" t="s">
        <v>386</v>
      </c>
      <c r="U77" s="22" t="s">
        <v>387</v>
      </c>
      <c r="V77" s="22" t="s">
        <v>388</v>
      </c>
      <c r="W77" s="45"/>
      <c r="X77" s="98" t="s">
        <v>389</v>
      </c>
      <c r="Y77" s="45"/>
      <c r="Z77" s="98" t="s">
        <v>107</v>
      </c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C1:H1"/>
    <mergeCell ref="J1:O1"/>
    <mergeCell ref="Q1:V1"/>
    <mergeCell ref="A3:A16"/>
    <mergeCell ref="A18:A31"/>
    <mergeCell ref="A33:A46"/>
    <mergeCell ref="A48:A61"/>
    <mergeCell ref="A63:A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2" width="3.25"/>
    <col customWidth="1" min="3" max="3" width="14.38"/>
    <col customWidth="1" min="4" max="8" width="20.13"/>
    <col customWidth="1" min="9" max="9" width="4.13"/>
    <col customWidth="1" min="10" max="10" width="20.13"/>
  </cols>
  <sheetData>
    <row r="1" ht="15.75" customHeight="1">
      <c r="A1" s="1"/>
      <c r="B1" s="10"/>
      <c r="C1" s="14" t="s">
        <v>3</v>
      </c>
      <c r="D1" s="8"/>
      <c r="E1" s="8"/>
      <c r="F1" s="8"/>
      <c r="G1" s="8"/>
      <c r="H1" s="10"/>
      <c r="I1" s="18"/>
      <c r="J1" s="21" t="s">
        <v>17</v>
      </c>
    </row>
    <row r="2" ht="15.75" customHeight="1">
      <c r="A2" s="13" t="s">
        <v>4</v>
      </c>
      <c r="B2" s="17" t="s">
        <v>4</v>
      </c>
      <c r="C2" s="17" t="s">
        <v>23</v>
      </c>
      <c r="D2" s="17" t="s">
        <v>55</v>
      </c>
      <c r="E2" s="17" t="s">
        <v>58</v>
      </c>
      <c r="F2" s="17" t="s">
        <v>60</v>
      </c>
      <c r="G2" s="17" t="s">
        <v>62</v>
      </c>
      <c r="H2" s="17" t="s">
        <v>64</v>
      </c>
      <c r="I2" s="18"/>
      <c r="J2" s="27" t="str">
        <f>(75-(COUNTIF(D5:H24,"Janela")))&amp;" h/a"</f>
        <v>4 h/a</v>
      </c>
    </row>
    <row r="3" ht="15.75" hidden="1" customHeight="1">
      <c r="A3" s="13"/>
      <c r="B3" s="20"/>
      <c r="C3" s="17"/>
      <c r="D3" s="17" t="s">
        <v>25</v>
      </c>
      <c r="E3" s="17" t="s">
        <v>26</v>
      </c>
      <c r="F3" s="17" t="s">
        <v>28</v>
      </c>
      <c r="G3" s="17" t="s">
        <v>30</v>
      </c>
      <c r="H3" s="17" t="s">
        <v>31</v>
      </c>
      <c r="I3" s="18"/>
      <c r="J3" s="32"/>
    </row>
    <row r="4" ht="15.75" hidden="1" customHeight="1">
      <c r="A4" s="13"/>
      <c r="B4" s="20"/>
      <c r="C4" s="17"/>
      <c r="D4" s="17" t="s">
        <v>35</v>
      </c>
      <c r="E4" s="17" t="s">
        <v>37</v>
      </c>
      <c r="F4" s="17" t="s">
        <v>38</v>
      </c>
      <c r="G4" s="17" t="s">
        <v>40</v>
      </c>
      <c r="H4" s="17" t="s">
        <v>41</v>
      </c>
      <c r="I4" s="18"/>
      <c r="J4" s="32"/>
    </row>
    <row r="5" ht="25.5" customHeight="1">
      <c r="A5" s="25">
        <v>15.0</v>
      </c>
      <c r="B5" s="29">
        <v>21.0</v>
      </c>
      <c r="C5" s="35" t="s">
        <v>79</v>
      </c>
      <c r="D5" s="42" t="str">
        <f>IF((COUNTIF('Horário - Graduação'!$C3:$AW3,"*"&amp;$C$1&amp;"*")+COUNTIF('Horário - Ensino Médio'!$C3:$Z3,"*"&amp;$C$1&amp;"*"))&gt;1,CONCAT("[CHOQUE] - ",IFERROR(HLOOKUP("*"&amp;$C$1&amp;"*",'Horário - Graduação'!$C3:$AW$23,$B5,FALSE),IFERROR(HLOOKUP("*"&amp;$C$1&amp;"*",'Horário - Ensino Médio'!$C3:$Z$17,$A5,FALSE),"Janela"))),IFERROR(HLOOKUP("*"&amp;$C$1&amp;"*",'Horário - Graduação'!$C3:$AW$23,$B5,FALSE),IFERROR(HLOOKUP("*"&amp;$C$1&amp;"*",'Horário - Ensino Médio'!$C3:$Z$17,$A5,FALSE),"Janela")))</f>
        <v>Janela</v>
      </c>
      <c r="E5" s="42" t="str">
        <f>IF((COUNTIF('Horário - Graduação'!$C24:$AW24,"*"&amp;$C$1&amp;"*")+COUNTIF('Horário - Ensino Médio'!$C18:$Z18,"*"&amp;$C$1&amp;"*"))&gt;1,CONCAT("[CHOQUE] - ",IFERROR(HLOOKUP("*"&amp;$C$1&amp;"*",'Horário - Graduação'!$C24:$AW$44,$B5,FALSE),IFERROR(HLOOKUP("*"&amp;$C$1&amp;"*",'Horário - Ensino Médio'!$C18:$Z$32,$A5,FALSE),"Janela"))),IFERROR(HLOOKUP("*"&amp;$C$1&amp;"*",'Horário - Graduação'!$C24:$AW$44,$B5,FALSE),IFERROR(HLOOKUP("*"&amp;$C$1&amp;"*",'Horário - Ensino Médio'!$C18:$Z$32,$A5,FALSE),"Janela")))</f>
        <v>Janela</v>
      </c>
      <c r="F5" s="42" t="str">
        <f>IF((COUNTIF('Horário - Graduação'!$C45:$AW45,"*"&amp;$C$1&amp;"*")+COUNTIF('Horário - Ensino Médio'!$C33:$Z33,"*"&amp;$C$1&amp;"*"))&gt;1,CONCAT("[CHOQUE] - ",IFERROR(HLOOKUP("*"&amp;$C$1&amp;"*",'Horário - Graduação'!$C45:$AW$65,$B5,FALSE),IFERROR(HLOOKUP("*"&amp;$C$1&amp;"*",'Horário - Ensino Médio'!$C33:$Z$47,$A5,FALSE),"Janela"))),IFERROR(HLOOKUP("*"&amp;$C$1&amp;"*",'Horário - Graduação'!$C45:$AW$65,$B5,FALSE),IFERROR(HLOOKUP("*"&amp;$C$1&amp;"*",'Horário - Ensino Médio'!$C33:$Z$47,$A5,FALSE),"Janela")))</f>
        <v>Janela</v>
      </c>
      <c r="G5" s="42" t="str">
        <f>IF((COUNTIF('Horário - Graduação'!$C66:$AW66,"*"&amp;$C$1&amp;"*")+COUNTIF('Horário - Ensino Médio'!$C48:$Z48,"*"&amp;$C$1&amp;"*"))&gt;1,CONCAT("[CHOQUE] - ",IFERROR(HLOOKUP("*"&amp;$C$1&amp;"*",'Horário - Graduação'!$C66:$AW$86,$B5,FALSE),IFERROR(HLOOKUP("*"&amp;$C$1&amp;"*",'Horário - Ensino Médio'!$C48:$Z$62,$A5,FALSE),"Janela"))),IFERROR(HLOOKUP("*"&amp;$C$1&amp;"*",'Horário - Graduação'!$C66:$AW$86,$B5,FALSE),IFERROR(HLOOKUP("*"&amp;$C$1&amp;"*",'Horário - Ensino Médio'!$C48:$Z$62,$A5,FALSE),"Janela")))</f>
        <v>Janela</v>
      </c>
      <c r="H5" s="42" t="str">
        <f>IF((COUNTIF('Horário - Graduação'!$C87:$AW87,"*"&amp;$C$1&amp;"*")+COUNTIF('Horário - Ensino Médio'!$C63:$Z63,"*"&amp;$C$1&amp;"*"))&gt;1,CONCAT("[CHOQUE] - ",IFERROR(HLOOKUP("*"&amp;$C$1&amp;"*",'Horário - Graduação'!$C87:$AW$107,$B5,FALSE),IFERROR(HLOOKUP("*"&amp;$C$1&amp;"*",'Horário - Ensino Médio'!$C63:$Z$77,$A5,FALSE),"Janela"))),IFERROR(HLOOKUP("*"&amp;$C$1&amp;"*",'Horário - Graduação'!$C87:$AW$107,$B5,FALSE),IFERROR(HLOOKUP("*"&amp;$C$1&amp;"*",'Horário - Ensino Médio'!$C63:$Z$77,$A5,FALSE),"Janela")))</f>
        <v>Janela</v>
      </c>
      <c r="I5" s="56"/>
      <c r="J5" s="32"/>
    </row>
    <row r="6" ht="25.5" customHeight="1">
      <c r="A6" s="25">
        <v>14.0</v>
      </c>
      <c r="B6" s="29">
        <v>20.0</v>
      </c>
      <c r="C6" s="35" t="s">
        <v>109</v>
      </c>
      <c r="D6" s="42" t="str">
        <f>IF((COUNTIF('Horário - Graduação'!$C4:$AW4,"*"&amp;$C$1&amp;"*")+COUNTIF('Horário - Ensino Médio'!$C4:$Z4,"*"&amp;$C$1&amp;"*"))&gt;1,CONCAT("[CHOQUE] - ",IFERROR(HLOOKUP("*"&amp;$C$1&amp;"*",'Horário - Graduação'!$C4:$AW$23,$B6,FALSE),IFERROR(HLOOKUP("*"&amp;$C$1&amp;"*",'Horário - Ensino Médio'!$C4:$Z$17,$A6,FALSE),"Janela"))),IFERROR(HLOOKUP("*"&amp;$C$1&amp;"*",'Horário - Graduação'!$C4:$AW$23,$B6,FALSE),IFERROR(HLOOKUP("*"&amp;$C$1&amp;"*",'Horário - Ensino Médio'!$C4:$Z$17,$A6,FALSE),"Janela")))</f>
        <v>Janela</v>
      </c>
      <c r="E6" s="42" t="str">
        <f>IF((COUNTIF('Horário - Graduação'!$C25:$AW25,"*"&amp;$C$1&amp;"*")+COUNTIF('Horário - Ensino Médio'!$C19:$Z19,"*"&amp;$C$1&amp;"*"))&gt;1,CONCAT("[CHOQUE] - ",IFERROR(HLOOKUP("*"&amp;$C$1&amp;"*",'Horário - Graduação'!$C25:$AW$44,$B6,FALSE),IFERROR(HLOOKUP("*"&amp;$C$1&amp;"*",'Horário - Ensino Médio'!$C19:$Z$32,$A6,FALSE),"Janela"))),IFERROR(HLOOKUP("*"&amp;$C$1&amp;"*",'Horário - Graduação'!$C25:$AW$44,$B6,FALSE),IFERROR(HLOOKUP("*"&amp;$C$1&amp;"*",'Horário - Ensino Médio'!$C19:$Z$32,$A6,FALSE),"Janela")))</f>
        <v>Janela</v>
      </c>
      <c r="F6" s="42" t="str">
        <f>IF((COUNTIF('Horário - Graduação'!$C46:$AW46,"*"&amp;$C$1&amp;"*")+COUNTIF('Horário - Ensino Médio'!$C34:$Z34,"*"&amp;$C$1&amp;"*"))&gt;1,CONCAT("[CHOQUE] - ",IFERROR(HLOOKUP("*"&amp;$C$1&amp;"*",'Horário - Graduação'!$C46:$AW$65,$B6,FALSE),IFERROR(HLOOKUP("*"&amp;$C$1&amp;"*",'Horário - Ensino Médio'!$C34:$Z$47,$A6,FALSE),"Janela"))),IFERROR(HLOOKUP("*"&amp;$C$1&amp;"*",'Horário - Graduação'!$C46:$AW$65,$B6,FALSE),IFERROR(HLOOKUP("*"&amp;$C$1&amp;"*",'Horário - Ensino Médio'!$C34:$Z$47,$A6,FALSE),"Janela")))</f>
        <v>Janela</v>
      </c>
      <c r="G6" s="42" t="str">
        <f>IF((COUNTIF('Horário - Graduação'!$C67:$AW67,"*"&amp;$C$1&amp;"*")+COUNTIF('Horário - Ensino Médio'!$C49:$Z49,"*"&amp;$C$1&amp;"*"))&gt;1,CONCAT("[CHOQUE] - ",IFERROR(HLOOKUP("*"&amp;$C$1&amp;"*",'Horário - Graduação'!$C67:$AW$86,$B6,FALSE),IFERROR(HLOOKUP("*"&amp;$C$1&amp;"*",'Horário - Ensino Médio'!$C49:$Z$62,$A6,FALSE),"Janela"))),IFERROR(HLOOKUP("*"&amp;$C$1&amp;"*",'Horário - Graduação'!$C67:$AW$86,$B6,FALSE),IFERROR(HLOOKUP("*"&amp;$C$1&amp;"*",'Horário - Ensino Médio'!$C49:$Z$62,$A6,FALSE),"Janela")))</f>
        <v>Janela</v>
      </c>
      <c r="H6" s="42" t="str">
        <f>IF((COUNTIF('Horário - Graduação'!$C88:$AW88,"*"&amp;$C$1&amp;"*")+COUNTIF('Horário - Ensino Médio'!$C64:$Z64,"*"&amp;$C$1&amp;"*"))&gt;1,CONCAT("[CHOQUE] - ",IFERROR(HLOOKUP("*"&amp;$C$1&amp;"*",'Horário - Graduação'!$C88:$AW$107,$B6,FALSE),IFERROR(HLOOKUP("*"&amp;$C$1&amp;"*",'Horário - Ensino Médio'!$C64:$Z$77,$A6,FALSE),"Janela"))),IFERROR(HLOOKUP("*"&amp;$C$1&amp;"*",'Horário - Graduação'!$C88:$AW$107,$B6,FALSE),IFERROR(HLOOKUP("*"&amp;$C$1&amp;"*",'Horário - Ensino Médio'!$C64:$Z$77,$A6,FALSE),"Janela")))</f>
        <v>Janela</v>
      </c>
      <c r="I6" s="56"/>
      <c r="J6" s="32"/>
    </row>
    <row r="7" ht="15.75" customHeight="1">
      <c r="A7" s="25">
        <v>13.0</v>
      </c>
      <c r="B7" s="29">
        <v>19.0</v>
      </c>
      <c r="C7" s="67" t="s">
        <v>111</v>
      </c>
      <c r="D7" s="69" t="s">
        <v>111</v>
      </c>
      <c r="E7" s="69" t="s">
        <v>111</v>
      </c>
      <c r="F7" s="69" t="s">
        <v>111</v>
      </c>
      <c r="G7" s="69" t="s">
        <v>111</v>
      </c>
      <c r="H7" s="69" t="s">
        <v>111</v>
      </c>
      <c r="I7" s="18"/>
      <c r="J7" s="71"/>
    </row>
    <row r="8" ht="25.5" customHeight="1">
      <c r="A8" s="25">
        <v>12.0</v>
      </c>
      <c r="B8" s="29">
        <v>18.0</v>
      </c>
      <c r="C8" s="35" t="s">
        <v>113</v>
      </c>
      <c r="D8" s="42" t="str">
        <f>IF((COUNTIF('Horário - Graduação'!$C6:$AW6,"*"&amp;$C$1&amp;"*")+COUNTIF('Horário - Ensino Médio'!$C6:$Z6,"*"&amp;$C$1&amp;"*"))&gt;1,CONCAT("[CHOQUE] - ",IFERROR(HLOOKUP("*"&amp;$C$1&amp;"*",'Horário - Graduação'!$C6:$AW$23,$B8,FALSE),IFERROR(HLOOKUP("*"&amp;$C$1&amp;"*",'Horário - Ensino Médio'!$C6:$Z$17,$A8,FALSE),"Janela"))),IFERROR(HLOOKUP("*"&amp;$C$1&amp;"*",'Horário - Graduação'!$C6:$AW$23,$B8,FALSE),IFERROR(HLOOKUP("*"&amp;$C$1&amp;"*",'Horário - Ensino Médio'!$C6:$Z$17,$A8,FALSE),"Janela")))</f>
        <v>Janela</v>
      </c>
      <c r="E8" s="42" t="str">
        <f>IF((COUNTIF('Horário - Graduação'!$C27:$AW27,"*"&amp;$C$1&amp;"*")+COUNTIF('Horário - Ensino Médio'!$C21:$Z21,"*"&amp;$C$1&amp;"*"))&gt;1,CONCAT("[CHOQUE] - ",IFERROR(HLOOKUP("*"&amp;$C$1&amp;"*",'Horário - Graduação'!$C27:$AW$44,$B8,FALSE),IFERROR(HLOOKUP("*"&amp;$C$1&amp;"*",'Horário - Ensino Médio'!$C21:$Z$32,$A8,FALSE),"Janela"))),IFERROR(HLOOKUP("*"&amp;$C$1&amp;"*",'Horário - Graduação'!$C27:$AW$44,$B8,FALSE),IFERROR(HLOOKUP("*"&amp;$C$1&amp;"*",'Horário - Ensino Médio'!$C21:$Z$32,$A8,FALSE),"Janela")))</f>
        <v>Janela</v>
      </c>
      <c r="F8" s="42" t="str">
        <f>IF((COUNTIF('Horário - Graduação'!$C48:$AW48,"*"&amp;$C$1&amp;"*")+COUNTIF('Horário - Ensino Médio'!$C36:$Z36,"*"&amp;$C$1&amp;"*"))&gt;1,CONCAT("[CHOQUE] - ",IFERROR(HLOOKUP("*"&amp;$C$1&amp;"*",'Horário - Graduação'!$C48:$AW$65,$B8,FALSE),IFERROR(HLOOKUP("*"&amp;$C$1&amp;"*",'Horário - Ensino Médio'!$C36:$Z$47,$A8,FALSE),"Janela"))),IFERROR(HLOOKUP("*"&amp;$C$1&amp;"*",'Horário - Graduação'!$C48:$AW$65,$B8,FALSE),IFERROR(HLOOKUP("*"&amp;$C$1&amp;"*",'Horário - Ensino Médio'!$C36:$Z$47,$A8,FALSE),"Janela")))</f>
        <v>Janela</v>
      </c>
      <c r="G8" s="42" t="str">
        <f>IF((COUNTIF('Horário - Graduação'!$C69:$AW69,"*"&amp;$C$1&amp;"*")+COUNTIF('Horário - Ensino Médio'!$C51:$Z51,"*"&amp;$C$1&amp;"*"))&gt;1,CONCAT("[CHOQUE] - ",IFERROR(HLOOKUP("*"&amp;$C$1&amp;"*",'Horário - Graduação'!$C69:$AW$86,$B8,FALSE),IFERROR(HLOOKUP("*"&amp;$C$1&amp;"*",'Horário - Ensino Médio'!$C51:$Z$62,$A8,FALSE),"Janela"))),IFERROR(HLOOKUP("*"&amp;$C$1&amp;"*",'Horário - Graduação'!$C69:$AW$86,$B8,FALSE),IFERROR(HLOOKUP("*"&amp;$C$1&amp;"*",'Horário - Ensino Médio'!$C51:$Z$62,$A8,FALSE),"Janela")))</f>
        <v>Janela</v>
      </c>
      <c r="H8" s="42" t="str">
        <f>IF((COUNTIF('Horário - Graduação'!$C90:$AW90,"*"&amp;$C$1&amp;"*")+COUNTIF('Horário - Ensino Médio'!$C66:$Z66,"*"&amp;$C$1&amp;"*"))&gt;1,CONCAT("[CHOQUE] - ",IFERROR(HLOOKUP("*"&amp;$C$1&amp;"*",'Horário - Graduação'!$C90:$AW$107,$B8,FALSE),IFERROR(HLOOKUP("*"&amp;$C$1&amp;"*",'Horário - Ensino Médio'!$C66:$Z$77,$A8,FALSE),"Janela"))),IFERROR(HLOOKUP("*"&amp;$C$1&amp;"*",'Horário - Graduação'!$C90:$AW$107,$B8,FALSE),IFERROR(HLOOKUP("*"&amp;$C$1&amp;"*",'Horário - Ensino Médio'!$C66:$Z$77,$A8,FALSE),"Janela")))</f>
        <v>Janela</v>
      </c>
      <c r="I8" s="56"/>
      <c r="J8" s="82"/>
    </row>
    <row r="9" ht="25.5" customHeight="1">
      <c r="A9" s="25">
        <v>11.0</v>
      </c>
      <c r="B9" s="29">
        <v>17.0</v>
      </c>
      <c r="C9" s="35" t="s">
        <v>120</v>
      </c>
      <c r="D9" s="42" t="str">
        <f>IF((COUNTIF('Horário - Graduação'!$C7:$AW7,"*"&amp;$C$1&amp;"*")+COUNTIF('Horário - Ensino Médio'!$C7:$Z7,"*"&amp;$C$1&amp;"*"))&gt;1,CONCAT("[CHOQUE] - ",IFERROR(HLOOKUP("*"&amp;$C$1&amp;"*",'Horário - Graduação'!$C7:$AW$23,$B9,FALSE),IFERROR(HLOOKUP("*"&amp;$C$1&amp;"*",'Horário - Ensino Médio'!$C7:$Z$17,$A9,FALSE),"Janela"))),IFERROR(HLOOKUP("*"&amp;$C$1&amp;"*",'Horário - Graduação'!$C7:$AW$23,$B9,FALSE),IFERROR(HLOOKUP("*"&amp;$C$1&amp;"*",'Horário - Ensino Médio'!$C7:$Z$17,$A9,FALSE),"Janela")))</f>
        <v>Janela</v>
      </c>
      <c r="E9" s="42" t="str">
        <f>IF((COUNTIF('Horário - Graduação'!$C28:$AW28,"*"&amp;$C$1&amp;"*")+COUNTIF('Horário - Ensino Médio'!$C22:$Z22,"*"&amp;$C$1&amp;"*"))&gt;1,CONCAT("[CHOQUE] - ",IFERROR(HLOOKUP("*"&amp;$C$1&amp;"*",'Horário - Graduação'!$C28:$AW$44,$B9,FALSE),IFERROR(HLOOKUP("*"&amp;$C$1&amp;"*",'Horário - Ensino Médio'!$C22:$Z$32,$A9,FALSE),"Janela"))),IFERROR(HLOOKUP("*"&amp;$C$1&amp;"*",'Horário - Graduação'!$C28:$AW$44,$B9,FALSE),IFERROR(HLOOKUP("*"&amp;$C$1&amp;"*",'Horário - Ensino Médio'!$C22:$Z$32,$A9,FALSE),"Janela")))</f>
        <v>Janela</v>
      </c>
      <c r="F9" s="42" t="str">
        <f>IF((COUNTIF('Horário - Graduação'!$C49:$AW49,"*"&amp;$C$1&amp;"*")+COUNTIF('Horário - Ensino Médio'!$C37:$Z37,"*"&amp;$C$1&amp;"*"))&gt;1,CONCAT("[CHOQUE] - ",IFERROR(HLOOKUP("*"&amp;$C$1&amp;"*",'Horário - Graduação'!$C49:$AW$65,$B9,FALSE),IFERROR(HLOOKUP("*"&amp;$C$1&amp;"*",'Horário - Ensino Médio'!$C37:$Z$47,$A9,FALSE),"Janela"))),IFERROR(HLOOKUP("*"&amp;$C$1&amp;"*",'Horário - Graduação'!$C49:$AW$65,$B9,FALSE),IFERROR(HLOOKUP("*"&amp;$C$1&amp;"*",'Horário - Ensino Médio'!$C37:$Z$47,$A9,FALSE),"Janela")))</f>
        <v>Janela</v>
      </c>
      <c r="G9" s="42" t="str">
        <f>IF((COUNTIF('Horário - Graduação'!$C70:$AW70,"*"&amp;$C$1&amp;"*")+COUNTIF('Horário - Ensino Médio'!$C52:$Z52,"*"&amp;$C$1&amp;"*"))&gt;1,CONCAT("[CHOQUE] - ",IFERROR(HLOOKUP("*"&amp;$C$1&amp;"*",'Horário - Graduação'!$C70:$AW$86,$B9,FALSE),IFERROR(HLOOKUP("*"&amp;$C$1&amp;"*",'Horário - Ensino Médio'!$C52:$Z$62,$A9,FALSE),"Janela"))),IFERROR(HLOOKUP("*"&amp;$C$1&amp;"*",'Horário - Graduação'!$C70:$AW$86,$B9,FALSE),IFERROR(HLOOKUP("*"&amp;$C$1&amp;"*",'Horário - Ensino Médio'!$C52:$Z$62,$A9,FALSE),"Janela")))</f>
        <v>Janela</v>
      </c>
      <c r="H9" s="42" t="str">
        <f>IF((COUNTIF('Horário - Graduação'!$C91:$AW91,"*"&amp;$C$1&amp;"*")+COUNTIF('Horário - Ensino Médio'!$C67:$Z67,"*"&amp;$C$1&amp;"*"))&gt;1,CONCAT("[CHOQUE] - ",IFERROR(HLOOKUP("*"&amp;$C$1&amp;"*",'Horário - Graduação'!$C91:$AW$107,$B9,FALSE),IFERROR(HLOOKUP("*"&amp;$C$1&amp;"*",'Horário - Ensino Médio'!$C67:$Z$77,$A9,FALSE),"Janela"))),IFERROR(HLOOKUP("*"&amp;$C$1&amp;"*",'Horário - Graduação'!$C91:$AW$107,$B9,FALSE),IFERROR(HLOOKUP("*"&amp;$C$1&amp;"*",'Horário - Ensino Médio'!$C67:$Z$77,$A9,FALSE),"Janela")))</f>
        <v>Janela</v>
      </c>
      <c r="I9" s="56"/>
      <c r="J9" s="71"/>
    </row>
    <row r="10" ht="25.5" customHeight="1">
      <c r="A10" s="25">
        <v>10.0</v>
      </c>
      <c r="B10" s="29">
        <v>16.0</v>
      </c>
      <c r="C10" s="35" t="s">
        <v>121</v>
      </c>
      <c r="D10" s="42" t="str">
        <f>IF((COUNTIF('Horário - Graduação'!$C8:$AW8,"*"&amp;$C$1&amp;"*")+COUNTIF('Horário - Ensino Médio'!$C8:$Z8,"*"&amp;$C$1&amp;"*"))&gt;1,CONCAT("[CHOQUE] - ",IFERROR(HLOOKUP("*"&amp;$C$1&amp;"*",'Horário - Graduação'!$C8:$AW$23,$B10,FALSE),IFERROR(HLOOKUP("*"&amp;$C$1&amp;"*",'Horário - Ensino Médio'!$C8:$Z$17,$A10,FALSE),"Janela"))),IFERROR(HLOOKUP("*"&amp;$C$1&amp;"*",'Horário - Graduação'!$C8:$AW$23,$B10,FALSE),IFERROR(HLOOKUP("*"&amp;$C$1&amp;"*",'Horário - Ensino Médio'!$C8:$Z$17,$A10,FALSE),"Janela")))</f>
        <v>Janela</v>
      </c>
      <c r="E10" s="42" t="str">
        <f>IF((COUNTIF('Horário - Graduação'!$C29:$AW29,"*"&amp;$C$1&amp;"*")+COUNTIF('Horário - Ensino Médio'!$C23:$Z23,"*"&amp;$C$1&amp;"*"))&gt;1,CONCAT("[CHOQUE] - ",IFERROR(HLOOKUP("*"&amp;$C$1&amp;"*",'Horário - Graduação'!$C29:$AW$44,$B10,FALSE),IFERROR(HLOOKUP("*"&amp;$C$1&amp;"*",'Horário - Ensino Médio'!$C23:$Z$32,$A10,FALSE),"Janela"))),IFERROR(HLOOKUP("*"&amp;$C$1&amp;"*",'Horário - Graduação'!$C29:$AW$44,$B10,FALSE),IFERROR(HLOOKUP("*"&amp;$C$1&amp;"*",'Horário - Ensino Médio'!$C23:$Z$32,$A10,FALSE),"Janela")))</f>
        <v>Janela</v>
      </c>
      <c r="F10" s="42" t="str">
        <f>IF((COUNTIF('Horário - Graduação'!$C50:$AW50,"*"&amp;$C$1&amp;"*")+COUNTIF('Horário - Ensino Médio'!$C38:$Z38,"*"&amp;$C$1&amp;"*"))&gt;1,CONCAT("[CHOQUE] - ",IFERROR(HLOOKUP("*"&amp;$C$1&amp;"*",'Horário - Graduação'!$C50:$AW$65,$B10,FALSE),IFERROR(HLOOKUP("*"&amp;$C$1&amp;"*",'Horário - Ensino Médio'!$C38:$Z$47,$A10,FALSE),"Janela"))),IFERROR(HLOOKUP("*"&amp;$C$1&amp;"*",'Horário - Graduação'!$C50:$AW$65,$B10,FALSE),IFERROR(HLOOKUP("*"&amp;$C$1&amp;"*",'Horário - Ensino Médio'!$C38:$Z$47,$A10,FALSE),"Janela")))</f>
        <v>Janela</v>
      </c>
      <c r="G10" s="42" t="str">
        <f>IF((COUNTIF('Horário - Graduação'!$C71:$AW71,"*"&amp;$C$1&amp;"*")+COUNTIF('Horário - Ensino Médio'!$C53:$Z53,"*"&amp;$C$1&amp;"*"))&gt;1,CONCAT("[CHOQUE] - ",IFERROR(HLOOKUP("*"&amp;$C$1&amp;"*",'Horário - Graduação'!$C71:$AW$86,$B10,FALSE),IFERROR(HLOOKUP("*"&amp;$C$1&amp;"*",'Horário - Ensino Médio'!$C53:$Z$62,$A10,FALSE),"Janela"))),IFERROR(HLOOKUP("*"&amp;$C$1&amp;"*",'Horário - Graduação'!$C71:$AW$86,$B10,FALSE),IFERROR(HLOOKUP("*"&amp;$C$1&amp;"*",'Horário - Ensino Médio'!$C53:$Z$62,$A10,FALSE),"Janela")))</f>
        <v>Janela</v>
      </c>
      <c r="H10" s="42" t="str">
        <f>IF((COUNTIF('Horário - Graduação'!$C92:$AW92,"*"&amp;$C$1&amp;"*")+COUNTIF('Horário - Ensino Médio'!$C68:$Z68,"*"&amp;$C$1&amp;"*"))&gt;1,CONCAT("[CHOQUE] - ",IFERROR(HLOOKUP("*"&amp;$C$1&amp;"*",'Horário - Graduação'!$C92:$AW$107,$B10,FALSE),IFERROR(HLOOKUP("*"&amp;$C$1&amp;"*",'Horário - Ensino Médio'!$C68:$Z$77,$A10,FALSE),"Janela"))),IFERROR(HLOOKUP("*"&amp;$C$1&amp;"*",'Horário - Graduação'!$C92:$AW$107,$B10,FALSE),IFERROR(HLOOKUP("*"&amp;$C$1&amp;"*",'Horário - Ensino Médio'!$C68:$Z$77,$A10,FALSE),"Janela")))</f>
        <v>Janela</v>
      </c>
      <c r="I10" s="56"/>
      <c r="J10" s="71"/>
    </row>
    <row r="11" ht="15.75" customHeight="1">
      <c r="A11" s="25">
        <v>9.0</v>
      </c>
      <c r="B11" s="29">
        <v>15.0</v>
      </c>
      <c r="C11" s="67" t="s">
        <v>124</v>
      </c>
      <c r="D11" s="69" t="s">
        <v>124</v>
      </c>
      <c r="E11" s="69" t="s">
        <v>124</v>
      </c>
      <c r="F11" s="69" t="s">
        <v>124</v>
      </c>
      <c r="G11" s="69" t="s">
        <v>124</v>
      </c>
      <c r="H11" s="69" t="s">
        <v>124</v>
      </c>
      <c r="I11" s="18"/>
      <c r="J11" s="71"/>
    </row>
    <row r="12" ht="25.5" customHeight="1">
      <c r="A12" s="25">
        <v>8.0</v>
      </c>
      <c r="B12" s="29">
        <v>14.0</v>
      </c>
      <c r="C12" s="35" t="s">
        <v>126</v>
      </c>
      <c r="D12" s="42" t="str">
        <f>IF((COUNTIF('Horário - Graduação'!$C10:$AW10,"*"&amp;$C$1&amp;"*")+COUNTIF('Horário - Ensino Médio'!$C10:$Z10,"*"&amp;$C$1&amp;"*"))&gt;1,CONCAT("[CHOQUE] - ",IFERROR(HLOOKUP("*"&amp;$C$1&amp;"*",'Horário - Graduação'!$C10:$AW$23,$B12,FALSE),IFERROR(HLOOKUP("*"&amp;$C$1&amp;"*",'Horário - Ensino Médio'!$C10:$Z$17,$A12,FALSE),"Janela"))),IFERROR(HLOOKUP("*"&amp;$C$1&amp;"*",'Horário - Graduação'!$C10:$AW$23,$B12,FALSE),IFERROR(HLOOKUP("*"&amp;$C$1&amp;"*",'Horário - Ensino Médio'!$C10:$Z$17,$A12,FALSE),"Janela")))</f>
        <v>Janela</v>
      </c>
      <c r="E12" s="42" t="str">
        <f>IF((COUNTIF('Horário - Graduação'!$C31:$AW31,"*"&amp;$C$1&amp;"*")+COUNTIF('Horário - Ensino Médio'!$C25:$Z25,"*"&amp;$C$1&amp;"*"))&gt;1,CONCAT("[CHOQUE] - ",IFERROR(HLOOKUP("*"&amp;$C$1&amp;"*",'Horário - Graduação'!$C31:$AW$44,$B12,FALSE),IFERROR(HLOOKUP("*"&amp;$C$1&amp;"*",'Horário - Ensino Médio'!$C25:$Z$32,$A12,FALSE),"Janela"))),IFERROR(HLOOKUP("*"&amp;$C$1&amp;"*",'Horário - Graduação'!$C31:$AW$44,$B12,FALSE),IFERROR(HLOOKUP("*"&amp;$C$1&amp;"*",'Horário - Ensino Médio'!$C25:$Z$32,$A12,FALSE),"Janela")))</f>
        <v>Janela</v>
      </c>
      <c r="F12" s="42" t="str">
        <f>IF((COUNTIF('Horário - Graduação'!$C52:$AW52,"*"&amp;$C$1&amp;"*")+COUNTIF('Horário - Ensino Médio'!$C40:$Z40,"*"&amp;$C$1&amp;"*"))&gt;1,CONCAT("[CHOQUE] - ",IFERROR(HLOOKUP("*"&amp;$C$1&amp;"*",'Horário - Graduação'!$C52:$AW$65,$B12,FALSE),IFERROR(HLOOKUP("*"&amp;$C$1&amp;"*",'Horário - Ensino Médio'!$C40:$Z$47,$A12,FALSE),"Janela"))),IFERROR(HLOOKUP("*"&amp;$C$1&amp;"*",'Horário - Graduação'!$C52:$AW$65,$B12,FALSE),IFERROR(HLOOKUP("*"&amp;$C$1&amp;"*",'Horário - Ensino Médio'!$C40:$Z$47,$A12,FALSE),"Janela")))</f>
        <v>Janela</v>
      </c>
      <c r="G12" s="42" t="str">
        <f>IF((COUNTIF('Horário - Graduação'!$C73:$AW73,"*"&amp;$C$1&amp;"*")+COUNTIF('Horário - Ensino Médio'!$C55:$Z55,"*"&amp;$C$1&amp;"*"))&gt;1,CONCAT("[CHOQUE] - ",IFERROR(HLOOKUP("*"&amp;$C$1&amp;"*",'Horário - Graduação'!$C73:$AW$86,$B12,FALSE),IFERROR(HLOOKUP("*"&amp;$C$1&amp;"*",'Horário - Ensino Médio'!$C55:$Z$62,$A12,FALSE),"Janela"))),IFERROR(HLOOKUP("*"&amp;$C$1&amp;"*",'Horário - Graduação'!$C73:$AW$86,$B12,FALSE),IFERROR(HLOOKUP("*"&amp;$C$1&amp;"*",'Horário - Ensino Médio'!$C55:$Z$62,$A12,FALSE),"Janela")))</f>
        <v>Janela</v>
      </c>
      <c r="H12" s="42" t="str">
        <f>IF((COUNTIF('Horário - Graduação'!$C94:$AW94,"*"&amp;$C$1&amp;"*")+COUNTIF(#REF!,"*"&amp;$C$1&amp;"*"))&gt;1,CONCAT("[CHOQUE] - ",IFERROR(HLOOKUP("*"&amp;$C$1&amp;"*",'Horário - Graduação'!$C94:$AW$107,$B12,FALSE),IFERROR(HLOOKUP("*"&amp;$C$1&amp;"*",'Horário - Ensino Médio'!$C75:$Z$77,$A12,FALSE),"Janela"))),IFERROR(HLOOKUP("*"&amp;$C$1&amp;"*",'Horário - Graduação'!$C94:$AW$107,$B12,FALSE),IFERROR(HLOOKUP("*"&amp;$C$1&amp;"*",'Horário - Ensino Médio'!$C75:$Z$77,$A12,FALSE),"Janela")))</f>
        <v>#REF!</v>
      </c>
      <c r="I12" s="56"/>
      <c r="J12" s="82"/>
    </row>
    <row r="13" ht="25.5" customHeight="1">
      <c r="A13" s="25">
        <v>7.0</v>
      </c>
      <c r="B13" s="29">
        <v>13.0</v>
      </c>
      <c r="C13" s="35" t="s">
        <v>138</v>
      </c>
      <c r="D13" s="42" t="str">
        <f>IF((COUNTIF('Horário - Graduação'!$C11:$AW11,"*"&amp;$C$1&amp;"*")+COUNTIF('Horário - Ensino Médio'!$C11:$Z11,"*"&amp;$C$1&amp;"*"))&gt;1,CONCAT("[CHOQUE] - ",IFERROR(HLOOKUP("*"&amp;$C$1&amp;"*",'Horário - Graduação'!$C11:$AW$23,$B13,FALSE),IFERROR(HLOOKUP("*"&amp;$C$1&amp;"*",'Horário - Ensino Médio'!$C11:$Z$17,$A13,FALSE),"Janela"))),IFERROR(HLOOKUP("*"&amp;$C$1&amp;"*",'Horário - Graduação'!$C11:$AW$23,$B13,FALSE),IFERROR(HLOOKUP("*"&amp;$C$1&amp;"*",'Horário - Ensino Médio'!$C11:$Z$17,$A13,FALSE),"Janela")))</f>
        <v>Janela</v>
      </c>
      <c r="E13" s="42" t="str">
        <f>IF((COUNTIF('Horário - Graduação'!$C32:$AW32,"*"&amp;$C$1&amp;"*")+COUNTIF('Horário - Ensino Médio'!$C26:$Z26,"*"&amp;$C$1&amp;"*"))&gt;1,CONCAT("[CHOQUE] - ",IFERROR(HLOOKUP("*"&amp;$C$1&amp;"*",'Horário - Graduação'!$C32:$AW$44,$B13,FALSE),IFERROR(HLOOKUP("*"&amp;$C$1&amp;"*",'Horário - Ensino Médio'!$C26:$Z$32,$A13,FALSE),"Janela"))),IFERROR(HLOOKUP("*"&amp;$C$1&amp;"*",'Horário - Graduação'!$C32:$AW$44,$B13,FALSE),IFERROR(HLOOKUP("*"&amp;$C$1&amp;"*",'Horário - Ensino Médio'!$C26:$Z$32,$A13,FALSE),"Janela")))</f>
        <v>Janela</v>
      </c>
      <c r="F13" s="42" t="str">
        <f>IF((COUNTIF('Horário - Graduação'!$C53:$AW53,"*"&amp;$C$1&amp;"*")+COUNTIF('Horário - Ensino Médio'!$C41:$Z41,"*"&amp;$C$1&amp;"*"))&gt;1,CONCAT("[CHOQUE] - ",IFERROR(HLOOKUP("*"&amp;$C$1&amp;"*",'Horário - Graduação'!$C53:$AW$65,$B13,FALSE),IFERROR(HLOOKUP("*"&amp;$C$1&amp;"*",'Horário - Ensino Médio'!$C41:$Z$47,$A13,FALSE),"Janela"))),IFERROR(HLOOKUP("*"&amp;$C$1&amp;"*",'Horário - Graduação'!$C53:$AW$65,$B13,FALSE),IFERROR(HLOOKUP("*"&amp;$C$1&amp;"*",'Horário - Ensino Médio'!$C41:$Z$47,$A13,FALSE),"Janela")))</f>
        <v>Janela</v>
      </c>
      <c r="G13" s="42" t="str">
        <f>IF((COUNTIF('Horário - Graduação'!$C74:$AW74,"*"&amp;$C$1&amp;"*")+COUNTIF('Horário - Ensino Médio'!$C56:$Z56,"*"&amp;$C$1&amp;"*"))&gt;1,CONCAT("[CHOQUE] - ",IFERROR(HLOOKUP("*"&amp;$C$1&amp;"*",'Horário - Graduação'!$C74:$AW$86,$B13,FALSE),IFERROR(HLOOKUP("*"&amp;$C$1&amp;"*",'Horário - Ensino Médio'!$C56:$Z$62,$A13,FALSE),"Janela"))),IFERROR(HLOOKUP("*"&amp;$C$1&amp;"*",'Horário - Graduação'!$C74:$AW$86,$B13,FALSE),IFERROR(HLOOKUP("*"&amp;$C$1&amp;"*",'Horário - Ensino Médio'!$C56:$Z$62,$A13,FALSE),"Janela")))</f>
        <v>Janela</v>
      </c>
      <c r="H13" s="42" t="str">
        <f>IF((COUNTIF('Horário - Graduação'!$C95:$AW95,"*"&amp;$C$1&amp;"*")+COUNTIF(#REF!,"*"&amp;$C$1&amp;"*"))&gt;1,CONCAT("[CHOQUE] - ",IFERROR(HLOOKUP("*"&amp;$C$1&amp;"*",'Horário - Graduação'!$C95:$AW$107,$B13,FALSE),IFERROR(HLOOKUP("*"&amp;$C$1&amp;"*",'Horário - Ensino Médio'!$C75:$Z$77,$A13,FALSE),"Janela"))),IFERROR(HLOOKUP("*"&amp;$C$1&amp;"*",'Horário - Graduação'!$C95:$AW$107,$B13,FALSE),IFERROR(HLOOKUP("*"&amp;$C$1&amp;"*",'Horário - Ensino Médio'!$C75:$Z$77,$A13,FALSE),"Janela")))</f>
        <v>#REF!</v>
      </c>
      <c r="I13" s="56"/>
      <c r="J13" s="71"/>
    </row>
    <row r="14" ht="15.75" customHeight="1">
      <c r="A14" s="25">
        <v>6.0</v>
      </c>
      <c r="B14" s="29">
        <v>12.0</v>
      </c>
      <c r="C14" s="67" t="s">
        <v>111</v>
      </c>
      <c r="D14" s="69" t="s">
        <v>111</v>
      </c>
      <c r="E14" s="69" t="s">
        <v>111</v>
      </c>
      <c r="F14" s="69" t="s">
        <v>111</v>
      </c>
      <c r="G14" s="69" t="s">
        <v>111</v>
      </c>
      <c r="H14" s="69" t="s">
        <v>111</v>
      </c>
      <c r="I14" s="18"/>
      <c r="J14" s="71"/>
    </row>
    <row r="15" ht="25.5" customHeight="1">
      <c r="A15" s="25">
        <v>5.0</v>
      </c>
      <c r="B15" s="29">
        <v>11.0</v>
      </c>
      <c r="C15" s="35" t="s">
        <v>141</v>
      </c>
      <c r="D15" s="42" t="str">
        <f>IF((COUNTIF('Horário - Graduação'!$C13:$AW13,"*"&amp;$C$1&amp;"*")+COUNTIF('Horário - Ensino Médio'!$C13:$Z13,"*"&amp;$C$1&amp;"*"))&gt;1,CONCAT("[CHOQUE] - ",IFERROR(HLOOKUP("*"&amp;$C$1&amp;"*",'Horário - Graduação'!$C13:$AW$23,$B15,FALSE),IFERROR(HLOOKUP("*"&amp;$C$1&amp;"*",'Horário - Ensino Médio'!$C13:$Z$17,$A15,FALSE),"Janela"))),IFERROR(HLOOKUP("*"&amp;$C$1&amp;"*",'Horário - Graduação'!$C13:$AW$23,$B15,FALSE),IFERROR(HLOOKUP("*"&amp;$C$1&amp;"*",'Horário - Ensino Médio'!$C13:$Z$17,$A15,FALSE),"Janela")))</f>
        <v>Janela</v>
      </c>
      <c r="E15" s="42" t="str">
        <f>IF((COUNTIF('Horário - Graduação'!$C34:$AW34,"*"&amp;$C$1&amp;"*")+COUNTIF('Horário - Ensino Médio'!$C28:$Z28,"*"&amp;$C$1&amp;"*"))&gt;1,CONCAT("[CHOQUE] - ",IFERROR(HLOOKUP("*"&amp;$C$1&amp;"*",'Horário - Graduação'!$C34:$AW$44,$B15,FALSE),IFERROR(HLOOKUP("*"&amp;$C$1&amp;"*",'Horário - Ensino Médio'!$C28:$Z$32,$A15,FALSE),"Janela"))),IFERROR(HLOOKUP("*"&amp;$C$1&amp;"*",'Horário - Graduação'!$C34:$AW$44,$B15,FALSE),IFERROR(HLOOKUP("*"&amp;$C$1&amp;"*",'Horário - Ensino Médio'!$C28:$Z$32,$A15,FALSE),"Janela")))</f>
        <v>Janela</v>
      </c>
      <c r="F15" s="42" t="str">
        <f>IF((COUNTIF('Horário - Graduação'!$C55:$AW55,"*"&amp;$C$1&amp;"*")+COUNTIF('Horário - Ensino Médio'!$C43:$Z43,"*"&amp;$C$1&amp;"*"))&gt;1,CONCAT("[CHOQUE] - ",IFERROR(HLOOKUP("*"&amp;$C$1&amp;"*",'Horário - Graduação'!$C55:$AW$65,$B15,FALSE),IFERROR(HLOOKUP("*"&amp;$C$1&amp;"*",'Horário - Ensino Médio'!$C43:$Z$47,$A15,FALSE),"Janela"))),IFERROR(HLOOKUP("*"&amp;$C$1&amp;"*",'Horário - Graduação'!$C55:$AW$65,$B15,FALSE),IFERROR(HLOOKUP("*"&amp;$C$1&amp;"*",'Horário - Ensino Médio'!$C43:$Z$47,$A15,FALSE),"Janela")))</f>
        <v>Janela</v>
      </c>
      <c r="G15" s="42" t="str">
        <f>IF((COUNTIF('Horário - Graduação'!$C76:$AW76,"*"&amp;$C$1&amp;"*")+COUNTIF('Horário - Ensino Médio'!$C58:$Z58,"*"&amp;$C$1&amp;"*"))&gt;1,CONCAT("[CHOQUE] - ",IFERROR(HLOOKUP("*"&amp;$C$1&amp;"*",'Horário - Graduação'!$C76:$AW$86,$B15,FALSE),IFERROR(HLOOKUP("*"&amp;$C$1&amp;"*",'Horário - Ensino Médio'!$C58:$Z$62,$A15,FALSE),"Janela"))),IFERROR(HLOOKUP("*"&amp;$C$1&amp;"*",'Horário - Graduação'!$C76:$AW$86,$B15,FALSE),IFERROR(HLOOKUP("*"&amp;$C$1&amp;"*",'Horário - Ensino Médio'!$C58:$Z$62,$A15,FALSE),"Janela")))</f>
        <v>Janela</v>
      </c>
      <c r="H15" s="42" t="str">
        <f>IF((COUNTIF('Horário - Graduação'!$C97:$AW97,"*"&amp;$C$1&amp;"*")+COUNTIF(#REF!,"*"&amp;$C$1&amp;"*"))&gt;1,CONCAT("[CHOQUE] - ",IFERROR(HLOOKUP("*"&amp;$C$1&amp;"*",'Horário - Graduação'!$C97:$AW$107,$B15,FALSE),IFERROR(HLOOKUP("*"&amp;$C$1&amp;"*",'Horário - Ensino Médio'!$C75:$Z$77,$A15,FALSE),"Janela"))),IFERROR(HLOOKUP("*"&amp;$C$1&amp;"*",'Horário - Graduação'!$C97:$AW$107,$B15,FALSE),IFERROR(HLOOKUP("*"&amp;$C$1&amp;"*",'Horário - Ensino Médio'!$C75:$Z$77,$A15,FALSE),"Janela")))</f>
        <v>#REF!</v>
      </c>
      <c r="I15" s="56"/>
      <c r="J15" s="71"/>
    </row>
    <row r="16" ht="25.5" customHeight="1">
      <c r="A16" s="25">
        <v>4.0</v>
      </c>
      <c r="B16" s="29">
        <v>10.0</v>
      </c>
      <c r="C16" s="35" t="s">
        <v>154</v>
      </c>
      <c r="D16" s="42" t="str">
        <f>IF((COUNTIF('Horário - Graduação'!$C14:$AW14,"*"&amp;$C$1&amp;"*")+COUNTIF('Horário - Ensino Médio'!$C14:$Z14,"*"&amp;$C$1&amp;"*"))&gt;1,CONCAT("[CHOQUE] - ",IFERROR(HLOOKUP("*"&amp;$C$1&amp;"*",'Horário - Graduação'!$C14:$AW$23,$B16,FALSE),IFERROR(HLOOKUP("*"&amp;$C$1&amp;"*",'Horário - Ensino Médio'!$C14:$Z$17,$A16,FALSE),"Janela"))),IFERROR(HLOOKUP("*"&amp;$C$1&amp;"*",'Horário - Graduação'!$C14:$AW$23,$B16,FALSE),IFERROR(HLOOKUP("*"&amp;$C$1&amp;"*",'Horário - Ensino Médio'!$C14:$Z$17,$A16,FALSE),"Janela")))</f>
        <v>Janela</v>
      </c>
      <c r="E16" s="42" t="str">
        <f>IF((COUNTIF('Horário - Graduação'!$C35:$AW35,"*"&amp;$C$1&amp;"*")+COUNTIF('Horário - Ensino Médio'!$C29:$Z29,"*"&amp;$C$1&amp;"*"))&gt;1,CONCAT("[CHOQUE] - ",IFERROR(HLOOKUP("*"&amp;$C$1&amp;"*",'Horário - Graduação'!$C35:$AW$44,$B16,FALSE),IFERROR(HLOOKUP("*"&amp;$C$1&amp;"*",'Horário - Ensino Médio'!$C29:$Z$32,$A16,FALSE),"Janela"))),IFERROR(HLOOKUP("*"&amp;$C$1&amp;"*",'Horário - Graduação'!$C35:$AW$44,$B16,FALSE),IFERROR(HLOOKUP("*"&amp;$C$1&amp;"*",'Horário - Ensino Médio'!$C29:$Z$32,$A16,FALSE),"Janela")))</f>
        <v>Janela</v>
      </c>
      <c r="F16" s="42" t="str">
        <f>IF((COUNTIF('Horário - Graduação'!$C56:$AW56,"*"&amp;$C$1&amp;"*")+COUNTIF('Horário - Ensino Médio'!$C44:$Z44,"*"&amp;$C$1&amp;"*"))&gt;1,CONCAT("[CHOQUE] - ",IFERROR(HLOOKUP("*"&amp;$C$1&amp;"*",'Horário - Graduação'!$C56:$AW$65,$B16,FALSE),IFERROR(HLOOKUP("*"&amp;$C$1&amp;"*",'Horário - Ensino Médio'!$C44:$Z$47,$A16,FALSE),"Janela"))),IFERROR(HLOOKUP("*"&amp;$C$1&amp;"*",'Horário - Graduação'!$C56:$AW$65,$B16,FALSE),IFERROR(HLOOKUP("*"&amp;$C$1&amp;"*",'Horário - Ensino Médio'!$C44:$Z$47,$A16,FALSE),"Janela")))</f>
        <v>Janela</v>
      </c>
      <c r="G16" s="42" t="str">
        <f>IF((COUNTIF('Horário - Graduação'!$C77:$AW77,"*"&amp;$C$1&amp;"*")+COUNTIF('Horário - Ensino Médio'!$C59:$Z59,"*"&amp;$C$1&amp;"*"))&gt;1,CONCAT("[CHOQUE] - ",IFERROR(HLOOKUP("*"&amp;$C$1&amp;"*",'Horário - Graduação'!$C77:$AW$86,$B16,FALSE),IFERROR(HLOOKUP("*"&amp;$C$1&amp;"*",'Horário - Ensino Médio'!$C59:$Z$62,$A16,FALSE),"Janela"))),IFERROR(HLOOKUP("*"&amp;$C$1&amp;"*",'Horário - Graduação'!$C77:$AW$86,$B16,FALSE),IFERROR(HLOOKUP("*"&amp;$C$1&amp;"*",'Horário - Ensino Médio'!$C59:$Z$62,$A16,FALSE),"Janela")))</f>
        <v>Janela</v>
      </c>
      <c r="H16" s="42" t="str">
        <f>IF((COUNTIF('Horário - Graduação'!$C98:$AW98,"*"&amp;$C$1&amp;"*")+COUNTIF(#REF!,"*"&amp;$C$1&amp;"*"))&gt;1,CONCAT("[CHOQUE] - ",IFERROR(HLOOKUP("*"&amp;$C$1&amp;"*",'Horário - Graduação'!$C98:$AW$107,$B16,FALSE),IFERROR(HLOOKUP("*"&amp;$C$1&amp;"*",'Horário - Ensino Médio'!$C75:$Z$77,$A16,FALSE),"Janela"))),IFERROR(HLOOKUP("*"&amp;$C$1&amp;"*",'Horário - Graduação'!$C98:$AW$107,$B16,FALSE),IFERROR(HLOOKUP("*"&amp;$C$1&amp;"*",'Horário - Ensino Médio'!$C75:$Z$77,$A16,FALSE),"Janela")))</f>
        <v>#REF!</v>
      </c>
      <c r="I16" s="56"/>
      <c r="J16" s="71"/>
    </row>
    <row r="17" ht="25.5" customHeight="1">
      <c r="A17" s="25">
        <v>3.0</v>
      </c>
      <c r="B17" s="29">
        <v>9.0</v>
      </c>
      <c r="C17" s="35" t="s">
        <v>155</v>
      </c>
      <c r="D17" s="42" t="str">
        <f>IF((COUNTIF('Horário - Graduação'!$C15:$AW15,"*"&amp;$C$1&amp;"*")+COUNTIF('Horário - Ensino Médio'!$C15:$Z15,"*"&amp;$C$1&amp;"*"))&gt;1,CONCAT("[CHOQUE] - ",IFERROR(HLOOKUP("*"&amp;$C$1&amp;"*",'Horário - Graduação'!$C15:$AW$23,$B17,FALSE),IFERROR(HLOOKUP("*"&amp;$C$1&amp;"*",'Horário - Ensino Médio'!$C15:$Z$17,$A17,FALSE),"Janela"))),IFERROR(HLOOKUP("*"&amp;$C$1&amp;"*",'Horário - Graduação'!$C15:$AW$23,$B17,FALSE),IFERROR(HLOOKUP("*"&amp;$C$1&amp;"*",'Horário - Ensino Médio'!$C15:$Z$17,$A17,FALSE),"Janela")))</f>
        <v>Janela</v>
      </c>
      <c r="E17" s="42" t="str">
        <f>IF((COUNTIF('Horário - Graduação'!$C36:$AW36,"*"&amp;$C$1&amp;"*")+COUNTIF('Horário - Ensino Médio'!$C30:$Z30,"*"&amp;$C$1&amp;"*"))&gt;1,CONCAT("[CHOQUE] - ",IFERROR(HLOOKUP("*"&amp;$C$1&amp;"*",'Horário - Graduação'!$C36:$AW$44,$B17,FALSE),IFERROR(HLOOKUP("*"&amp;$C$1&amp;"*",'Horário - Ensino Médio'!$C30:$Z$32,$A17,FALSE),"Janela"))),IFERROR(HLOOKUP("*"&amp;$C$1&amp;"*",'Horário - Graduação'!$C36:$AW$44,$B17,FALSE),IFERROR(HLOOKUP("*"&amp;$C$1&amp;"*",'Horário - Ensino Médio'!$C30:$Z$32,$A17,FALSE),"Janela")))</f>
        <v>Janela</v>
      </c>
      <c r="F17" s="42" t="str">
        <f>IF((COUNTIF('Horário - Graduação'!$C57:$AW57,"*"&amp;$C$1&amp;"*")+COUNTIF('Horário - Ensino Médio'!$C45:$Z45,"*"&amp;$C$1&amp;"*"))&gt;1,CONCAT("[CHOQUE] - ",IFERROR(HLOOKUP("*"&amp;$C$1&amp;"*",'Horário - Graduação'!$C57:$AW$65,$B17,FALSE),IFERROR(HLOOKUP("*"&amp;$C$1&amp;"*",'Horário - Ensino Médio'!$C45:$Z$47,$A17,FALSE),"Janela"))),IFERROR(HLOOKUP("*"&amp;$C$1&amp;"*",'Horário - Graduação'!$C57:$AW$65,$B17,FALSE),IFERROR(HLOOKUP("*"&amp;$C$1&amp;"*",'Horário - Ensino Médio'!$C45:$Z$47,$A17,FALSE),"Janela")))</f>
        <v>Janela</v>
      </c>
      <c r="G17" s="42" t="str">
        <f>IF((COUNTIF('Horário - Graduação'!$C78:$AW78,"*"&amp;$C$1&amp;"*")+COUNTIF('Horário - Ensino Médio'!$C60:$Z60,"*"&amp;$C$1&amp;"*"))&gt;1,CONCAT("[CHOQUE] - ",IFERROR(HLOOKUP("*"&amp;$C$1&amp;"*",'Horário - Graduação'!$C78:$AW$86,$B17,FALSE),IFERROR(HLOOKUP("*"&amp;$C$1&amp;"*",'Horário - Ensino Médio'!$C60:$Z$62,$A17,FALSE),"Janela"))),IFERROR(HLOOKUP("*"&amp;$C$1&amp;"*",'Horário - Graduação'!$C78:$AW$86,$B17,FALSE),IFERROR(HLOOKUP("*"&amp;$C$1&amp;"*",'Horário - Ensino Médio'!$C60:$Z$62,$A17,FALSE),"Janela")))</f>
        <v>Janela</v>
      </c>
      <c r="H17" s="42" t="str">
        <f>IF((COUNTIF('Horário - Graduação'!$C99:$AW99,"*"&amp;$C$1&amp;"*")+COUNTIF('Horário - Ensino Médio'!$C75:$Z75,"*"&amp;$C$1&amp;"*"))&gt;1,CONCAT("[CHOQUE] - ",IFERROR(HLOOKUP("*"&amp;$C$1&amp;"*",'Horário - Graduação'!$C99:$AW$107,$B17,FALSE),IFERROR(HLOOKUP("*"&amp;$C$1&amp;"*",'Horário - Ensino Médio'!$C75:$Z$77,$A17,FALSE),"Janela"))),IFERROR(HLOOKUP("*"&amp;$C$1&amp;"*",'Horário - Graduação'!$C99:$AW$107,$B17,FALSE),IFERROR(HLOOKUP("*"&amp;$C$1&amp;"*",'Horário - Ensino Médio'!$C75:$Z$77,$A17,FALSE),"Janela")))</f>
        <v>Janela</v>
      </c>
      <c r="I17" s="56"/>
      <c r="J17" s="82"/>
    </row>
    <row r="18" ht="15.75" customHeight="1">
      <c r="A18" s="25"/>
      <c r="B18" s="29">
        <v>8.0</v>
      </c>
      <c r="C18" s="67" t="s">
        <v>111</v>
      </c>
      <c r="D18" s="69" t="s">
        <v>111</v>
      </c>
      <c r="E18" s="69" t="s">
        <v>111</v>
      </c>
      <c r="F18" s="69" t="s">
        <v>111</v>
      </c>
      <c r="G18" s="69" t="s">
        <v>111</v>
      </c>
      <c r="H18" s="69" t="s">
        <v>111</v>
      </c>
      <c r="I18" s="18"/>
      <c r="J18" s="71"/>
    </row>
    <row r="19" ht="25.5" customHeight="1">
      <c r="A19" s="25">
        <v>2.0</v>
      </c>
      <c r="B19" s="29">
        <v>7.0</v>
      </c>
      <c r="C19" s="35" t="s">
        <v>164</v>
      </c>
      <c r="D19" s="42" t="str">
        <f>IF((COUNTIF('Horário - Graduação'!$C17:$AW17,"*"&amp;$C$1&amp;"*"))&gt;1,CONCAT("[CHOQUE] - ",IFERROR(HLOOKUP("*"&amp;$C$1&amp;"*",'Horário - Graduação'!$C17:$AW$23,$B19,FALSE),"Janela")),IFERROR(HLOOKUP("*"&amp;$C$1&amp;"*",'Horário - Graduação'!$C17:$AW$23,$B19,FALSE),"Janela"))</f>
        <v>Janela</v>
      </c>
      <c r="E19" s="42" t="str">
        <f>IF((COUNTIF('Horário - Graduação'!$C38:$AW38,"*"&amp;$C$1&amp;"*"))&gt;1,CONCAT("[CHOQUE] - ",IFERROR(HLOOKUP("*"&amp;$C$1&amp;"*",'Horário - Graduação'!$C38:$AW$44,$B19,FALSE),"Janela")),IFERROR(HLOOKUP("*"&amp;$C$1&amp;"*",'Horário - Graduação'!$C38:$AW$44,$B19,FALSE),"Janela"))</f>
        <v>Janela</v>
      </c>
      <c r="F19" s="42" t="str">
        <f>IF((COUNTIF('Horário - Graduação'!$C59:$AW59,"*"&amp;$C$1&amp;"*"))&gt;1,CONCAT("[CHOQUE] - ",IFERROR(HLOOKUP("*"&amp;$C$1&amp;"*",'Horário - Graduação'!$C59:$AW$65,$B19,FALSE),"Janela")),IFERROR(HLOOKUP("*"&amp;$C$1&amp;"*",'Horário - Graduação'!$C59:$AW$65,$B19,FALSE),"Janela"))</f>
        <v>Janela</v>
      </c>
      <c r="G19" s="42" t="str">
        <f>IF((COUNTIF('Horário - Graduação'!$C80:$AW80,"*"&amp;$C$1&amp;"*"))&gt;1,CONCAT("[CHOQUE] - ",IFERROR(HLOOKUP("*"&amp;$C$1&amp;"*",'Horário - Graduação'!$C80:$AW$86,$B19,FALSE),"Janela")),IFERROR(HLOOKUP("*"&amp;$C$1&amp;"*",'Horário - Graduação'!$C80:$AW$86,$B19,FALSE),"Janela"))</f>
        <v>Janela</v>
      </c>
      <c r="H19" s="42" t="str">
        <f>IF((COUNTIF('Horário - Graduação'!$C101:$AW101,"*"&amp;$C$1&amp;"*"))&gt;1,CONCAT("[CHOQUE] - ",IFERROR(HLOOKUP("*"&amp;$C$1&amp;"*",'Horário - Graduação'!$C101:$AW$107,$B19,FALSE),"Janela")),IFERROR(HLOOKUP("*"&amp;$C$1&amp;"*",'Horário - Graduação'!$C101:$AW$107,$B19,FALSE),"Janela"))</f>
        <v>Janela</v>
      </c>
      <c r="I19" s="56"/>
      <c r="J19" s="71"/>
    </row>
    <row r="20" ht="25.5" customHeight="1">
      <c r="A20" s="25">
        <v>1.0</v>
      </c>
      <c r="B20" s="29">
        <v>6.0</v>
      </c>
      <c r="C20" s="35" t="s">
        <v>174</v>
      </c>
      <c r="D20" s="42" t="str">
        <f>IF((COUNTIF('Horário - Graduação'!$C18:$AW18,"*"&amp;$C$1&amp;"*"))&gt;1,CONCAT("[CHOQUE] - ",IFERROR(HLOOKUP("*"&amp;$C$1&amp;"*",'Horário - Graduação'!$C18:$AW$23,$B20,FALSE),"Janela")),IFERROR(HLOOKUP("*"&amp;$C$1&amp;"*",'Horário - Graduação'!$C18:$AW$23,$B20,FALSE),"Janela"))</f>
        <v>Janela</v>
      </c>
      <c r="E20" s="42" t="str">
        <f>IF((COUNTIF('Horário - Graduação'!$C39:$AW39,"*"&amp;$C$1&amp;"*"))&gt;1,CONCAT("[CHOQUE] - ",IFERROR(HLOOKUP("*"&amp;$C$1&amp;"*",'Horário - Graduação'!$C39:$AW$44,$B20,FALSE),"Janela")),IFERROR(HLOOKUP("*"&amp;$C$1&amp;"*",'Horário - Graduação'!$C39:$AW$44,$B20,FALSE),"Janela"))</f>
        <v>Janela</v>
      </c>
      <c r="F20" s="42" t="str">
        <f>IF((COUNTIF('Horário - Graduação'!$C60:$AW60,"*"&amp;$C$1&amp;"*"))&gt;1,CONCAT("[CHOQUE] - ",IFERROR(HLOOKUP("*"&amp;$C$1&amp;"*",'Horário - Graduação'!$C60:$AW$65,$B20,FALSE),"Janela")),IFERROR(HLOOKUP("*"&amp;$C$1&amp;"*",'Horário - Graduação'!$C60:$AW$65,$B20,FALSE),"Janela"))</f>
        <v>Janela</v>
      </c>
      <c r="G20" s="42" t="str">
        <f>IF((COUNTIF('Horário - Graduação'!$C81:$AW81,"*"&amp;$C$1&amp;"*"))&gt;1,CONCAT("[CHOQUE] - ",IFERROR(HLOOKUP("*"&amp;$C$1&amp;"*",'Horário - Graduação'!$C81:$AW$86,$B20,FALSE),"Janela")),IFERROR(HLOOKUP("*"&amp;$C$1&amp;"*",'Horário - Graduação'!$C81:$AW$86,$B20,FALSE),"Janela"))</f>
        <v>Janela</v>
      </c>
      <c r="H20" s="42" t="str">
        <f>IF((COUNTIF('Horário - Graduação'!$C102:$AW102,"*"&amp;$C$1&amp;"*"))&gt;1,CONCAT("[CHOQUE] - ",IFERROR(HLOOKUP("*"&amp;$C$1&amp;"*",'Horário - Graduação'!$C102:$AW$107,$B20,FALSE),"Janela")),IFERROR(HLOOKUP("*"&amp;$C$1&amp;"*",'Horário - Graduação'!$C102:$AW$107,$B20,FALSE),"Janela"))</f>
        <v>Janela</v>
      </c>
      <c r="I20" s="56"/>
      <c r="J20" s="82"/>
    </row>
    <row r="21" ht="25.5" customHeight="1">
      <c r="A21" s="25"/>
      <c r="B21" s="29">
        <v>5.0</v>
      </c>
      <c r="C21" s="35" t="s">
        <v>193</v>
      </c>
      <c r="D21" s="42" t="str">
        <f>IF((COUNTIF('Horário - Graduação'!$C19:$AW19,"*"&amp;$C$1&amp;"*"))&gt;1,CONCAT("[CHOQUE] - ",IFERROR(HLOOKUP("*"&amp;$C$1&amp;"*",'Horário - Graduação'!$C19:$AW$23,$B21,FALSE),"Janela")),IFERROR(HLOOKUP("*"&amp;$C$1&amp;"*",'Horário - Graduação'!$C19:$AW$23,$B21,FALSE),"Janela"))</f>
        <v>Janela</v>
      </c>
      <c r="E21" s="42" t="str">
        <f>IF((COUNTIF('Horário - Graduação'!$C40:$AW40,"*"&amp;$C$1&amp;"*"))&gt;1,CONCAT("[CHOQUE] - ",IFERROR(HLOOKUP("*"&amp;$C$1&amp;"*",'Horário - Graduação'!$C40:$AW$44,$B21,FALSE),"Janela")),IFERROR(HLOOKUP("*"&amp;$C$1&amp;"*",'Horário - Graduação'!$C40:$AW$44,$B21,FALSE),"Janela"))</f>
        <v>Janela</v>
      </c>
      <c r="F21" s="42" t="str">
        <f>IF((COUNTIF('Horário - Graduação'!$C61:$AW61,"*"&amp;$C$1&amp;"*"))&gt;1,CONCAT("[CHOQUE] - ",IFERROR(HLOOKUP("*"&amp;$C$1&amp;"*",'Horário - Graduação'!$C61:$AW$65,$B21,FALSE),"Janela")),IFERROR(HLOOKUP("*"&amp;$C$1&amp;"*",'Horário - Graduação'!$C61:$AW$65,$B21,FALSE),"Janela"))</f>
        <v>Janela</v>
      </c>
      <c r="G21" s="42" t="str">
        <f>IF((COUNTIF('Horário - Graduação'!$C82:$AW82,"*"&amp;$C$1&amp;"*"))&gt;1,CONCAT("[CHOQUE] - ",IFERROR(HLOOKUP("*"&amp;$C$1&amp;"*",'Horário - Graduação'!$C82:$AW$86,$B21,FALSE),"Janela")),IFERROR(HLOOKUP("*"&amp;$C$1&amp;"*",'Horário - Graduação'!$C82:$AW$86,$B21,FALSE),"Janela"))</f>
        <v>Janela</v>
      </c>
      <c r="H21" s="42" t="str">
        <f>IF((COUNTIF('Horário - Graduação'!$C103:$AW103,"*"&amp;$C$1&amp;"*"))&gt;1,CONCAT("[CHOQUE] - ",IFERROR(HLOOKUP("*"&amp;$C$1&amp;"*",'Horário - Graduação'!$C103:$AW$107,$B21,FALSE),"Janela")),IFERROR(HLOOKUP("*"&amp;$C$1&amp;"*",'Horário - Graduação'!$C103:$AW$107,$B21,FALSE),"Janela"))</f>
        <v>Janela</v>
      </c>
      <c r="I21" s="56"/>
      <c r="J21" s="71"/>
    </row>
    <row r="22" ht="15.75" customHeight="1">
      <c r="A22" s="25"/>
      <c r="B22" s="29">
        <v>4.0</v>
      </c>
      <c r="C22" s="67" t="s">
        <v>111</v>
      </c>
      <c r="D22" s="69" t="s">
        <v>111</v>
      </c>
      <c r="E22" s="69" t="s">
        <v>111</v>
      </c>
      <c r="F22" s="69" t="s">
        <v>111</v>
      </c>
      <c r="G22" s="69" t="s">
        <v>111</v>
      </c>
      <c r="H22" s="69" t="s">
        <v>111</v>
      </c>
      <c r="I22" s="18"/>
      <c r="J22" s="71"/>
    </row>
    <row r="23" ht="25.5" customHeight="1">
      <c r="A23" s="25"/>
      <c r="B23" s="29">
        <v>3.0</v>
      </c>
      <c r="C23" s="35" t="s">
        <v>198</v>
      </c>
      <c r="D23" s="42" t="str">
        <f>IF((COUNTIF('Horário - Graduação'!$C21:$AW21,"*"&amp;$C$1&amp;"*"))&gt;1,CONCAT("[CHOQUE] - ",IFERROR(HLOOKUP("*"&amp;$C$1&amp;"*",'Horário - Graduação'!$C21:$AW$23,$B23,FALSE),"Janela")),IFERROR(HLOOKUP("*"&amp;$C$1&amp;"*",'Horário - Graduação'!$C21:$AW$23,$B23,FALSE),"Janela"))</f>
        <v>Janela</v>
      </c>
      <c r="E23" s="42" t="str">
        <f>IF((COUNTIF('Horário - Graduação'!$C42:$AW42,"*"&amp;$C$1&amp;"*"))&gt;1,CONCAT("[CHOQUE] - ",IFERROR(HLOOKUP("*"&amp;$C$1&amp;"*",'Horário - Graduação'!$C42:$AW$44,$B23,FALSE),"Janela")),IFERROR(HLOOKUP("*"&amp;$C$1&amp;"*",'Horário - Graduação'!$C42:$AW$44,$B23,FALSE),"Janela"))</f>
        <v>Janela</v>
      </c>
      <c r="F23" s="42" t="str">
        <f>IF((COUNTIF('Horário - Graduação'!$C63:$AW63,"*"&amp;$C$1&amp;"*"))&gt;1,CONCAT("[CHOQUE] - ",IFERROR(HLOOKUP("*"&amp;$C$1&amp;"*",'Horário - Graduação'!$C63:$AW$65,$B23,FALSE),"Janela")),IFERROR(HLOOKUP("*"&amp;$C$1&amp;"*",'Horário - Graduação'!$C63:$AW$65,$B23,FALSE),"Janela"))</f>
        <v>Janela</v>
      </c>
      <c r="G23" s="42" t="str">
        <f>IF((COUNTIF('Horário - Graduação'!$C84:$AW84,"*"&amp;$C$1&amp;"*"))&gt;1,CONCAT("[CHOQUE] - ",IFERROR(HLOOKUP("*"&amp;$C$1&amp;"*",'Horário - Graduação'!$C84:$AW$86,$B23,FALSE),"Janela")),IFERROR(HLOOKUP("*"&amp;$C$1&amp;"*",'Horário - Graduação'!$C84:$AW$86,$B23,FALSE),"Janela"))</f>
        <v>Janela</v>
      </c>
      <c r="H23" s="42" t="str">
        <f>IF((COUNTIF('Horário - Graduação'!$C105:$AW105,"*"&amp;$C$1&amp;"*"))&gt;1,CONCAT("[CHOQUE] - ",IFERROR(HLOOKUP("*"&amp;$C$1&amp;"*",'Horário - Graduação'!$C105:$AW$107,$B23,FALSE),"Janela")),IFERROR(HLOOKUP("*"&amp;$C$1&amp;"*",'Horário - Graduação'!$C105:$AW$107,$B23,FALSE),"Janela"))</f>
        <v>Janela</v>
      </c>
      <c r="I23" s="56"/>
      <c r="J23" s="71"/>
    </row>
    <row r="24" ht="25.5" customHeight="1">
      <c r="A24" s="25"/>
      <c r="B24" s="29">
        <v>2.0</v>
      </c>
      <c r="C24" s="35" t="s">
        <v>210</v>
      </c>
      <c r="D24" s="42" t="str">
        <f>IF((COUNTIF('Horário - Graduação'!$C22:$AW22,"*"&amp;$C$1&amp;"*"))&gt;1,CONCAT("[CHOQUE] - ",IFERROR(HLOOKUP("*"&amp;$C$1&amp;"*",'Horário - Graduação'!$C22:$AW$23,$B24,FALSE),"Janela")),IFERROR(HLOOKUP("*"&amp;$C$1&amp;"*",'Horário - Graduação'!$C22:$AW$23,$B24,FALSE),"Janela"))</f>
        <v>Janela</v>
      </c>
      <c r="E24" s="42" t="str">
        <f>IF((COUNTIF('Horário - Graduação'!$C43:$AW43,"*"&amp;$C$1&amp;"*"))&gt;1,CONCAT("[CHOQUE] - ",IFERROR(HLOOKUP("*"&amp;$C$1&amp;"*",'Horário - Graduação'!$C43:$AW$44,$B24,FALSE),"Janela")),IFERROR(HLOOKUP("*"&amp;$C$1&amp;"*",'Horário - Graduação'!$C43:$AW$44,$B24,FALSE),"Janela"))</f>
        <v>Janela</v>
      </c>
      <c r="F24" s="42" t="str">
        <f>IF((COUNTIF('Horário - Graduação'!$C64:$AW64,"*"&amp;$C$1&amp;"*"))&gt;1,CONCAT("[CHOQUE] - ",IFERROR(HLOOKUP("*"&amp;$C$1&amp;"*",'Horário - Graduação'!$C64:$AW$65,$B24,FALSE),"Janela")),IFERROR(HLOOKUP("*"&amp;$C$1&amp;"*",'Horário - Graduação'!$C64:$AW$65,$B24,FALSE),"Janela"))</f>
        <v>Janela</v>
      </c>
      <c r="G24" s="42" t="str">
        <f>IF((COUNTIF('Horário - Graduação'!$C85:$AW85,"*"&amp;$C$1&amp;"*"))&gt;1,CONCAT("[CHOQUE] - ",IFERROR(HLOOKUP("*"&amp;$C$1&amp;"*",'Horário - Graduação'!$C85:$AW$86,$B24,FALSE),"Janela")),IFERROR(HLOOKUP("*"&amp;$C$1&amp;"*",'Horário - Graduação'!$C85:$AW$86,$B24,FALSE),"Janela"))</f>
        <v>Janela</v>
      </c>
      <c r="H24" s="42" t="s">
        <v>766</v>
      </c>
      <c r="I24" s="56"/>
      <c r="J24" s="71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</row>
  </sheetData>
  <mergeCells count="2">
    <mergeCell ref="A1:B1"/>
    <mergeCell ref="C1:H1"/>
  </mergeCells>
  <conditionalFormatting sqref="B5:B19 D5:H21 D23:H24 I5:I24 J7:J24">
    <cfRule type="containsText" dxfId="0" priority="1" operator="containsText" text="CHOQUE">
      <formula>NOT(ISERROR(SEARCH(("CHOQUE"),(B5))))</formula>
    </cfRule>
  </conditionalFormatting>
  <conditionalFormatting sqref="D5:H21 D23:H24 I5:I24 J7:J24">
    <cfRule type="cellIs" dxfId="1" priority="2" operator="equal">
      <formula>"Janela"</formula>
    </cfRule>
  </conditionalFormatting>
  <conditionalFormatting sqref="D5:H21 D23:H24 I5:I24 J7:J24">
    <cfRule type="containsText" dxfId="2" priority="3" operator="containsText" text="Agroindústria">
      <formula>NOT(ISERROR(SEARCH(("Agroindústria"),(D5))))</formula>
    </cfRule>
  </conditionalFormatting>
  <conditionalFormatting sqref="D5:H21 D23:H24 I5:I24 J7:J24">
    <cfRule type="containsText" dxfId="3" priority="4" operator="containsText" text="Agropecuária">
      <formula>NOT(ISERROR(SEARCH(("Agropecuária"),(D5))))</formula>
    </cfRule>
  </conditionalFormatting>
  <conditionalFormatting sqref="D5:H21 D23:H24 I5:I24 J7:J24">
    <cfRule type="containsText" dxfId="4" priority="5" operator="containsText" text="Informática">
      <formula>NOT(ISERROR(SEARCH(("Informática"),(D5))))</formula>
    </cfRule>
  </conditionalFormatting>
  <dataValidations>
    <dataValidation type="list" allowBlank="1" sqref="C1">
      <formula1>'Validação de Dados'!$B:$B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hidden="1" min="1" max="2" width="3.25"/>
    <col customWidth="1" min="3" max="3" width="10.38"/>
    <col customWidth="1" min="4" max="8" width="33.13"/>
  </cols>
  <sheetData>
    <row r="1" ht="24.75" customHeight="1">
      <c r="A1" s="1"/>
      <c r="B1" s="2"/>
      <c r="C1" s="3"/>
      <c r="D1" s="7" t="s">
        <v>1</v>
      </c>
      <c r="E1" s="8"/>
      <c r="F1" s="8"/>
      <c r="G1" s="8"/>
      <c r="H1" s="10"/>
    </row>
    <row r="2" ht="15.75" customHeight="1">
      <c r="A2" s="13" t="s">
        <v>4</v>
      </c>
      <c r="B2" s="17" t="s">
        <v>4</v>
      </c>
      <c r="C2" s="17"/>
      <c r="D2" s="17"/>
      <c r="E2" s="17" t="s">
        <v>11</v>
      </c>
      <c r="F2" s="17" t="s">
        <v>12</v>
      </c>
      <c r="G2" s="17" t="s">
        <v>13</v>
      </c>
      <c r="H2" s="17" t="s">
        <v>14</v>
      </c>
    </row>
    <row r="3" ht="15.75" hidden="1" customHeight="1">
      <c r="A3" s="13"/>
      <c r="B3" s="20"/>
      <c r="C3" s="17"/>
      <c r="D3" s="17" t="s">
        <v>25</v>
      </c>
      <c r="E3" s="17" t="s">
        <v>26</v>
      </c>
      <c r="F3" s="17" t="s">
        <v>28</v>
      </c>
      <c r="G3" s="17" t="s">
        <v>30</v>
      </c>
      <c r="H3" s="17" t="s">
        <v>31</v>
      </c>
    </row>
    <row r="4" ht="1.5" hidden="1" customHeight="1">
      <c r="A4" s="13"/>
      <c r="B4" s="20"/>
      <c r="C4" s="17"/>
      <c r="D4" s="17" t="s">
        <v>35</v>
      </c>
      <c r="E4" s="17" t="s">
        <v>37</v>
      </c>
      <c r="F4" s="17" t="s">
        <v>38</v>
      </c>
      <c r="G4" s="17" t="s">
        <v>40</v>
      </c>
      <c r="H4" s="17" t="s">
        <v>41</v>
      </c>
    </row>
    <row r="5" ht="46.5" customHeight="1">
      <c r="A5" s="25">
        <v>15.0</v>
      </c>
      <c r="B5" s="29">
        <v>21.0</v>
      </c>
      <c r="C5" s="20" t="s">
        <v>79</v>
      </c>
      <c r="D5" s="38" t="str">
        <f>IF((COUNTIF('Horário - Graduação'!$C3:$AW3,"*"&amp;$D$1&amp;"*")+COUNTIF('Horário - Ensino Médio'!$C3:$Z3,"*"&amp;$D$1&amp;"*"))&gt;1,IF(COUNTIF('Horário - Ensino Médio'!$C3:$Z3,"*"&amp;$D$1&amp;"*")&gt;0,CONCAT("[CHOQUE] - ",IFERROR(CONCAT(HLOOKUP("*"&amp;$D$1&amp;"*",'Horário - Graduação'!$C3:$AW$23,1,FALSE)&amp; CHAR(10),HLOOKUP("*"&amp;$D$1&amp;"*",'Horário - Graduação'!$C3:$AW$23,$B5,FALSE)),IFERROR(CONCAT(HLOOKUP("*"&amp;$D$1&amp;"*",'Horário - Ensino Médio'!$C3:$Z$17,1,FALSE)&amp; CHAR(10),HLOOKUP("*"&amp;$D$1&amp;"*",'Horário - Ensino Médio'!$C3:$Z$17,$A5,FALSE)),"Janela"))),CONCATENATE(HLOOKUP("*"&amp;$D$1&amp;"*",'Horário - Graduação'!$C3:$AW$23,1,FALSE)&amp; CHAR(10),HLOOKUP("*"&amp;$D$1&amp;"*",'Horário - Graduação'!$C3:$AW$23,$B5,FALSE)," + OUTRO")),IFERROR(CONCAT(HLOOKUP("*"&amp;$D$1&amp;"*",'Horário - Graduação'!$C3:$AW$23,1,FALSE)&amp; CHAR(10),HLOOKUP("*"&amp;$D$1&amp;"*",'Horário - Graduação'!$C3:$AW$23,$B5,FALSE)),IFERROR(CONCAT(HLOOKUP("*"&amp;$D$1&amp;"*",'Horário - Ensino Médio'!$C3:$Z$17,1,FALSE)&amp; CHAR(10),HLOOKUP("*"&amp;$D$1&amp;"*",'Horário - Ensino Médio'!$C3:$Z$17,$A5,FALSE)),"Janela")))</f>
        <v>Janela</v>
      </c>
      <c r="E5" s="38" t="str">
        <f>IF((COUNTIF('Horário - Graduação'!$C24:$AW24,"*"&amp;$D$1&amp;"*")+COUNTIF('Horário - Ensino Médio'!$C18:$Z18,"*"&amp;$D$1&amp;"*"))&gt;1,IF(COUNTIF('Horário - Ensino Médio'!$C18:$Z18,"*"&amp;$D$1&amp;"*")&gt;0,CONCAT("[CHOQUE] - ",IFERROR(CONCAT(HLOOKUP("*"&amp;$D$1&amp;"*",'Horário - Graduação'!$C24:$AW$44,1,FALSE)&amp; CHAR(10),HLOOKUP("*"&amp;$D$1&amp;"*",'Horário - Graduação'!$C24:$AW$44,$B5,FALSE)),IFERROR(CONCAT(HLOOKUP("*"&amp;$D$1&amp;"*",'Horário - Ensino Médio'!$C18:$Z$32,1,FALSE)&amp; CHAR(10),HLOOKUP("*"&amp;$D$1&amp;"*",'Horário - Ensino Médio'!$C18:$Z$32,$A5,FALSE)),"Janela"))),CONCATENATE(HLOOKUP("*"&amp;$D$1&amp;"*",'Horário - Graduação'!$C24:$AW$44,1,FALSE)&amp; CHAR(10),HLOOKUP("*"&amp;$D$1&amp;"*",'Horário - Graduação'!$C24:$AW$44,$B5,FALSE)," + OUTRO")),IFERROR(CONCAT(HLOOKUP("*"&amp;$D$1&amp;"*",'Horário - Graduação'!$C24:$AW$44,1,FALSE)&amp; CHAR(10),HLOOKUP("*"&amp;$D$1&amp;"*",'Horário - Graduação'!$C24:$AW$44,$B5,FALSE)),IFERROR(CONCAT(HLOOKUP("*"&amp;$D$1&amp;"*",'Horário - Ensino Médio'!$C18:$Z$32,1,FALSE)&amp; CHAR(10),HLOOKUP("*"&amp;$D$1&amp;"*",'Horário - Ensino Médio'!$C18:$Z$32,$A5,FALSE)),"Janela")))</f>
        <v>Janela</v>
      </c>
      <c r="F5" s="38" t="str">
        <f>IF((COUNTIF('Horário - Graduação'!$C45:$AW45,"*"&amp;$D$1&amp;"*")+COUNTIF('Horário - Ensino Médio'!$C33:$Z33,"*"&amp;$D$1&amp;"*"))&gt;1,IF(COUNTIF('Horário - Ensino Médio'!$C33:$Z33,"*"&amp;$D$1&amp;"*")&gt;0,CONCAT("[CHOQUE] - ",IFERROR(CONCAT(HLOOKUP("*"&amp;$D$1&amp;"*",'Horário - Graduação'!$C45:$AW$65,1,FALSE)&amp; CHAR(10),HLOOKUP("*"&amp;$D$1&amp;"*",'Horário - Graduação'!$C45:$AW$65,$B5,FALSE)),IFERROR(CONCAT(HLOOKUP("*"&amp;$D$1&amp;"*",'Horário - Ensino Médio'!$C33:$Z$47,1,FALSE)&amp; CHAR(10),HLOOKUP("*"&amp;$D$1&amp;"*",'Horário - Ensino Médio'!$C33:$Z$47,$A5,FALSE)),"Janela"))),CONCATENATE(HLOOKUP("*"&amp;$D$1&amp;"*",'Horário - Graduação'!$C45:$AW$65,1,FALSE)&amp; CHAR(10),HLOOKUP("*"&amp;$D$1&amp;"*",'Horário - Graduação'!$C45:$AW$65,$B5,FALSE)," + OUTRO")),IFERROR(CONCAT(HLOOKUP("*"&amp;$D$1&amp;"*",'Horário - Graduação'!$C45:$AW$65,1,FALSE)&amp; CHAR(10),HLOOKUP("*"&amp;$D$1&amp;"*",'Horário - Graduação'!$C45:$AW$65,$B5,FALSE)),IFERROR(CONCAT(HLOOKUP("*"&amp;$D$1&amp;"*",'Horário - Ensino Médio'!$C33:$Z$47,1,FALSE)&amp; CHAR(10),HLOOKUP("*"&amp;$D$1&amp;"*",'Horário - Ensino Médio'!$C33:$Z$47,$A5,FALSE)),"Janela")))</f>
        <v>Redes de comput. 
(Jamerson Jardel) (Lab. Redes)
3º ANO A - Informática</v>
      </c>
      <c r="G5" s="38" t="str">
        <f>IF((COUNTIF('Horário - Graduação'!$C66:$AW66,"*"&amp;$D$1&amp;"*")+COUNTIF('Horário - Ensino Médio'!$C48:$Z48,"*"&amp;$D$1&amp;"*"))&gt;1,IF(COUNTIF('Horário - Ensino Médio'!$C48:$Z48,"*"&amp;$D$1&amp;"*")&gt;0,CONCAT("[CHOQUE] - ",IFERROR(CONCAT(HLOOKUP("*"&amp;$D$1&amp;"*",'Horário - Graduação'!$C66:$AW$86,1,FALSE)&amp; CHAR(10),HLOOKUP("*"&amp;$D$1&amp;"*",'Horário - Graduação'!$C66:$AW$86,$B5,FALSE)),IFERROR(CONCAT(HLOOKUP("*"&amp;$D$1&amp;"*",'Horário - Ensino Médio'!$C48:$Z$62,1,FALSE)&amp; CHAR(10),HLOOKUP("*"&amp;$D$1&amp;"*",'Horário - Ensino Médio'!$C48:$Z$62,$A5,FALSE)),"Janela"))),CONCATENATE(HLOOKUP("*"&amp;$D$1&amp;"*",'Horário - Graduação'!$C66:$AW$86,1,FALSE)&amp; CHAR(10),HLOOKUP("*"&amp;$D$1&amp;"*",'Horário - Graduação'!$C66:$AW$86,$B5,FALSE)," + OUTRO")),IFERROR(CONCAT(HLOOKUP("*"&amp;$D$1&amp;"*",'Horário - Graduação'!$C66:$AW$86,1,FALSE)&amp; CHAR(10),HLOOKUP("*"&amp;$D$1&amp;"*",'Horário - Graduação'!$C66:$AW$86,$B5,FALSE)),IFERROR(CONCAT(HLOOKUP("*"&amp;$D$1&amp;"*",'Horário - Ensino Médio'!$C48:$Z$62,1,FALSE)&amp; CHAR(10),HLOOKUP("*"&amp;$D$1&amp;"*",'Horário - Ensino Médio'!$C48:$Z$62,$A5,FALSE)),"Janela")))</f>
        <v>Janela</v>
      </c>
      <c r="H5" s="38" t="str">
        <f>IF((COUNTIF('Horário - Graduação'!$C87:$AW87,"*"&amp;$D$1&amp;"*")+COUNTIF('Horário - Ensino Médio'!$C63:$Z63,"*"&amp;$D$1&amp;"*"))&gt;1,IF(COUNTIF('Horário - Ensino Médio'!$C63:$Z63,"*"&amp;$D$1&amp;"*")&gt;0,CONCAT("[CHOQUE] - ",IFERROR(CONCAT(HLOOKUP("*"&amp;$D$1&amp;"*",'Horário - Graduação'!$C87:$AW$107,1,FALSE)&amp; CHAR(10),HLOOKUP("*"&amp;$D$1&amp;"*",'Horário - Graduação'!$C87:$AW$107,$B5,FALSE)),IFERROR(CONCAT(HLOOKUP("*"&amp;$D$1&amp;"*",'Horário - Ensino Médio'!$C63:$Z$77,1,FALSE)&amp; CHAR(10),HLOOKUP("*"&amp;$D$1&amp;"*",'Horário - Ensino Médio'!$C63:$Z$77,$A5,FALSE)),"Janela"))),CONCATENATE(HLOOKUP("*"&amp;$D$1&amp;"*",'Horário - Graduação'!$C87:$AW$107,1,FALSE)&amp; CHAR(10),HLOOKUP("*"&amp;$D$1&amp;"*",'Horário - Graduação'!$C87:$AW$107,$B5,FALSE)," + OUTRO")),IFERROR(CONCAT(HLOOKUP("*"&amp;$D$1&amp;"*",'Horário - Graduação'!$C87:$AW$107,1,FALSE)&amp; CHAR(10),HLOOKUP("*"&amp;$D$1&amp;"*",'Horário - Graduação'!$C87:$AW$107,$B5,FALSE)),IFERROR(CONCAT(HLOOKUP("*"&amp;$D$1&amp;"*",'Horário - Ensino Médio'!$C63:$Z$77,1,FALSE)&amp; CHAR(10),HLOOKUP("*"&amp;$D$1&amp;"*",'Horário - Ensino Médio'!$C63:$Z$77,$A5,FALSE)),"Janela")))</f>
        <v>Redes de comput. 
(Jamerson Jardel) (Lab. Redes)
3º ANO B - Informática</v>
      </c>
    </row>
    <row r="6" ht="44.25" customHeight="1">
      <c r="A6" s="25">
        <v>14.0</v>
      </c>
      <c r="B6" s="29">
        <v>20.0</v>
      </c>
      <c r="C6" s="20" t="s">
        <v>109</v>
      </c>
      <c r="D6" s="38" t="str">
        <f>IF((COUNTIF('Horário - Graduação'!$C4:$AW4,"*"&amp;$D$1&amp;"*")+COUNTIF('Horário - Ensino Médio'!$C4:$Z4,"*"&amp;$D$1&amp;"*"))&gt;1,IF(COUNTIF('Horário - Ensino Médio'!$C4:$Z4,"*"&amp;$D$1&amp;"*")&gt;0,CONCAT("[CHOQUE] - ",IFERROR(CONCAT(HLOOKUP("*"&amp;$D$1&amp;"*",'Horário - Graduação'!$C4:$AW$23,1,FALSE)&amp; CHAR(10),HLOOKUP("*"&amp;$D$1&amp;"*",'Horário - Graduação'!$C4:$AW$23,$B6,FALSE)),IFERROR(CONCAT(HLOOKUP("*"&amp;$D$1&amp;"*",'Horário - Ensino Médio'!$C4:$Z$17,1,FALSE)&amp; CHAR(10),HLOOKUP("*"&amp;$D$1&amp;"*",'Horário - Ensino Médio'!$C4:$Z$17,$A6,FALSE)),"Janela"))),CONCATENATE(HLOOKUP("*"&amp;$D$1&amp;"*",'Horário - Graduação'!$C4:$AW$23,1,FALSE)&amp; CHAR(10),HLOOKUP("*"&amp;$D$1&amp;"*",'Horário - Graduação'!$C4:$AW$23,$B6,FALSE)," + OUTRO")),IFERROR(CONCAT(HLOOKUP("*"&amp;$D$1&amp;"*",'Horário - Graduação'!$C4:$AW$23,1,FALSE)&amp; CHAR(10),HLOOKUP("*"&amp;$D$1&amp;"*",'Horário - Graduação'!$C4:$AW$23,$B6,FALSE)),IFERROR(CONCAT(HLOOKUP("*"&amp;$D$1&amp;"*",'Horário - Ensino Médio'!$C4:$Z$17,1,FALSE)&amp; CHAR(10),HLOOKUP("*"&amp;$D$1&amp;"*",'Horário - Ensino Médio'!$C4:$Z$17,$A6,FALSE)),"Janela")))</f>
        <v>Janela</v>
      </c>
      <c r="E6" s="38" t="str">
        <f>IF((COUNTIF('Horário - Graduação'!$C25:$AW25,"*"&amp;$D$1&amp;"*")+COUNTIF('Horário - Ensino Médio'!$C19:$Z19,"*"&amp;$D$1&amp;"*"))&gt;1,IF(COUNTIF('Horário - Ensino Médio'!$C19:$Z19,"*"&amp;$D$1&amp;"*")&gt;0,CONCAT("[CHOQUE] - ",IFERROR(CONCAT(HLOOKUP("*"&amp;$D$1&amp;"*",'Horário - Graduação'!$C25:$AW$44,1,FALSE)&amp; CHAR(10),HLOOKUP("*"&amp;$D$1&amp;"*",'Horário - Graduação'!$C25:$AW$44,$B6,FALSE)),IFERROR(CONCAT(HLOOKUP("*"&amp;$D$1&amp;"*",'Horário - Ensino Médio'!$C19:$Z$32,1,FALSE)&amp; CHAR(10),HLOOKUP("*"&amp;$D$1&amp;"*",'Horário - Ensino Médio'!$C19:$Z$32,$A6,FALSE)),"Janela"))),CONCATENATE(HLOOKUP("*"&amp;$D$1&amp;"*",'Horário - Graduação'!$C25:$AW$44,1,FALSE)&amp; CHAR(10),HLOOKUP("*"&amp;$D$1&amp;"*",'Horário - Graduação'!$C25:$AW$44,$B6,FALSE)," + OUTRO")),IFERROR(CONCAT(HLOOKUP("*"&amp;$D$1&amp;"*",'Horário - Graduação'!$C25:$AW$44,1,FALSE)&amp; CHAR(10),HLOOKUP("*"&amp;$D$1&amp;"*",'Horário - Graduação'!$C25:$AW$44,$B6,FALSE)),IFERROR(CONCAT(HLOOKUP("*"&amp;$D$1&amp;"*",'Horário - Ensino Médio'!$C19:$Z$32,1,FALSE)&amp; CHAR(10),HLOOKUP("*"&amp;$D$1&amp;"*",'Horário - Ensino Médio'!$C19:$Z$32,$A6,FALSE)),"Janela")))</f>
        <v>Janela</v>
      </c>
      <c r="F6" s="38" t="str">
        <f>IF((COUNTIF('Horário - Graduação'!$C46:$AW46,"*"&amp;$D$1&amp;"*")+COUNTIF('Horário - Ensino Médio'!$C34:$Z34,"*"&amp;$D$1&amp;"*"))&gt;1,IF(COUNTIF('Horário - Ensino Médio'!$C34:$Z34,"*"&amp;$D$1&amp;"*")&gt;0,CONCAT("[CHOQUE] - ",IFERROR(CONCAT(HLOOKUP("*"&amp;$D$1&amp;"*",'Horário - Graduação'!$C46:$AW$65,1,FALSE)&amp; CHAR(10),HLOOKUP("*"&amp;$D$1&amp;"*",'Horário - Graduação'!$C46:$AW$65,$B6,FALSE)),IFERROR(CONCAT(HLOOKUP("*"&amp;$D$1&amp;"*",'Horário - Ensino Médio'!$C34:$Z$47,1,FALSE)&amp; CHAR(10),HLOOKUP("*"&amp;$D$1&amp;"*",'Horário - Ensino Médio'!$C34:$Z$47,$A6,FALSE)),"Janela"))),CONCATENATE(HLOOKUP("*"&amp;$D$1&amp;"*",'Horário - Graduação'!$C46:$AW$65,1,FALSE)&amp; CHAR(10),HLOOKUP("*"&amp;$D$1&amp;"*",'Horário - Graduação'!$C46:$AW$65,$B6,FALSE)," + OUTRO")),IFERROR(CONCAT(HLOOKUP("*"&amp;$D$1&amp;"*",'Horário - Graduação'!$C46:$AW$65,1,FALSE)&amp; CHAR(10),HLOOKUP("*"&amp;$D$1&amp;"*",'Horário - Graduação'!$C46:$AW$65,$B6,FALSE)),IFERROR(CONCAT(HLOOKUP("*"&amp;$D$1&amp;"*",'Horário - Ensino Médio'!$C34:$Z$47,1,FALSE)&amp; CHAR(10),HLOOKUP("*"&amp;$D$1&amp;"*",'Horário - Ensino Médio'!$C34:$Z$47,$A6,FALSE)),"Janela")))</f>
        <v>Redes de comput. 
(Jamerson Jardel) (Lab. Redes)
3º ANO A - Informática</v>
      </c>
      <c r="G6" s="38" t="str">
        <f>IF((COUNTIF('Horário - Graduação'!$C67:$AW67,"*"&amp;$D$1&amp;"*")+COUNTIF('Horário - Ensino Médio'!$C49:$Z49,"*"&amp;$D$1&amp;"*"))&gt;1,IF(COUNTIF('Horário - Ensino Médio'!$C49:$Z49,"*"&amp;$D$1&amp;"*")&gt;0,CONCAT("[CHOQUE] - ",IFERROR(CONCAT(HLOOKUP("*"&amp;$D$1&amp;"*",'Horário - Graduação'!$C67:$AW$86,1,FALSE)&amp; CHAR(10),HLOOKUP("*"&amp;$D$1&amp;"*",'Horário - Graduação'!$C67:$AW$86,$B6,FALSE)),IFERROR(CONCAT(HLOOKUP("*"&amp;$D$1&amp;"*",'Horário - Ensino Médio'!$C49:$Z$62,1,FALSE)&amp; CHAR(10),HLOOKUP("*"&amp;$D$1&amp;"*",'Horário - Ensino Médio'!$C49:$Z$62,$A6,FALSE)),"Janela"))),CONCATENATE(HLOOKUP("*"&amp;$D$1&amp;"*",'Horário - Graduação'!$C67:$AW$86,1,FALSE)&amp; CHAR(10),HLOOKUP("*"&amp;$D$1&amp;"*",'Horário - Graduação'!$C67:$AW$86,$B6,FALSE)," + OUTRO")),IFERROR(CONCAT(HLOOKUP("*"&amp;$D$1&amp;"*",'Horário - Graduação'!$C67:$AW$86,1,FALSE)&amp; CHAR(10),HLOOKUP("*"&amp;$D$1&amp;"*",'Horário - Graduação'!$C67:$AW$86,$B6,FALSE)),IFERROR(CONCAT(HLOOKUP("*"&amp;$D$1&amp;"*",'Horário - Ensino Médio'!$C49:$Z$62,1,FALSE)&amp; CHAR(10),HLOOKUP("*"&amp;$D$1&amp;"*",'Horário - Ensino Médio'!$C49:$Z$62,$A6,FALSE)),"Janela")))</f>
        <v>Janela</v>
      </c>
      <c r="H6" s="38" t="str">
        <f>IF((COUNTIF('Horário - Graduação'!$C88:$AW88,"*"&amp;$D$1&amp;"*")+COUNTIF('Horário - Ensino Médio'!$C64:$Z64,"*"&amp;$D$1&amp;"*"))&gt;1,IF(COUNTIF('Horário - Ensino Médio'!$C64:$Z64,"*"&amp;$D$1&amp;"*")&gt;0,CONCAT("[CHOQUE] - ",IFERROR(CONCAT(HLOOKUP("*"&amp;$D$1&amp;"*",'Horário - Graduação'!$C88:$AW$107,1,FALSE)&amp; CHAR(10),HLOOKUP("*"&amp;$D$1&amp;"*",'Horário - Graduação'!$C88:$AW$107,$B6,FALSE)),IFERROR(CONCAT(HLOOKUP("*"&amp;$D$1&amp;"*",'Horário - Ensino Médio'!$C64:$Z$77,1,FALSE)&amp; CHAR(10),HLOOKUP("*"&amp;$D$1&amp;"*",'Horário - Ensino Médio'!$C64:$Z$77,$A6,FALSE)),"Janela"))),CONCATENATE(HLOOKUP("*"&amp;$D$1&amp;"*",'Horário - Graduação'!$C88:$AW$107,1,FALSE)&amp; CHAR(10),HLOOKUP("*"&amp;$D$1&amp;"*",'Horário - Graduação'!$C88:$AW$107,$B6,FALSE)," + OUTRO")),IFERROR(CONCAT(HLOOKUP("*"&amp;$D$1&amp;"*",'Horário - Graduação'!$C88:$AW$107,1,FALSE)&amp; CHAR(10),HLOOKUP("*"&amp;$D$1&amp;"*",'Horário - Graduação'!$C88:$AW$107,$B6,FALSE)),IFERROR(CONCAT(HLOOKUP("*"&amp;$D$1&amp;"*",'Horário - Ensino Médio'!$C64:$Z$77,1,FALSE)&amp; CHAR(10),HLOOKUP("*"&amp;$D$1&amp;"*",'Horário - Ensino Médio'!$C64:$Z$77,$A6,FALSE)),"Janela")))</f>
        <v>Redes de comput. 
(Jamerson Jardel) (Lab. Redes)
3º ANO B - Informática</v>
      </c>
    </row>
    <row r="7" ht="25.5" customHeight="1">
      <c r="A7" s="25">
        <v>13.0</v>
      </c>
      <c r="B7" s="29">
        <v>19.0</v>
      </c>
      <c r="C7" s="77" t="s">
        <v>111</v>
      </c>
      <c r="D7" s="79" t="s">
        <v>111</v>
      </c>
      <c r="E7" s="79" t="s">
        <v>111</v>
      </c>
      <c r="F7" s="79" t="s">
        <v>111</v>
      </c>
      <c r="G7" s="79" t="s">
        <v>111</v>
      </c>
      <c r="H7" s="79" t="s">
        <v>111</v>
      </c>
    </row>
    <row r="8" ht="71.25" customHeight="1">
      <c r="A8" s="25">
        <v>12.0</v>
      </c>
      <c r="B8" s="29">
        <v>18.0</v>
      </c>
      <c r="C8" s="20" t="s">
        <v>113</v>
      </c>
      <c r="D8" s="38" t="str">
        <f>IF((COUNTIF('Horário - Graduação'!$C6:$AW6,"*"&amp;$D$1&amp;"*")+COUNTIF('Horário - Ensino Médio'!$C6:$Z6,"*"&amp;$D$1&amp;"*"))&gt;1,IF(COUNTIF('Horário - Ensino Médio'!$C6:$Z6,"*"&amp;$D$1&amp;"*")&gt;0,CONCAT("[CHOQUE] - ",IFERROR(CONCAT(HLOOKUP("*"&amp;$D$1&amp;"*",'Horário - Graduação'!$C6:$AW$23,1,FALSE)&amp; CHAR(10),HLOOKUP("*"&amp;$D$1&amp;"*",'Horário - Graduação'!$C6:$AW$23,$B8,FALSE)),IFERROR(CONCAT(HLOOKUP("*"&amp;$D$1&amp;"*",'Horário - Ensino Médio'!$C6:$Z$17,1,FALSE)&amp; CHAR(10),HLOOKUP("*"&amp;$D$1&amp;"*",'Horário - Ensino Médio'!$C6:$Z$17,$A8,FALSE)),"Janela"))),CONCATENATE(HLOOKUP("*"&amp;$D$1&amp;"*",'Horário - Graduação'!$C6:$AW$23,1,FALSE)&amp; CHAR(10),HLOOKUP("*"&amp;$D$1&amp;"*",'Horário - Graduação'!$C6:$AW$23,$B8,FALSE)," + OUTRO")),IFERROR(CONCAT(HLOOKUP("*"&amp;$D$1&amp;"*",'Horário - Graduação'!$C6:$AW$23,1,FALSE)&amp; CHAR(10),HLOOKUP("*"&amp;$D$1&amp;"*",'Horário - Graduação'!$C6:$AW$23,$B8,FALSE)),IFERROR(CONCAT(HLOOKUP("*"&amp;$D$1&amp;"*",'Horário - Ensino Médio'!$C6:$Z$17,1,FALSE)&amp; CHAR(10),HLOOKUP("*"&amp;$D$1&amp;"*",'Horário - Ensino Médio'!$C6:$Z$17,$A8,FALSE)),"Janela")))</f>
        <v>Janela</v>
      </c>
      <c r="E8" s="38" t="str">
        <f>IF((COUNTIF('Horário - Graduação'!$C27:$AW27,"*"&amp;$D$1&amp;"*")+COUNTIF('Horário - Ensino Médio'!$C21:$Z21,"*"&amp;$D$1&amp;"*"))&gt;1,IF(COUNTIF('Horário - Ensino Médio'!$C21:$Z21,"*"&amp;$D$1&amp;"*")&gt;0,CONCAT("[CHOQUE] - ",IFERROR(CONCAT(HLOOKUP("*"&amp;$D$1&amp;"*",'Horário - Graduação'!$C27:$AW$44,1,FALSE)&amp; CHAR(10),HLOOKUP("*"&amp;$D$1&amp;"*",'Horário - Graduação'!$C27:$AW$44,$B8,FALSE)),IFERROR(CONCAT(HLOOKUP("*"&amp;$D$1&amp;"*",'Horário - Ensino Médio'!$C21:$Z$32,1,FALSE)&amp; CHAR(10),HLOOKUP("*"&amp;$D$1&amp;"*",'Horário - Ensino Médio'!$C21:$Z$32,$A8,FALSE)),"Janela"))),CONCATENATE(HLOOKUP("*"&amp;$D$1&amp;"*",'Horário - Graduação'!$C27:$AW$44,1,FALSE)&amp; CHAR(10),HLOOKUP("*"&amp;$D$1&amp;"*",'Horário - Graduação'!$C27:$AW$44,$B8,FALSE)," + OUTRO")),IFERROR(CONCAT(HLOOKUP("*"&amp;$D$1&amp;"*",'Horário - Graduação'!$C27:$AW$44,1,FALSE)&amp; CHAR(10),HLOOKUP("*"&amp;$D$1&amp;"*",'Horário - Graduação'!$C27:$AW$44,$B8,FALSE)),IFERROR(CONCAT(HLOOKUP("*"&amp;$D$1&amp;"*",'Horário - Ensino Médio'!$C21:$Z$32,1,FALSE)&amp; CHAR(10),HLOOKUP("*"&amp;$D$1&amp;"*",'Horário - Ensino Médio'!$C21:$Z$32,$A8,FALSE)),"Janela")))</f>
        <v>Janela</v>
      </c>
      <c r="F8" s="38" t="str">
        <f>IF((COUNTIF('Horário - Graduação'!$C48:$AW48,"*"&amp;$D$1&amp;"*")+COUNTIF('Horário - Ensino Médio'!$C36:$Z36,"*"&amp;$D$1&amp;"*"))&gt;1,IF(COUNTIF('Horário - Ensino Médio'!$C36:$Z36,"*"&amp;$D$1&amp;"*")&gt;0,CONCAT("[CHOQUE] - ",IFERROR(CONCAT(HLOOKUP("*"&amp;$D$1&amp;"*",'Horário - Graduação'!$C48:$AW$65,1,FALSE)&amp; CHAR(10),HLOOKUP("*"&amp;$D$1&amp;"*",'Horário - Graduação'!$C48:$AW$65,$B8,FALSE)),IFERROR(CONCAT(HLOOKUP("*"&amp;$D$1&amp;"*",'Horário - Ensino Médio'!$C36:$Z$47,1,FALSE)&amp; CHAR(10),HLOOKUP("*"&amp;$D$1&amp;"*",'Horário - Ensino Médio'!$C36:$Z$47,$A8,FALSE)),"Janela"))),CONCATENATE(HLOOKUP("*"&amp;$D$1&amp;"*",'Horário - Graduação'!$C48:$AW$65,1,FALSE)&amp; CHAR(10),HLOOKUP("*"&amp;$D$1&amp;"*",'Horário - Graduação'!$C48:$AW$65,$B8,FALSE)," + OUTRO")),IFERROR(CONCAT(HLOOKUP("*"&amp;$D$1&amp;"*",'Horário - Graduação'!$C48:$AW$65,1,FALSE)&amp; CHAR(10),HLOOKUP("*"&amp;$D$1&amp;"*",'Horário - Graduação'!$C48:$AW$65,$B8,FALSE)),IFERROR(CONCAT(HLOOKUP("*"&amp;$D$1&amp;"*",'Horário - Ensino Médio'!$C36:$Z$47,1,FALSE)&amp; CHAR(10),HLOOKUP("*"&amp;$D$1&amp;"*",'Horário - Ensino Médio'!$C36:$Z$47,$A8,FALSE)),"Janela")))</f>
        <v>Redes de comput. 
(Jamerson Jardel) (Lab. Redes)
3º ANO B - Informática</v>
      </c>
      <c r="G8" s="38" t="str">
        <f>IF((COUNTIF('Horário - Graduação'!$C69:$AW69,"*"&amp;$D$1&amp;"*")+COUNTIF('Horário - Ensino Médio'!$C51:$Z51,"*"&amp;$D$1&amp;"*"))&gt;1,IF(COUNTIF('Horário - Ensino Médio'!$C51:$Z51,"*"&amp;$D$1&amp;"*")&gt;0,CONCAT("[CHOQUE] - ",IFERROR(CONCAT(HLOOKUP("*"&amp;$D$1&amp;"*",'Horário - Graduação'!$C69:$AW$86,1,FALSE)&amp; CHAR(10),HLOOKUP("*"&amp;$D$1&amp;"*",'Horário - Graduação'!$C69:$AW$86,$B8,FALSE)),IFERROR(CONCAT(HLOOKUP("*"&amp;$D$1&amp;"*",'Horário - Ensino Médio'!$C51:$Z$62,1,FALSE)&amp; CHAR(10),HLOOKUP("*"&amp;$D$1&amp;"*",'Horário - Ensino Médio'!$C51:$Z$62,$A8,FALSE)),"Janela"))),CONCATENATE(HLOOKUP("*"&amp;$D$1&amp;"*",'Horário - Graduação'!$C69:$AW$86,1,FALSE)&amp; CHAR(10),HLOOKUP("*"&amp;$D$1&amp;"*",'Horário - Graduação'!$C69:$AW$86,$B8,FALSE)," + OUTRO")),IFERROR(CONCAT(HLOOKUP("*"&amp;$D$1&amp;"*",'Horário - Graduação'!$C69:$AW$86,1,FALSE)&amp; CHAR(10),HLOOKUP("*"&amp;$D$1&amp;"*",'Horário - Graduação'!$C69:$AW$86,$B8,FALSE)),IFERROR(CONCAT(HLOOKUP("*"&amp;$D$1&amp;"*",'Horário - Ensino Médio'!$C51:$Z$62,1,FALSE)&amp; CHAR(10),HLOOKUP("*"&amp;$D$1&amp;"*",'Horário - Ensino Médio'!$C51:$Z$62,$A8,FALSE)),"Janela")))</f>
        <v>Janela</v>
      </c>
      <c r="H8" s="38" t="str">
        <f>IF((COUNTIF('Horário - Graduação'!$C90:$AW90,"*"&amp;$D$1&amp;"*")+COUNTIF('Horário - Ensino Médio'!$C66:$Z66,"*"&amp;$D$1&amp;"*"))&gt;1,IF(COUNTIF('Horário - Ensino Médio'!$C66:$Z66,"*"&amp;$D$1&amp;"*")&gt;0,CONCAT("[CHOQUE] - ",IFERROR(CONCAT(HLOOKUP("*"&amp;$D$1&amp;"*",'Horário - Graduação'!$C90:$AW$107,1,FALSE)&amp; CHAR(10),HLOOKUP("*"&amp;$D$1&amp;"*",'Horário - Graduação'!$C90:$AW$107,$B8,FALSE)),IFERROR(CONCAT(HLOOKUP("*"&amp;$D$1&amp;"*",'Horário - Ensino Médio'!$C66:$Z$77,1,FALSE)&amp; CHAR(10),HLOOKUP("*"&amp;$D$1&amp;"*",'Horário - Ensino Médio'!$C66:$Z$77,$A8,FALSE)),"Janela"))),CONCATENATE(HLOOKUP("*"&amp;$D$1&amp;"*",'Horário - Graduação'!$C90:$AW$107,1,FALSE)&amp; CHAR(10),HLOOKUP("*"&amp;$D$1&amp;"*",'Horário - Graduação'!$C90:$AW$107,$B8,FALSE)," + OUTRO")),IFERROR(CONCAT(HLOOKUP("*"&amp;$D$1&amp;"*",'Horário - Graduação'!$C90:$AW$107,1,FALSE)&amp; CHAR(10),HLOOKUP("*"&amp;$D$1&amp;"*",'Horário - Graduação'!$C90:$AW$107,$B8,FALSE)),IFERROR(CONCAT(HLOOKUP("*"&amp;$D$1&amp;"*",'Horário - Ensino Médio'!$C66:$Z$77,1,FALSE)&amp; CHAR(10),HLOOKUP("*"&amp;$D$1&amp;"*",'Horário - Ensino Médio'!$C66:$Z$77,$A8,FALSE)),"Janela")))</f>
        <v>Redes de comput. 
(Jamerson Jardel) (Lab. Redes)
3º ANO A - Informática</v>
      </c>
    </row>
    <row r="9" ht="59.25" customHeight="1">
      <c r="A9" s="25">
        <v>11.0</v>
      </c>
      <c r="B9" s="29">
        <v>17.0</v>
      </c>
      <c r="C9" s="20" t="s">
        <v>120</v>
      </c>
      <c r="D9" s="38" t="str">
        <f>IF((COUNTIF('Horário - Graduação'!$C7:$AW7,"*"&amp;$D$1&amp;"*")+COUNTIF('Horário - Ensino Médio'!$C7:$Z7,"*"&amp;$D$1&amp;"*"))&gt;1,IF(COUNTIF('Horário - Ensino Médio'!$C7:$Z7,"*"&amp;$D$1&amp;"*")&gt;0,CONCAT("[CHOQUE] - ",IFERROR(CONCAT(HLOOKUP("*"&amp;$D$1&amp;"*",'Horário - Graduação'!$C7:$AW$23,1,FALSE)&amp; CHAR(10),HLOOKUP("*"&amp;$D$1&amp;"*",'Horário - Graduação'!$C7:$AW$23,$B9,FALSE)),IFERROR(CONCAT(HLOOKUP("*"&amp;$D$1&amp;"*",'Horário - Ensino Médio'!$C7:$Z$17,1,FALSE)&amp; CHAR(10),HLOOKUP("*"&amp;$D$1&amp;"*",'Horário - Ensino Médio'!$C7:$Z$17,$A9,FALSE)),"Janela"))),CONCATENATE(HLOOKUP("*"&amp;$D$1&amp;"*",'Horário - Graduação'!$C7:$AW$23,1,FALSE)&amp; CHAR(10),HLOOKUP("*"&amp;$D$1&amp;"*",'Horário - Graduação'!$C7:$AW$23,$B9,FALSE)," + OUTRO")),IFERROR(CONCAT(HLOOKUP("*"&amp;$D$1&amp;"*",'Horário - Graduação'!$C7:$AW$23,1,FALSE)&amp; CHAR(10),HLOOKUP("*"&amp;$D$1&amp;"*",'Horário - Graduação'!$C7:$AW$23,$B9,FALSE)),IFERROR(CONCAT(HLOOKUP("*"&amp;$D$1&amp;"*",'Horário - Ensino Médio'!$C7:$Z$17,1,FALSE)&amp; CHAR(10),HLOOKUP("*"&amp;$D$1&amp;"*",'Horário - Ensino Médio'!$C7:$Z$17,$A9,FALSE)),"Janela")))</f>
        <v>Janela</v>
      </c>
      <c r="E9" s="38" t="str">
        <f>IF((COUNTIF('Horário - Graduação'!$C28:$AW28,"*"&amp;$D$1&amp;"*")+COUNTIF('Horário - Ensino Médio'!$C22:$Z22,"*"&amp;$D$1&amp;"*"))&gt;1,IF(COUNTIF('Horário - Ensino Médio'!$C22:$Z22,"*"&amp;$D$1&amp;"*")&gt;0,CONCAT("[CHOQUE] - ",IFERROR(CONCAT(HLOOKUP("*"&amp;$D$1&amp;"*",'Horário - Graduação'!$C28:$AW$44,1,FALSE)&amp; CHAR(10),HLOOKUP("*"&amp;$D$1&amp;"*",'Horário - Graduação'!$C28:$AW$44,$B9,FALSE)),IFERROR(CONCAT(HLOOKUP("*"&amp;$D$1&amp;"*",'Horário - Ensino Médio'!$C22:$Z$32,1,FALSE)&amp; CHAR(10),HLOOKUP("*"&amp;$D$1&amp;"*",'Horário - Ensino Médio'!$C22:$Z$32,$A9,FALSE)),"Janela"))),CONCATENATE(HLOOKUP("*"&amp;$D$1&amp;"*",'Horário - Graduação'!$C28:$AW$44,1,FALSE)&amp; CHAR(10),HLOOKUP("*"&amp;$D$1&amp;"*",'Horário - Graduação'!$C28:$AW$44,$B9,FALSE)," + OUTRO")),IFERROR(CONCAT(HLOOKUP("*"&amp;$D$1&amp;"*",'Horário - Graduação'!$C28:$AW$44,1,FALSE)&amp; CHAR(10),HLOOKUP("*"&amp;$D$1&amp;"*",'Horário - Graduação'!$C28:$AW$44,$B9,FALSE)),IFERROR(CONCAT(HLOOKUP("*"&amp;$D$1&amp;"*",'Horário - Ensino Médio'!$C22:$Z$32,1,FALSE)&amp; CHAR(10),HLOOKUP("*"&amp;$D$1&amp;"*",'Horário - Ensino Médio'!$C22:$Z$32,$A9,FALSE)),"Janela")))</f>
        <v>Janela</v>
      </c>
      <c r="F9" s="38" t="str">
        <f>IF((COUNTIF('Horário - Graduação'!$C49:$AW49,"*"&amp;$D$1&amp;"*")+COUNTIF('Horário - Ensino Médio'!$C37:$Z37,"*"&amp;$D$1&amp;"*"))&gt;1,IF(COUNTIF('Horário - Ensino Médio'!$C37:$Z37,"*"&amp;$D$1&amp;"*")&gt;0,CONCAT("[CHOQUE] - ",IFERROR(CONCAT(HLOOKUP("*"&amp;$D$1&amp;"*",'Horário - Graduação'!$C49:$AW$65,1,FALSE)&amp; CHAR(10),HLOOKUP("*"&amp;$D$1&amp;"*",'Horário - Graduação'!$C49:$AW$65,$B9,FALSE)),IFERROR(CONCAT(HLOOKUP("*"&amp;$D$1&amp;"*",'Horário - Ensino Médio'!$C37:$Z$47,1,FALSE)&amp; CHAR(10),HLOOKUP("*"&amp;$D$1&amp;"*",'Horário - Ensino Médio'!$C37:$Z$47,$A9,FALSE)),"Janela"))),CONCATENATE(HLOOKUP("*"&amp;$D$1&amp;"*",'Horário - Graduação'!$C49:$AW$65,1,FALSE)&amp; CHAR(10),HLOOKUP("*"&amp;$D$1&amp;"*",'Horário - Graduação'!$C49:$AW$65,$B9,FALSE)," + OUTRO")),IFERROR(CONCAT(HLOOKUP("*"&amp;$D$1&amp;"*",'Horário - Graduação'!$C49:$AW$65,1,FALSE)&amp; CHAR(10),HLOOKUP("*"&amp;$D$1&amp;"*",'Horário - Graduação'!$C49:$AW$65,$B9,FALSE)),IFERROR(CONCAT(HLOOKUP("*"&amp;$D$1&amp;"*",'Horário - Ensino Médio'!$C37:$Z$47,1,FALSE)&amp; CHAR(10),HLOOKUP("*"&amp;$D$1&amp;"*",'Horário - Ensino Médio'!$C37:$Z$47,$A9,FALSE)),"Janela")))</f>
        <v>Redes de comput. 
(Jamerson Jardel) (Lab. Redes)
3º ANO B - Informática</v>
      </c>
      <c r="G9" s="38" t="str">
        <f>IF((COUNTIF('Horário - Graduação'!$C70:$AW70,"*"&amp;$D$1&amp;"*")+COUNTIF('Horário - Ensino Médio'!$C52:$Z52,"*"&amp;$D$1&amp;"*"))&gt;1,IF(COUNTIF('Horário - Ensino Médio'!$C52:$Z52,"*"&amp;$D$1&amp;"*")&gt;0,CONCAT("[CHOQUE] - ",IFERROR(CONCAT(HLOOKUP("*"&amp;$D$1&amp;"*",'Horário - Graduação'!$C70:$AW$86,1,FALSE)&amp; CHAR(10),HLOOKUP("*"&amp;$D$1&amp;"*",'Horário - Graduação'!$C70:$AW$86,$B9,FALSE)),IFERROR(CONCAT(HLOOKUP("*"&amp;$D$1&amp;"*",'Horário - Ensino Médio'!$C52:$Z$62,1,FALSE)&amp; CHAR(10),HLOOKUP("*"&amp;$D$1&amp;"*",'Horário - Ensino Médio'!$C52:$Z$62,$A9,FALSE)),"Janela"))),CONCATENATE(HLOOKUP("*"&amp;$D$1&amp;"*",'Horário - Graduação'!$C70:$AW$86,1,FALSE)&amp; CHAR(10),HLOOKUP("*"&amp;$D$1&amp;"*",'Horário - Graduação'!$C70:$AW$86,$B9,FALSE)," + OUTRO")),IFERROR(CONCAT(HLOOKUP("*"&amp;$D$1&amp;"*",'Horário - Graduação'!$C70:$AW$86,1,FALSE)&amp; CHAR(10),HLOOKUP("*"&amp;$D$1&amp;"*",'Horário - Graduação'!$C70:$AW$86,$B9,FALSE)),IFERROR(CONCAT(HLOOKUP("*"&amp;$D$1&amp;"*",'Horário - Ensino Médio'!$C52:$Z$62,1,FALSE)&amp; CHAR(10),HLOOKUP("*"&amp;$D$1&amp;"*",'Horário - Ensino Médio'!$C52:$Z$62,$A9,FALSE)),"Janela")))</f>
        <v>Janela</v>
      </c>
      <c r="H9" s="38" t="str">
        <f>IF((COUNTIF('Horário - Graduação'!$C91:$AW91,"*"&amp;$D$1&amp;"*")+COUNTIF('Horário - Ensino Médio'!$C67:$Z67,"*"&amp;$D$1&amp;"*"))&gt;1,IF(COUNTIF('Horário - Ensino Médio'!$C67:$Z67,"*"&amp;$D$1&amp;"*")&gt;0,CONCAT("[CHOQUE] - ",IFERROR(CONCAT(HLOOKUP("*"&amp;$D$1&amp;"*",'Horário - Graduação'!$C91:$AW$107,1,FALSE)&amp; CHAR(10),HLOOKUP("*"&amp;$D$1&amp;"*",'Horário - Graduação'!$C91:$AW$107,$B9,FALSE)),IFERROR(CONCAT(HLOOKUP("*"&amp;$D$1&amp;"*",'Horário - Ensino Médio'!$C67:$Z$77,1,FALSE)&amp; CHAR(10),HLOOKUP("*"&amp;$D$1&amp;"*",'Horário - Ensino Médio'!$C67:$Z$77,$A9,FALSE)),"Janela"))),CONCATENATE(HLOOKUP("*"&amp;$D$1&amp;"*",'Horário - Graduação'!$C91:$AW$107,1,FALSE)&amp; CHAR(10),HLOOKUP("*"&amp;$D$1&amp;"*",'Horário - Graduação'!$C91:$AW$107,$B9,FALSE)," + OUTRO")),IFERROR(CONCAT(HLOOKUP("*"&amp;$D$1&amp;"*",'Horário - Graduação'!$C91:$AW$107,1,FALSE)&amp; CHAR(10),HLOOKUP("*"&amp;$D$1&amp;"*",'Horário - Graduação'!$C91:$AW$107,$B9,FALSE)),IFERROR(CONCAT(HLOOKUP("*"&amp;$D$1&amp;"*",'Horário - Ensino Médio'!$C67:$Z$77,1,FALSE)&amp; CHAR(10),HLOOKUP("*"&amp;$D$1&amp;"*",'Horário - Ensino Médio'!$C67:$Z$77,$A9,FALSE)),"Janela")))</f>
        <v>Redes de comput. 
(Jamerson Jardel) (Lab. Redes)
3º ANO A - Informática</v>
      </c>
    </row>
    <row r="10" ht="59.25" customHeight="1">
      <c r="A10" s="25">
        <v>10.0</v>
      </c>
      <c r="B10" s="29">
        <v>16.0</v>
      </c>
      <c r="C10" s="20" t="s">
        <v>121</v>
      </c>
      <c r="D10" s="38" t="str">
        <f>IF((COUNTIF('Horário - Graduação'!$C8:$AW8,"*"&amp;$D$1&amp;"*")+COUNTIF('Horário - Ensino Médio'!$C8:$Z8,"*"&amp;$D$1&amp;"*"))&gt;1,IF(COUNTIF('Horário - Ensino Médio'!$C8:$Z8,"*"&amp;$D$1&amp;"*")&gt;0,CONCAT("[CHOQUE] - ",IFERROR(CONCAT(HLOOKUP("*"&amp;$D$1&amp;"*",'Horário - Graduação'!$C8:$AW$23,1,FALSE)&amp; CHAR(10),HLOOKUP("*"&amp;$D$1&amp;"*",'Horário - Graduação'!$C8:$AW$23,$B10,FALSE)),IFERROR(CONCAT(HLOOKUP("*"&amp;$D$1&amp;"*",'Horário - Ensino Médio'!$C8:$Z$17,1,FALSE)&amp; CHAR(10),HLOOKUP("*"&amp;$D$1&amp;"*",'Horário - Ensino Médio'!$C8:$Z$17,$A10,FALSE)),"Janela"))),CONCATENATE(HLOOKUP("*"&amp;$D$1&amp;"*",'Horário - Graduação'!$C8:$AW$23,1,FALSE)&amp; CHAR(10),HLOOKUP("*"&amp;$D$1&amp;"*",'Horário - Graduação'!$C8:$AW$23,$B10,FALSE)," + OUTRO")),IFERROR(CONCAT(HLOOKUP("*"&amp;$D$1&amp;"*",'Horário - Graduação'!$C8:$AW$23,1,FALSE)&amp; CHAR(10),HLOOKUP("*"&amp;$D$1&amp;"*",'Horário - Graduação'!$C8:$AW$23,$B10,FALSE)),IFERROR(CONCAT(HLOOKUP("*"&amp;$D$1&amp;"*",'Horário - Ensino Médio'!$C8:$Z$17,1,FALSE)&amp; CHAR(10),HLOOKUP("*"&amp;$D$1&amp;"*",'Horário - Ensino Médio'!$C8:$Z$17,$A10,FALSE)),"Janela")))</f>
        <v>Janela</v>
      </c>
      <c r="E10" s="38" t="str">
        <f>IF((COUNTIF('Horário - Graduação'!$C29:$AW29,"*"&amp;$D$1&amp;"*")+COUNTIF('Horário - Ensino Médio'!$C23:$Z23,"*"&amp;$D$1&amp;"*"))&gt;1,IF(COUNTIF('Horário - Ensino Médio'!$C23:$Z23,"*"&amp;$D$1&amp;"*")&gt;0,CONCAT("[CHOQUE] - ",IFERROR(CONCAT(HLOOKUP("*"&amp;$D$1&amp;"*",'Horário - Graduação'!$C29:$AW$44,1,FALSE)&amp; CHAR(10),HLOOKUP("*"&amp;$D$1&amp;"*",'Horário - Graduação'!$C29:$AW$44,$B10,FALSE)),IFERROR(CONCAT(HLOOKUP("*"&amp;$D$1&amp;"*",'Horário - Ensino Médio'!$C23:$Z$32,1,FALSE)&amp; CHAR(10),HLOOKUP("*"&amp;$D$1&amp;"*",'Horário - Ensino Médio'!$C23:$Z$32,$A10,FALSE)),"Janela"))),CONCATENATE(HLOOKUP("*"&amp;$D$1&amp;"*",'Horário - Graduação'!$C29:$AW$44,1,FALSE)&amp; CHAR(10),HLOOKUP("*"&amp;$D$1&amp;"*",'Horário - Graduação'!$C29:$AW$44,$B10,FALSE)," + OUTRO")),IFERROR(CONCAT(HLOOKUP("*"&amp;$D$1&amp;"*",'Horário - Graduação'!$C29:$AW$44,1,FALSE)&amp; CHAR(10),HLOOKUP("*"&amp;$D$1&amp;"*",'Horário - Graduação'!$C29:$AW$44,$B10,FALSE)),IFERROR(CONCAT(HLOOKUP("*"&amp;$D$1&amp;"*",'Horário - Ensino Médio'!$C23:$Z$32,1,FALSE)&amp; CHAR(10),HLOOKUP("*"&amp;$D$1&amp;"*",'Horário - Ensino Médio'!$C23:$Z$32,$A10,FALSE)),"Janela")))</f>
        <v>Janela</v>
      </c>
      <c r="F10" s="38" t="str">
        <f>IF((COUNTIF('Horário - Graduação'!$C50:$AW50,"*"&amp;$D$1&amp;"*")+COUNTIF('Horário - Ensino Médio'!$C38:$Z38,"*"&amp;$D$1&amp;"*"))&gt;1,IF(COUNTIF('Horário - Ensino Médio'!$C38:$Z38,"*"&amp;$D$1&amp;"*")&gt;0,CONCAT("[CHOQUE] - ",IFERROR(CONCAT(HLOOKUP("*"&amp;$D$1&amp;"*",'Horário - Graduação'!$C50:$AW$65,1,FALSE)&amp; CHAR(10),HLOOKUP("*"&amp;$D$1&amp;"*",'Horário - Graduação'!$C50:$AW$65,$B10,FALSE)),IFERROR(CONCAT(HLOOKUP("*"&amp;$D$1&amp;"*",'Horário - Ensino Médio'!$C38:$Z$47,1,FALSE)&amp; CHAR(10),HLOOKUP("*"&amp;$D$1&amp;"*",'Horário - Ensino Médio'!$C38:$Z$47,$A10,FALSE)),"Janela"))),CONCATENATE(HLOOKUP("*"&amp;$D$1&amp;"*",'Horário - Graduação'!$C50:$AW$65,1,FALSE)&amp; CHAR(10),HLOOKUP("*"&amp;$D$1&amp;"*",'Horário - Graduação'!$C50:$AW$65,$B10,FALSE)," + OUTRO")),IFERROR(CONCAT(HLOOKUP("*"&amp;$D$1&amp;"*",'Horário - Graduação'!$C50:$AW$65,1,FALSE)&amp; CHAR(10),HLOOKUP("*"&amp;$D$1&amp;"*",'Horário - Graduação'!$C50:$AW$65,$B10,FALSE)),IFERROR(CONCAT(HLOOKUP("*"&amp;$D$1&amp;"*",'Horário - Ensino Médio'!$C38:$Z$47,1,FALSE)&amp; CHAR(10),HLOOKUP("*"&amp;$D$1&amp;"*",'Horário - Ensino Médio'!$C38:$Z$47,$A10,FALSE)),"Janela")))</f>
        <v>Redes de comput. 
(Jamerson Jardel) (Lab. Redes)
3º ANO B - Informática</v>
      </c>
      <c r="G10" s="38" t="str">
        <f>IF((COUNTIF('Horário - Graduação'!$C71:$AW71,"*"&amp;$D$1&amp;"*")+COUNTIF('Horário - Ensino Médio'!$C53:$Z53,"*"&amp;$D$1&amp;"*"))&gt;1,IF(COUNTIF('Horário - Ensino Médio'!$C53:$Z53,"*"&amp;$D$1&amp;"*")&gt;0,CONCAT("[CHOQUE] - ",IFERROR(CONCAT(HLOOKUP("*"&amp;$D$1&amp;"*",'Horário - Graduação'!$C71:$AW$86,1,FALSE)&amp; CHAR(10),HLOOKUP("*"&amp;$D$1&amp;"*",'Horário - Graduação'!$C71:$AW$86,$B10,FALSE)),IFERROR(CONCAT(HLOOKUP("*"&amp;$D$1&amp;"*",'Horário - Ensino Médio'!$C53:$Z$62,1,FALSE)&amp; CHAR(10),HLOOKUP("*"&amp;$D$1&amp;"*",'Horário - Ensino Médio'!$C53:$Z$62,$A10,FALSE)),"Janela"))),CONCATENATE(HLOOKUP("*"&amp;$D$1&amp;"*",'Horário - Graduação'!$C71:$AW$86,1,FALSE)&amp; CHAR(10),HLOOKUP("*"&amp;$D$1&amp;"*",'Horário - Graduação'!$C71:$AW$86,$B10,FALSE)," + OUTRO")),IFERROR(CONCAT(HLOOKUP("*"&amp;$D$1&amp;"*",'Horário - Graduação'!$C71:$AW$86,1,FALSE)&amp; CHAR(10),HLOOKUP("*"&amp;$D$1&amp;"*",'Horário - Graduação'!$C71:$AW$86,$B10,FALSE)),IFERROR(CONCAT(HLOOKUP("*"&amp;$D$1&amp;"*",'Horário - Ensino Médio'!$C53:$Z$62,1,FALSE)&amp; CHAR(10),HLOOKUP("*"&amp;$D$1&amp;"*",'Horário - Ensino Médio'!$C53:$Z$62,$A10,FALSE)),"Janela")))</f>
        <v>Janela</v>
      </c>
      <c r="H10" s="38" t="str">
        <f>IF((COUNTIF('Horário - Graduação'!$C92:$AW92,"*"&amp;$D$1&amp;"*")+COUNTIF('Horário - Ensino Médio'!$C68:$Z68,"*"&amp;$D$1&amp;"*"))&gt;1,IF(COUNTIF('Horário - Ensino Médio'!$C68:$Z68,"*"&amp;$D$1&amp;"*")&gt;0,CONCAT("[CHOQUE] - ",IFERROR(CONCAT(HLOOKUP("*"&amp;$D$1&amp;"*",'Horário - Graduação'!$C92:$AW$107,1,FALSE)&amp; CHAR(10),HLOOKUP("*"&amp;$D$1&amp;"*",'Horário - Graduação'!$C92:$AW$107,$B10,FALSE)),IFERROR(CONCAT(HLOOKUP("*"&amp;$D$1&amp;"*",'Horário - Ensino Médio'!$C68:$Z$77,1,FALSE)&amp; CHAR(10),HLOOKUP("*"&amp;$D$1&amp;"*",'Horário - Ensino Médio'!$C68:$Z$77,$A10,FALSE)),"Janela"))),CONCATENATE(HLOOKUP("*"&amp;$D$1&amp;"*",'Horário - Graduação'!$C92:$AW$107,1,FALSE)&amp; CHAR(10),HLOOKUP("*"&amp;$D$1&amp;"*",'Horário - Graduação'!$C92:$AW$107,$B10,FALSE)," + OUTRO")),IFERROR(CONCAT(HLOOKUP("*"&amp;$D$1&amp;"*",'Horário - Graduação'!$C92:$AW$107,1,FALSE)&amp; CHAR(10),HLOOKUP("*"&amp;$D$1&amp;"*",'Horário - Graduação'!$C92:$AW$107,$B10,FALSE)),IFERROR(CONCAT(HLOOKUP("*"&amp;$D$1&amp;"*",'Horário - Ensino Médio'!$C68:$Z$77,1,FALSE)&amp; CHAR(10),HLOOKUP("*"&amp;$D$1&amp;"*",'Horário - Ensino Médio'!$C68:$Z$77,$A10,FALSE)),"Janela")))</f>
        <v>Redes de comput. 
(Jamerson Jardel) (Lab. Redes)
3º ANO A - Informática</v>
      </c>
    </row>
    <row r="11" ht="15.75" customHeight="1">
      <c r="A11" s="25">
        <v>9.0</v>
      </c>
      <c r="B11" s="29">
        <v>15.0</v>
      </c>
      <c r="C11" s="77" t="s">
        <v>124</v>
      </c>
      <c r="D11" s="79" t="s">
        <v>124</v>
      </c>
      <c r="E11" s="79" t="s">
        <v>124</v>
      </c>
      <c r="F11" s="79" t="s">
        <v>124</v>
      </c>
      <c r="G11" s="79" t="s">
        <v>124</v>
      </c>
      <c r="H11" s="79" t="s">
        <v>124</v>
      </c>
    </row>
    <row r="12" ht="45.75" customHeight="1">
      <c r="A12" s="25">
        <v>8.0</v>
      </c>
      <c r="B12" s="29">
        <v>14.0</v>
      </c>
      <c r="C12" s="20" t="s">
        <v>126</v>
      </c>
      <c r="D12" s="38" t="str">
        <f>IF((COUNTIF('Horário - Graduação'!$C10:$AW10,"*"&amp;$D$1&amp;"*")+COUNTIF('Horário - Ensino Médio'!$C10:$Z10,"*"&amp;$D$1&amp;"*"))&gt;1,IF(COUNTIF('Horário - Ensino Médio'!$C10:$Z10,"*"&amp;$D$1&amp;"*")&gt;0,CONCAT("[CHOQUE] - ",IFERROR(CONCAT(HLOOKUP("*"&amp;$D$1&amp;"*",'Horário - Graduação'!$C10:$AW$23,1,FALSE)&amp; CHAR(10),HLOOKUP("*"&amp;$D$1&amp;"*",'Horário - Graduação'!$C10:$AW$23,$B12,FALSE)),IFERROR(CONCAT(HLOOKUP("*"&amp;$D$1&amp;"*",'Horário - Ensino Médio'!$C10:$Z$17,1,FALSE)&amp; CHAR(10),HLOOKUP("*"&amp;$D$1&amp;"*",'Horário - Ensino Médio'!$C10:$Z$17,$A12,FALSE)),"Janela"))),CONCATENATE(HLOOKUP("*"&amp;$D$1&amp;"*",'Horário - Graduação'!$C10:$AW$23,1,FALSE)&amp; CHAR(10),HLOOKUP("*"&amp;$D$1&amp;"*",'Horário - Graduação'!$C10:$AW$23,$B12,FALSE)," + OUTRO")),IFERROR(CONCAT(HLOOKUP("*"&amp;$D$1&amp;"*",'Horário - Graduação'!$C10:$AW$23,1,FALSE)&amp; CHAR(10),HLOOKUP("*"&amp;$D$1&amp;"*",'Horário - Graduação'!$C10:$AW$23,$B12,FALSE)),IFERROR(CONCAT(HLOOKUP("*"&amp;$D$1&amp;"*",'Horário - Ensino Médio'!$C10:$Z$17,1,FALSE)&amp; CHAR(10),HLOOKUP("*"&amp;$D$1&amp;"*",'Horário - Ensino Médio'!$C10:$Z$17,$A12,FALSE)),"Janela")))</f>
        <v>Janela</v>
      </c>
      <c r="E12" s="38" t="str">
        <f>IF((COUNTIF('Horário - Graduação'!$C31:$AW31,"*"&amp;$D$1&amp;"*")+COUNTIF('Horário - Ensino Médio'!$C25:$Z25,"*"&amp;$D$1&amp;"*"))&gt;1,IF(COUNTIF('Horário - Ensino Médio'!$C25:$Z25,"*"&amp;$D$1&amp;"*")&gt;0,CONCAT("[CHOQUE] - ",IFERROR(CONCAT(HLOOKUP("*"&amp;$D$1&amp;"*",'Horário - Graduação'!$C31:$AW$44,1,FALSE)&amp; CHAR(10),HLOOKUP("*"&amp;$D$1&amp;"*",'Horário - Graduação'!$C31:$AW$44,$B12,FALSE)),IFERROR(CONCAT(HLOOKUP("*"&amp;$D$1&amp;"*",'Horário - Ensino Médio'!$C25:$Z$32,1,FALSE)&amp; CHAR(10),HLOOKUP("*"&amp;$D$1&amp;"*",'Horário - Ensino Médio'!$C25:$Z$32,$A12,FALSE)),"Janela"))),CONCATENATE(HLOOKUP("*"&amp;$D$1&amp;"*",'Horário - Graduação'!$C31:$AW$44,1,FALSE)&amp; CHAR(10),HLOOKUP("*"&amp;$D$1&amp;"*",'Horário - Graduação'!$C31:$AW$44,$B12,FALSE)," + OUTRO")),IFERROR(CONCAT(HLOOKUP("*"&amp;$D$1&amp;"*",'Horário - Graduação'!$C31:$AW$44,1,FALSE)&amp; CHAR(10),HLOOKUP("*"&amp;$D$1&amp;"*",'Horário - Graduação'!$C31:$AW$44,$B12,FALSE)),IFERROR(CONCAT(HLOOKUP("*"&amp;$D$1&amp;"*",'Horário - Ensino Médio'!$C25:$Z$32,1,FALSE)&amp; CHAR(10),HLOOKUP("*"&amp;$D$1&amp;"*",'Horário - Ensino Médio'!$C25:$Z$32,$A12,FALSE)),"Janela")))</f>
        <v>Janela</v>
      </c>
      <c r="F12" s="38" t="str">
        <f>IF((COUNTIF('Horário - Graduação'!$C52:$AW52,"*"&amp;$D$1&amp;"*")+COUNTIF('Horário - Ensino Médio'!$C40:$Z40,"*"&amp;$D$1&amp;"*"))&gt;1,IF(COUNTIF('Horário - Ensino Médio'!$C40:$Z40,"*"&amp;$D$1&amp;"*")&gt;0,CONCAT("[CHOQUE] - ",IFERROR(CONCAT(HLOOKUP("*"&amp;$D$1&amp;"*",'Horário - Graduação'!$C52:$AW$65,1,FALSE)&amp; CHAR(10),HLOOKUP("*"&amp;$D$1&amp;"*",'Horário - Graduação'!$C52:$AW$65,$B12,FALSE)),IFERROR(CONCAT(HLOOKUP("*"&amp;$D$1&amp;"*",'Horário - Ensino Médio'!$C40:$Z$47,1,FALSE)&amp; CHAR(10),HLOOKUP("*"&amp;$D$1&amp;"*",'Horário - Ensino Médio'!$C40:$Z$47,$A12,FALSE)),"Janela"))),CONCATENATE(HLOOKUP("*"&amp;$D$1&amp;"*",'Horário - Graduação'!$C52:$AW$65,1,FALSE)&amp; CHAR(10),HLOOKUP("*"&amp;$D$1&amp;"*",'Horário - Graduação'!$C52:$AW$65,$B12,FALSE)," + OUTRO")),IFERROR(CONCAT(HLOOKUP("*"&amp;$D$1&amp;"*",'Horário - Graduação'!$C52:$AW$65,1,FALSE)&amp; CHAR(10),HLOOKUP("*"&amp;$D$1&amp;"*",'Horário - Graduação'!$C52:$AW$65,$B12,FALSE)),IFERROR(CONCAT(HLOOKUP("*"&amp;$D$1&amp;"*",'Horário - Ensino Médio'!$C40:$Z$47,1,FALSE)&amp; CHAR(10),HLOOKUP("*"&amp;$D$1&amp;"*",'Horário - Ensino Médio'!$C40:$Z$47,$A12,FALSE)),"Janela")))</f>
        <v>Administração de Serviços de Redes de Computadores (Jamerson Jardel) (Lab. Redes)
6º PERÍODO
Sist. de Informação</v>
      </c>
      <c r="G12" s="38" t="str">
        <f>IF((COUNTIF('Horário - Graduação'!$C73:$AW73,"*"&amp;$D$1&amp;"*")+COUNTIF('Horário - Ensino Médio'!$C55:$Z55,"*"&amp;$D$1&amp;"*"))&gt;1,IF(COUNTIF('Horário - Ensino Médio'!$C55:$Z55,"*"&amp;$D$1&amp;"*")&gt;0,CONCAT("[CHOQUE] - ",IFERROR(CONCAT(HLOOKUP("*"&amp;$D$1&amp;"*",'Horário - Graduação'!$C73:$AW$86,1,FALSE)&amp; CHAR(10),HLOOKUP("*"&amp;$D$1&amp;"*",'Horário - Graduação'!$C73:$AW$86,$B12,FALSE)),IFERROR(CONCAT(HLOOKUP("*"&amp;$D$1&amp;"*",'Horário - Ensino Médio'!$C55:$Z$62,1,FALSE)&amp; CHAR(10),HLOOKUP("*"&amp;$D$1&amp;"*",'Horário - Ensino Médio'!$C55:$Z$62,$A12,FALSE)),"Janela"))),CONCATENATE(HLOOKUP("*"&amp;$D$1&amp;"*",'Horário - Graduação'!$C73:$AW$86,1,FALSE)&amp; CHAR(10),HLOOKUP("*"&amp;$D$1&amp;"*",'Horário - Graduação'!$C73:$AW$86,$B12,FALSE)," + OUTRO")),IFERROR(CONCAT(HLOOKUP("*"&amp;$D$1&amp;"*",'Horário - Graduação'!$C73:$AW$86,1,FALSE)&amp; CHAR(10),HLOOKUP("*"&amp;$D$1&amp;"*",'Horário - Graduação'!$C73:$AW$86,$B12,FALSE)),IFERROR(CONCAT(HLOOKUP("*"&amp;$D$1&amp;"*",'Horário - Ensino Médio'!$C55:$Z$62,1,FALSE)&amp; CHAR(10),HLOOKUP("*"&amp;$D$1&amp;"*",'Horário - Ensino Médio'!$C55:$Z$62,$A12,FALSE)),"Janela")))</f>
        <v>Administração de Serviços de Redes de Computadores (Jamerson Jardel) (Lab. Redes)
6º PERÍODO
Sist. de Informação</v>
      </c>
      <c r="H12" s="38" t="str">
        <f>IF((COUNTIF('Horário - Graduação'!$C94:$AW94,"*"&amp;$D$1&amp;"*")+COUNTIF(#REF!,"*"&amp;$D$1&amp;"*"))&gt;1,IF(COUNTIF(#REF!,"*"&amp;$D$1&amp;"*")&gt;0,CONCAT("[CHOQUE] - ",IFERROR(CONCAT(HLOOKUP("*"&amp;$D$1&amp;"*",'Horário - Graduação'!$C94:$AW$107,1,FALSE)&amp; CHAR(10),HLOOKUP("*"&amp;$D$1&amp;"*",'Horário - Graduação'!$C94:$AW$107,$B12,FALSE)),IFERROR(CONCAT(HLOOKUP("*"&amp;$D$1&amp;"*",'Horário - Ensino Médio'!$C75:$Z$77,1,FALSE)&amp; CHAR(10),HLOOKUP("*"&amp;$D$1&amp;"*",'Horário - Ensino Médio'!$C75:$Z$77,$A12,FALSE)),"Janela"))),CONCATENATE(HLOOKUP("*"&amp;$D$1&amp;"*",'Horário - Graduação'!$C94:$AW$107,1,FALSE)&amp; CHAR(10),HLOOKUP("*"&amp;$D$1&amp;"*",'Horário - Graduação'!$C94:$AW$107,$B12,FALSE)," + OUTRO")),IFERROR(CONCAT(HLOOKUP("*"&amp;$D$1&amp;"*",'Horário - Graduação'!$C94:$AW$107,1,FALSE)&amp; CHAR(10),HLOOKUP("*"&amp;$D$1&amp;"*",'Horário - Graduação'!$C94:$AW$107,$B12,FALSE)),IFERROR(CONCAT(HLOOKUP("*"&amp;$D$1&amp;"*",'Horário - Ensino Médio'!$C75:$Z$77,1,FALSE)&amp; CHAR(10),HLOOKUP("*"&amp;$D$1&amp;"*",'Horário - Ensino Médio'!$C75:$Z$77,$A12,FALSE)),"Janela")))</f>
        <v>#REF!</v>
      </c>
    </row>
    <row r="13" ht="52.5" customHeight="1">
      <c r="A13" s="25">
        <v>7.0</v>
      </c>
      <c r="B13" s="29">
        <v>13.0</v>
      </c>
      <c r="C13" s="20" t="s">
        <v>138</v>
      </c>
      <c r="D13" s="38" t="str">
        <f>IF((COUNTIF('Horário - Graduação'!$C11:$AW11,"*"&amp;$D$1&amp;"*")+COUNTIF('Horário - Ensino Médio'!$C11:$Z11,"*"&amp;$D$1&amp;"*"))&gt;1,IF(COUNTIF('Horário - Ensino Médio'!$C11:$Z11,"*"&amp;$D$1&amp;"*")&gt;0,CONCAT("[CHOQUE] - ",IFERROR(CONCAT(HLOOKUP("*"&amp;$D$1&amp;"*",'Horário - Graduação'!$C11:$AW$23,1,FALSE)&amp; CHAR(10),HLOOKUP("*"&amp;$D$1&amp;"*",'Horário - Graduação'!$C11:$AW$23,$B13,FALSE)),IFERROR(CONCAT(HLOOKUP("*"&amp;$D$1&amp;"*",'Horário - Ensino Médio'!$C11:$Z$17,1,FALSE)&amp; CHAR(10),HLOOKUP("*"&amp;$D$1&amp;"*",'Horário - Ensino Médio'!$C11:$Z$17,$A13,FALSE)),"Janela"))),CONCATENATE(HLOOKUP("*"&amp;$D$1&amp;"*",'Horário - Graduação'!$C11:$AW$23,1,FALSE)&amp; CHAR(10),HLOOKUP("*"&amp;$D$1&amp;"*",'Horário - Graduação'!$C11:$AW$23,$B13,FALSE)," + OUTRO")),IFERROR(CONCAT(HLOOKUP("*"&amp;$D$1&amp;"*",'Horário - Graduação'!$C11:$AW$23,1,FALSE)&amp; CHAR(10),HLOOKUP("*"&amp;$D$1&amp;"*",'Horário - Graduação'!$C11:$AW$23,$B13,FALSE)),IFERROR(CONCAT(HLOOKUP("*"&amp;$D$1&amp;"*",'Horário - Ensino Médio'!$C11:$Z$17,1,FALSE)&amp; CHAR(10),HLOOKUP("*"&amp;$D$1&amp;"*",'Horário - Ensino Médio'!$C11:$Z$17,$A13,FALSE)),"Janela")))</f>
        <v>Janela</v>
      </c>
      <c r="E13" s="38" t="str">
        <f>IF((COUNTIF('Horário - Graduação'!$C32:$AW32,"*"&amp;$D$1&amp;"*")+COUNTIF('Horário - Ensino Médio'!$C26:$Z26,"*"&amp;$D$1&amp;"*"))&gt;1,IF(COUNTIF('Horário - Ensino Médio'!$C26:$Z26,"*"&amp;$D$1&amp;"*")&gt;0,CONCAT("[CHOQUE] - ",IFERROR(CONCAT(HLOOKUP("*"&amp;$D$1&amp;"*",'Horário - Graduação'!$C32:$AW$44,1,FALSE)&amp; CHAR(10),HLOOKUP("*"&amp;$D$1&amp;"*",'Horário - Graduação'!$C32:$AW$44,$B13,FALSE)),IFERROR(CONCAT(HLOOKUP("*"&amp;$D$1&amp;"*",'Horário - Ensino Médio'!$C26:$Z$32,1,FALSE)&amp; CHAR(10),HLOOKUP("*"&amp;$D$1&amp;"*",'Horário - Ensino Médio'!$C26:$Z$32,$A13,FALSE)),"Janela"))),CONCATENATE(HLOOKUP("*"&amp;$D$1&amp;"*",'Horário - Graduação'!$C32:$AW$44,1,FALSE)&amp; CHAR(10),HLOOKUP("*"&amp;$D$1&amp;"*",'Horário - Graduação'!$C32:$AW$44,$B13,FALSE)," + OUTRO")),IFERROR(CONCAT(HLOOKUP("*"&amp;$D$1&amp;"*",'Horário - Graduação'!$C32:$AW$44,1,FALSE)&amp; CHAR(10),HLOOKUP("*"&amp;$D$1&amp;"*",'Horário - Graduação'!$C32:$AW$44,$B13,FALSE)),IFERROR(CONCAT(HLOOKUP("*"&amp;$D$1&amp;"*",'Horário - Ensino Médio'!$C26:$Z$32,1,FALSE)&amp; CHAR(10),HLOOKUP("*"&amp;$D$1&amp;"*",'Horário - Ensino Médio'!$C26:$Z$32,$A13,FALSE)),"Janela")))</f>
        <v>Janela</v>
      </c>
      <c r="F13" s="38" t="str">
        <f>IF((COUNTIF('Horário - Graduação'!$C53:$AW53,"*"&amp;$D$1&amp;"*")+COUNTIF('Horário - Ensino Médio'!$C41:$Z41,"*"&amp;$D$1&amp;"*"))&gt;1,IF(COUNTIF('Horário - Ensino Médio'!$C41:$Z41,"*"&amp;$D$1&amp;"*")&gt;0,CONCAT("[CHOQUE] - ",IFERROR(CONCAT(HLOOKUP("*"&amp;$D$1&amp;"*",'Horário - Graduação'!$C53:$AW$65,1,FALSE)&amp; CHAR(10),HLOOKUP("*"&amp;$D$1&amp;"*",'Horário - Graduação'!$C53:$AW$65,$B13,FALSE)),IFERROR(CONCAT(HLOOKUP("*"&amp;$D$1&amp;"*",'Horário - Ensino Médio'!$C41:$Z$47,1,FALSE)&amp; CHAR(10),HLOOKUP("*"&amp;$D$1&amp;"*",'Horário - Ensino Médio'!$C41:$Z$47,$A13,FALSE)),"Janela"))),CONCATENATE(HLOOKUP("*"&amp;$D$1&amp;"*",'Horário - Graduação'!$C53:$AW$65,1,FALSE)&amp; CHAR(10),HLOOKUP("*"&amp;$D$1&amp;"*",'Horário - Graduação'!$C53:$AW$65,$B13,FALSE)," + OUTRO")),IFERROR(CONCAT(HLOOKUP("*"&amp;$D$1&amp;"*",'Horário - Graduação'!$C53:$AW$65,1,FALSE)&amp; CHAR(10),HLOOKUP("*"&amp;$D$1&amp;"*",'Horário - Graduação'!$C53:$AW$65,$B13,FALSE)),IFERROR(CONCAT(HLOOKUP("*"&amp;$D$1&amp;"*",'Horário - Ensino Médio'!$C41:$Z$47,1,FALSE)&amp; CHAR(10),HLOOKUP("*"&amp;$D$1&amp;"*",'Horário - Ensino Médio'!$C41:$Z$47,$A13,FALSE)),"Janela")))</f>
        <v>Administração de Serviços de Redes de Computadores (Jamerson Jardel) (Lab. Redes)
6º PERÍODO
Sist. de Informação</v>
      </c>
      <c r="G13" s="38" t="str">
        <f>IF((COUNTIF('Horário - Graduação'!$C74:$AW74,"*"&amp;$D$1&amp;"*")+COUNTIF('Horário - Ensino Médio'!$C56:$Z56,"*"&amp;$D$1&amp;"*"))&gt;1,IF(COUNTIF('Horário - Ensino Médio'!$C56:$Z56,"*"&amp;$D$1&amp;"*")&gt;0,CONCAT("[CHOQUE] - ",IFERROR(CONCAT(HLOOKUP("*"&amp;$D$1&amp;"*",'Horário - Graduação'!$C74:$AW$86,1,FALSE)&amp; CHAR(10),HLOOKUP("*"&amp;$D$1&amp;"*",'Horário - Graduação'!$C74:$AW$86,$B13,FALSE)),IFERROR(CONCAT(HLOOKUP("*"&amp;$D$1&amp;"*",'Horário - Ensino Médio'!$C56:$Z$62,1,FALSE)&amp; CHAR(10),HLOOKUP("*"&amp;$D$1&amp;"*",'Horário - Ensino Médio'!$C56:$Z$62,$A13,FALSE)),"Janela"))),CONCATENATE(HLOOKUP("*"&amp;$D$1&amp;"*",'Horário - Graduação'!$C74:$AW$86,1,FALSE)&amp; CHAR(10),HLOOKUP("*"&amp;$D$1&amp;"*",'Horário - Graduação'!$C74:$AW$86,$B13,FALSE)," + OUTRO")),IFERROR(CONCAT(HLOOKUP("*"&amp;$D$1&amp;"*",'Horário - Graduação'!$C74:$AW$86,1,FALSE)&amp; CHAR(10),HLOOKUP("*"&amp;$D$1&amp;"*",'Horário - Graduação'!$C74:$AW$86,$B13,FALSE)),IFERROR(CONCAT(HLOOKUP("*"&amp;$D$1&amp;"*",'Horário - Ensino Médio'!$C56:$Z$62,1,FALSE)&amp; CHAR(10),HLOOKUP("*"&amp;$D$1&amp;"*",'Horário - Ensino Médio'!$C56:$Z$62,$A13,FALSE)),"Janela")))</f>
        <v>Administração de Serviços de Redes de Computadores (Jamerson Jardel) (Lab. Redes)
6º PERÍODO
Sist. de Informação</v>
      </c>
      <c r="H13" s="38" t="str">
        <f>IF((COUNTIF('Horário - Graduação'!$C95:$AW95,"*"&amp;$D$1&amp;"*")+COUNTIF(#REF!,"*"&amp;$D$1&amp;"*"))&gt;1,IF(COUNTIF(#REF!,"*"&amp;$D$1&amp;"*")&gt;0,CONCAT("[CHOQUE] - ",IFERROR(CONCAT(HLOOKUP("*"&amp;$D$1&amp;"*",'Horário - Graduação'!$C95:$AW$107,1,FALSE)&amp; CHAR(10),HLOOKUP("*"&amp;$D$1&amp;"*",'Horário - Graduação'!$C95:$AW$107,$B13,FALSE)),IFERROR(CONCAT(HLOOKUP("*"&amp;$D$1&amp;"*",'Horário - Ensino Médio'!$C75:$Z$77,1,FALSE)&amp; CHAR(10),HLOOKUP("*"&amp;$D$1&amp;"*",'Horário - Ensino Médio'!$C75:$Z$77,$A13,FALSE)),"Janela"))),CONCATENATE(HLOOKUP("*"&amp;$D$1&amp;"*",'Horário - Graduação'!$C95:$AW$107,1,FALSE)&amp; CHAR(10),HLOOKUP("*"&amp;$D$1&amp;"*",'Horário - Graduação'!$C95:$AW$107,$B13,FALSE)," + OUTRO")),IFERROR(CONCAT(HLOOKUP("*"&amp;$D$1&amp;"*",'Horário - Graduação'!$C95:$AW$107,1,FALSE)&amp; CHAR(10),HLOOKUP("*"&amp;$D$1&amp;"*",'Horário - Graduação'!$C95:$AW$107,$B13,FALSE)),IFERROR(CONCAT(HLOOKUP("*"&amp;$D$1&amp;"*",'Horário - Ensino Médio'!$C75:$Z$77,1,FALSE)&amp; CHAR(10),HLOOKUP("*"&amp;$D$1&amp;"*",'Horário - Ensino Médio'!$C75:$Z$77,$A13,FALSE)),"Janela")))</f>
        <v>#REF!</v>
      </c>
    </row>
    <row r="14" ht="15.75" customHeight="1">
      <c r="A14" s="25">
        <v>6.0</v>
      </c>
      <c r="B14" s="29">
        <v>12.0</v>
      </c>
      <c r="C14" s="77" t="s">
        <v>111</v>
      </c>
      <c r="D14" s="79" t="s">
        <v>111</v>
      </c>
      <c r="E14" s="79" t="s">
        <v>111</v>
      </c>
      <c r="F14" s="79" t="s">
        <v>111</v>
      </c>
      <c r="G14" s="79" t="s">
        <v>111</v>
      </c>
      <c r="H14" s="79" t="s">
        <v>111</v>
      </c>
    </row>
    <row r="15" ht="44.25" customHeight="1">
      <c r="A15" s="25">
        <v>5.0</v>
      </c>
      <c r="B15" s="29">
        <v>11.0</v>
      </c>
      <c r="C15" s="20" t="s">
        <v>141</v>
      </c>
      <c r="D15" s="38" t="str">
        <f>IF((COUNTIF('Horário - Graduação'!$C13:$AW13,"*"&amp;$D$1&amp;"*")+COUNTIF('Horário - Ensino Médio'!$C13:$Z13,"*"&amp;$D$1&amp;"*"))&gt;1,IF(COUNTIF('Horário - Ensino Médio'!$C13:$Z13,"*"&amp;$D$1&amp;"*")&gt;0,CONCAT("[CHOQUE] - ",IFERROR(CONCAT(HLOOKUP("*"&amp;$D$1&amp;"*",'Horário - Graduação'!$C13:$AW$23,1,FALSE)&amp; CHAR(10),HLOOKUP("*"&amp;$D$1&amp;"*",'Horário - Graduação'!$C13:$AW$23,$B15,FALSE)),IFERROR(CONCAT(HLOOKUP("*"&amp;$D$1&amp;"*",'Horário - Ensino Médio'!$C13:$Z$17,1,FALSE)&amp; CHAR(10),HLOOKUP("*"&amp;$D$1&amp;"*",'Horário - Ensino Médio'!$C13:$Z$17,$A15,FALSE)),"Janela"))),CONCATENATE(HLOOKUP("*"&amp;$D$1&amp;"*",'Horário - Graduação'!$C13:$AW$23,1,FALSE)&amp; CHAR(10),HLOOKUP("*"&amp;$D$1&amp;"*",'Horário - Graduação'!$C13:$AW$23,$B15,FALSE)," + OUTRO")),IFERROR(CONCAT(HLOOKUP("*"&amp;$D$1&amp;"*",'Horário - Graduação'!$C13:$AW$23,1,FALSE)&amp; CHAR(10),HLOOKUP("*"&amp;$D$1&amp;"*",'Horário - Graduação'!$C13:$AW$23,$B15,FALSE)),IFERROR(CONCAT(HLOOKUP("*"&amp;$D$1&amp;"*",'Horário - Ensino Médio'!$C13:$Z$17,1,FALSE)&amp; CHAR(10),HLOOKUP("*"&amp;$D$1&amp;"*",'Horário - Ensino Médio'!$C13:$Z$17,$A15,FALSE)),"Janela")))</f>
        <v>Janela</v>
      </c>
      <c r="E15" s="38" t="str">
        <f>IF((COUNTIF('Horário - Graduação'!$C34:$AW34,"*"&amp;$D$1&amp;"*")+COUNTIF('Horário - Ensino Médio'!$C28:$Z28,"*"&amp;$D$1&amp;"*"))&gt;1,IF(COUNTIF('Horário - Ensino Médio'!$C28:$Z28,"*"&amp;$D$1&amp;"*")&gt;0,CONCAT("[CHOQUE] - ",IFERROR(CONCAT(HLOOKUP("*"&amp;$D$1&amp;"*",'Horário - Graduação'!$C34:$AW$44,1,FALSE)&amp; CHAR(10),HLOOKUP("*"&amp;$D$1&amp;"*",'Horário - Graduação'!$C34:$AW$44,$B15,FALSE)),IFERROR(CONCAT(HLOOKUP("*"&amp;$D$1&amp;"*",'Horário - Ensino Médio'!$C28:$Z$32,1,FALSE)&amp; CHAR(10),HLOOKUP("*"&amp;$D$1&amp;"*",'Horário - Ensino Médio'!$C28:$Z$32,$A15,FALSE)),"Janela"))),CONCATENATE(HLOOKUP("*"&amp;$D$1&amp;"*",'Horário - Graduação'!$C34:$AW$44,1,FALSE)&amp; CHAR(10),HLOOKUP("*"&amp;$D$1&amp;"*",'Horário - Graduação'!$C34:$AW$44,$B15,FALSE)," + OUTRO")),IFERROR(CONCAT(HLOOKUP("*"&amp;$D$1&amp;"*",'Horário - Graduação'!$C34:$AW$44,1,FALSE)&amp; CHAR(10),HLOOKUP("*"&amp;$D$1&amp;"*",'Horário - Graduação'!$C34:$AW$44,$B15,FALSE)),IFERROR(CONCAT(HLOOKUP("*"&amp;$D$1&amp;"*",'Horário - Ensino Médio'!$C28:$Z$32,1,FALSE)&amp; CHAR(10),HLOOKUP("*"&amp;$D$1&amp;"*",'Horário - Ensino Médio'!$C28:$Z$32,$A15,FALSE)),"Janela")))</f>
        <v>Janela</v>
      </c>
      <c r="F15" s="38" t="str">
        <f>IF((COUNTIF('Horário - Graduação'!$C55:$AW55,"*"&amp;$D$1&amp;"*")+COUNTIF('Horário - Ensino Médio'!$C43:$Z43,"*"&amp;$D$1&amp;"*"))&gt;1,IF(COUNTIF('Horário - Ensino Médio'!$C43:$Z43,"*"&amp;$D$1&amp;"*")&gt;0,CONCAT("[CHOQUE] - ",IFERROR(CONCAT(HLOOKUP("*"&amp;$D$1&amp;"*",'Horário - Graduação'!$C55:$AW$65,1,FALSE)&amp; CHAR(10),HLOOKUP("*"&amp;$D$1&amp;"*",'Horário - Graduação'!$C55:$AW$65,$B15,FALSE)),IFERROR(CONCAT(HLOOKUP("*"&amp;$D$1&amp;"*",'Horário - Ensino Médio'!$C43:$Z$47,1,FALSE)&amp; CHAR(10),HLOOKUP("*"&amp;$D$1&amp;"*",'Horário - Ensino Médio'!$C43:$Z$47,$A15,FALSE)),"Janela"))),CONCATENATE(HLOOKUP("*"&amp;$D$1&amp;"*",'Horário - Graduação'!$C55:$AW$65,1,FALSE)&amp; CHAR(10),HLOOKUP("*"&amp;$D$1&amp;"*",'Horário - Graduação'!$C55:$AW$65,$B15,FALSE)," + OUTRO")),IFERROR(CONCAT(HLOOKUP("*"&amp;$D$1&amp;"*",'Horário - Graduação'!$C55:$AW$65,1,FALSE)&amp; CHAR(10),HLOOKUP("*"&amp;$D$1&amp;"*",'Horário - Graduação'!$C55:$AW$65,$B15,FALSE)),IFERROR(CONCAT(HLOOKUP("*"&amp;$D$1&amp;"*",'Horário - Ensino Médio'!$C43:$Z$47,1,FALSE)&amp; CHAR(10),HLOOKUP("*"&amp;$D$1&amp;"*",'Horário - Ensino Médio'!$C43:$Z$47,$A15,FALSE)),"Janela")))</f>
        <v>Janela</v>
      </c>
      <c r="G15" s="38" t="str">
        <f>IF((COUNTIF('Horário - Graduação'!$C76:$AW76,"*"&amp;$D$1&amp;"*")+COUNTIF('Horário - Ensino Médio'!$C58:$Z58,"*"&amp;$D$1&amp;"*"))&gt;1,IF(COUNTIF('Horário - Ensino Médio'!$C58:$Z58,"*"&amp;$D$1&amp;"*")&gt;0,CONCAT("[CHOQUE] - ",IFERROR(CONCAT(HLOOKUP("*"&amp;$D$1&amp;"*",'Horário - Graduação'!$C76:$AW$86,1,FALSE)&amp; CHAR(10),HLOOKUP("*"&amp;$D$1&amp;"*",'Horário - Graduação'!$C76:$AW$86,$B15,FALSE)),IFERROR(CONCAT(HLOOKUP("*"&amp;$D$1&amp;"*",'Horário - Ensino Médio'!$C58:$Z$62,1,FALSE)&amp; CHAR(10),HLOOKUP("*"&amp;$D$1&amp;"*",'Horário - Ensino Médio'!$C58:$Z$62,$A15,FALSE)),"Janela"))),CONCATENATE(HLOOKUP("*"&amp;$D$1&amp;"*",'Horário - Graduação'!$C76:$AW$86,1,FALSE)&amp; CHAR(10),HLOOKUP("*"&amp;$D$1&amp;"*",'Horário - Graduação'!$C76:$AW$86,$B15,FALSE)," + OUTRO")),IFERROR(CONCAT(HLOOKUP("*"&amp;$D$1&amp;"*",'Horário - Graduação'!$C76:$AW$86,1,FALSE)&amp; CHAR(10),HLOOKUP("*"&amp;$D$1&amp;"*",'Horário - Graduação'!$C76:$AW$86,$B15,FALSE)),IFERROR(CONCAT(HLOOKUP("*"&amp;$D$1&amp;"*",'Horário - Ensino Médio'!$C58:$Z$62,1,FALSE)&amp; CHAR(10),HLOOKUP("*"&amp;$D$1&amp;"*",'Horário - Ensino Médio'!$C58:$Z$62,$A15,FALSE)),"Janela")))</f>
        <v>Janela</v>
      </c>
      <c r="H15" s="38" t="str">
        <f>IF((COUNTIF('Horário - Graduação'!$C97:$AW97,"*"&amp;$D$1&amp;"*")+COUNTIF(#REF!,"*"&amp;$D$1&amp;"*"))&gt;1,IF(COUNTIF(#REF!,"*"&amp;$D$1&amp;"*")&gt;0,CONCAT("[CHOQUE] - ",IFERROR(CONCAT(HLOOKUP("*"&amp;$D$1&amp;"*",'Horário - Graduação'!$C97:$AW$107,1,FALSE)&amp; CHAR(10),HLOOKUP("*"&amp;$D$1&amp;"*",'Horário - Graduação'!$C97:$AW$107,$B15,FALSE)),IFERROR(CONCAT(HLOOKUP("*"&amp;$D$1&amp;"*",'Horário - Ensino Médio'!$C75:$Z$77,1,FALSE)&amp; CHAR(10),HLOOKUP("*"&amp;$D$1&amp;"*",'Horário - Ensino Médio'!$C75:$Z$77,$A15,FALSE)),"Janela"))),CONCATENATE(HLOOKUP("*"&amp;$D$1&amp;"*",'Horário - Graduação'!$C97:$AW$107,1,FALSE)&amp; CHAR(10),HLOOKUP("*"&amp;$D$1&amp;"*",'Horário - Graduação'!$C97:$AW$107,$B15,FALSE)," + OUTRO")),IFERROR(CONCAT(HLOOKUP("*"&amp;$D$1&amp;"*",'Horário - Graduação'!$C97:$AW$107,1,FALSE)&amp; CHAR(10),HLOOKUP("*"&amp;$D$1&amp;"*",'Horário - Graduação'!$C97:$AW$107,$B15,FALSE)),IFERROR(CONCAT(HLOOKUP("*"&amp;$D$1&amp;"*",'Horário - Ensino Médio'!$C75:$Z$77,1,FALSE)&amp; CHAR(10),HLOOKUP("*"&amp;$D$1&amp;"*",'Horário - Ensino Médio'!$C75:$Z$77,$A15,FALSE)),"Janela")))</f>
        <v>#REF!</v>
      </c>
    </row>
    <row r="16" ht="40.5" customHeight="1">
      <c r="A16" s="25">
        <v>4.0</v>
      </c>
      <c r="B16" s="29">
        <v>10.0</v>
      </c>
      <c r="C16" s="20" t="s">
        <v>154</v>
      </c>
      <c r="D16" s="38" t="str">
        <f>IF((COUNTIF('Horário - Graduação'!$C14:$AW14,"*"&amp;$D$1&amp;"*")+COUNTIF('Horário - Ensino Médio'!$C14:$Z14,"*"&amp;$D$1&amp;"*"))&gt;1,IF(COUNTIF('Horário - Ensino Médio'!$C14:$Z14,"*"&amp;$D$1&amp;"*")&gt;0,CONCAT("[CHOQUE] - ",IFERROR(CONCAT(HLOOKUP("*"&amp;$D$1&amp;"*",'Horário - Graduação'!$C14:$AW$23,1,FALSE)&amp; CHAR(10),HLOOKUP("*"&amp;$D$1&amp;"*",'Horário - Graduação'!$C14:$AW$23,$B16,FALSE)),IFERROR(CONCAT(HLOOKUP("*"&amp;$D$1&amp;"*",'Horário - Ensino Médio'!$C14:$Z$17,1,FALSE)&amp; CHAR(10),HLOOKUP("*"&amp;$D$1&amp;"*",'Horário - Ensino Médio'!$C14:$Z$17,$A16,FALSE)),"Janela"))),CONCATENATE(HLOOKUP("*"&amp;$D$1&amp;"*",'Horário - Graduação'!$C14:$AW$23,1,FALSE)&amp; CHAR(10),HLOOKUP("*"&amp;$D$1&amp;"*",'Horário - Graduação'!$C14:$AW$23,$B16,FALSE)," + OUTRO")),IFERROR(CONCAT(HLOOKUP("*"&amp;$D$1&amp;"*",'Horário - Graduação'!$C14:$AW$23,1,FALSE)&amp; CHAR(10),HLOOKUP("*"&amp;$D$1&amp;"*",'Horário - Graduação'!$C14:$AW$23,$B16,FALSE)),IFERROR(CONCAT(HLOOKUP("*"&amp;$D$1&amp;"*",'Horário - Ensino Médio'!$C14:$Z$17,1,FALSE)&amp; CHAR(10),HLOOKUP("*"&amp;$D$1&amp;"*",'Horário - Ensino Médio'!$C14:$Z$17,$A16,FALSE)),"Janela")))</f>
        <v>Janela</v>
      </c>
      <c r="E16" s="38" t="str">
        <f>IF((COUNTIF('Horário - Graduação'!$C35:$AW35,"*"&amp;$D$1&amp;"*")+COUNTIF('Horário - Ensino Médio'!$C29:$Z29,"*"&amp;$D$1&amp;"*"))&gt;1,IF(COUNTIF('Horário - Ensino Médio'!$C29:$Z29,"*"&amp;$D$1&amp;"*")&gt;0,CONCAT("[CHOQUE] - ",IFERROR(CONCAT(HLOOKUP("*"&amp;$D$1&amp;"*",'Horário - Graduação'!$C35:$AW$44,1,FALSE)&amp; CHAR(10),HLOOKUP("*"&amp;$D$1&amp;"*",'Horário - Graduação'!$C35:$AW$44,$B16,FALSE)),IFERROR(CONCAT(HLOOKUP("*"&amp;$D$1&amp;"*",'Horário - Ensino Médio'!$C29:$Z$32,1,FALSE)&amp; CHAR(10),HLOOKUP("*"&amp;$D$1&amp;"*",'Horário - Ensino Médio'!$C29:$Z$32,$A16,FALSE)),"Janela"))),CONCATENATE(HLOOKUP("*"&amp;$D$1&amp;"*",'Horário - Graduação'!$C35:$AW$44,1,FALSE)&amp; CHAR(10),HLOOKUP("*"&amp;$D$1&amp;"*",'Horário - Graduação'!$C35:$AW$44,$B16,FALSE)," + OUTRO")),IFERROR(CONCAT(HLOOKUP("*"&amp;$D$1&amp;"*",'Horário - Graduação'!$C35:$AW$44,1,FALSE)&amp; CHAR(10),HLOOKUP("*"&amp;$D$1&amp;"*",'Horário - Graduação'!$C35:$AW$44,$B16,FALSE)),IFERROR(CONCAT(HLOOKUP("*"&amp;$D$1&amp;"*",'Horário - Ensino Médio'!$C29:$Z$32,1,FALSE)&amp; CHAR(10),HLOOKUP("*"&amp;$D$1&amp;"*",'Horário - Ensino Médio'!$C29:$Z$32,$A16,FALSE)),"Janela")))</f>
        <v>Janela</v>
      </c>
      <c r="F16" s="38" t="str">
        <f>IF((COUNTIF('Horário - Graduação'!$C56:$AW56,"*"&amp;$D$1&amp;"*")+COUNTIF('Horário - Ensino Médio'!$C44:$Z44,"*"&amp;$D$1&amp;"*"))&gt;1,IF(COUNTIF('Horário - Ensino Médio'!$C44:$Z44,"*"&amp;$D$1&amp;"*")&gt;0,CONCAT("[CHOQUE] - ",IFERROR(CONCAT(HLOOKUP("*"&amp;$D$1&amp;"*",'Horário - Graduação'!$C56:$AW$65,1,FALSE)&amp; CHAR(10),HLOOKUP("*"&amp;$D$1&amp;"*",'Horário - Graduação'!$C56:$AW$65,$B16,FALSE)),IFERROR(CONCAT(HLOOKUP("*"&amp;$D$1&amp;"*",'Horário - Ensino Médio'!$C44:$Z$47,1,FALSE)&amp; CHAR(10),HLOOKUP("*"&amp;$D$1&amp;"*",'Horário - Ensino Médio'!$C44:$Z$47,$A16,FALSE)),"Janela"))),CONCATENATE(HLOOKUP("*"&amp;$D$1&amp;"*",'Horário - Graduação'!$C56:$AW$65,1,FALSE)&amp; CHAR(10),HLOOKUP("*"&amp;$D$1&amp;"*",'Horário - Graduação'!$C56:$AW$65,$B16,FALSE)," + OUTRO")),IFERROR(CONCAT(HLOOKUP("*"&amp;$D$1&amp;"*",'Horário - Graduação'!$C56:$AW$65,1,FALSE)&amp; CHAR(10),HLOOKUP("*"&amp;$D$1&amp;"*",'Horário - Graduação'!$C56:$AW$65,$B16,FALSE)),IFERROR(CONCAT(HLOOKUP("*"&amp;$D$1&amp;"*",'Horário - Ensino Médio'!$C44:$Z$47,1,FALSE)&amp; CHAR(10),HLOOKUP("*"&amp;$D$1&amp;"*",'Horário - Ensino Médio'!$C44:$Z$47,$A16,FALSE)),"Janela")))</f>
        <v>Janela</v>
      </c>
      <c r="G16" s="38" t="str">
        <f>IF((COUNTIF('Horário - Graduação'!$C77:$AW77,"*"&amp;$D$1&amp;"*")+COUNTIF('Horário - Ensino Médio'!$C59:$Z59,"*"&amp;$D$1&amp;"*"))&gt;1,IF(COUNTIF('Horário - Ensino Médio'!$C59:$Z59,"*"&amp;$D$1&amp;"*")&gt;0,CONCAT("[CHOQUE] - ",IFERROR(CONCAT(HLOOKUP("*"&amp;$D$1&amp;"*",'Horário - Graduação'!$C77:$AW$86,1,FALSE)&amp; CHAR(10),HLOOKUP("*"&amp;$D$1&amp;"*",'Horário - Graduação'!$C77:$AW$86,$B16,FALSE)),IFERROR(CONCAT(HLOOKUP("*"&amp;$D$1&amp;"*",'Horário - Ensino Médio'!$C59:$Z$62,1,FALSE)&amp; CHAR(10),HLOOKUP("*"&amp;$D$1&amp;"*",'Horário - Ensino Médio'!$C59:$Z$62,$A16,FALSE)),"Janela"))),CONCATENATE(HLOOKUP("*"&amp;$D$1&amp;"*",'Horário - Graduação'!$C77:$AW$86,1,FALSE)&amp; CHAR(10),HLOOKUP("*"&amp;$D$1&amp;"*",'Horário - Graduação'!$C77:$AW$86,$B16,FALSE)," + OUTRO")),IFERROR(CONCAT(HLOOKUP("*"&amp;$D$1&amp;"*",'Horário - Graduação'!$C77:$AW$86,1,FALSE)&amp; CHAR(10),HLOOKUP("*"&amp;$D$1&amp;"*",'Horário - Graduação'!$C77:$AW$86,$B16,FALSE)),IFERROR(CONCAT(HLOOKUP("*"&amp;$D$1&amp;"*",'Horário - Ensino Médio'!$C59:$Z$62,1,FALSE)&amp; CHAR(10),HLOOKUP("*"&amp;$D$1&amp;"*",'Horário - Ensino Médio'!$C59:$Z$62,$A16,FALSE)),"Janela")))</f>
        <v>Janela</v>
      </c>
      <c r="H16" s="38" t="str">
        <f>IF((COUNTIF('Horário - Graduação'!$C98:$AW98,"*"&amp;$D$1&amp;"*")+COUNTIF(#REF!,"*"&amp;$D$1&amp;"*"))&gt;1,IF(COUNTIF(#REF!,"*"&amp;$D$1&amp;"*")&gt;0,CONCAT("[CHOQUE] - ",IFERROR(CONCAT(HLOOKUP("*"&amp;$D$1&amp;"*",'Horário - Graduação'!$C98:$AW$107,1,FALSE)&amp; CHAR(10),HLOOKUP("*"&amp;$D$1&amp;"*",'Horário - Graduação'!$C98:$AW$107,$B16,FALSE)),IFERROR(CONCAT(HLOOKUP("*"&amp;$D$1&amp;"*",'Horário - Ensino Médio'!$C75:$Z$77,1,FALSE)&amp; CHAR(10),HLOOKUP("*"&amp;$D$1&amp;"*",'Horário - Ensino Médio'!$C75:$Z$77,$A16,FALSE)),"Janela"))),CONCATENATE(HLOOKUP("*"&amp;$D$1&amp;"*",'Horário - Graduação'!$C98:$AW$107,1,FALSE)&amp; CHAR(10),HLOOKUP("*"&amp;$D$1&amp;"*",'Horário - Graduação'!$C98:$AW$107,$B16,FALSE)," + OUTRO")),IFERROR(CONCAT(HLOOKUP("*"&amp;$D$1&amp;"*",'Horário - Graduação'!$C98:$AW$107,1,FALSE)&amp; CHAR(10),HLOOKUP("*"&amp;$D$1&amp;"*",'Horário - Graduação'!$C98:$AW$107,$B16,FALSE)),IFERROR(CONCAT(HLOOKUP("*"&amp;$D$1&amp;"*",'Horário - Ensino Médio'!$C75:$Z$77,1,FALSE)&amp; CHAR(10),HLOOKUP("*"&amp;$D$1&amp;"*",'Horário - Ensino Médio'!$C75:$Z$77,$A16,FALSE)),"Janela")))</f>
        <v>#REF!</v>
      </c>
    </row>
    <row r="17" ht="76.5" customHeight="1">
      <c r="A17" s="25">
        <v>3.0</v>
      </c>
      <c r="B17" s="29">
        <v>9.0</v>
      </c>
      <c r="C17" s="20" t="s">
        <v>155</v>
      </c>
      <c r="D17" s="38" t="str">
        <f>IF((COUNTIF('Horário - Graduação'!$C15:$AW15,"*"&amp;$D$1&amp;"*")+COUNTIF('Horário - Ensino Médio'!$C15:$Z15,"*"&amp;$D$1&amp;"*"))&gt;1,IF(COUNTIF('Horário - Ensino Médio'!$C15:$Z15,"*"&amp;$D$1&amp;"*")&gt;0,CONCAT("[CHOQUE] - ",IFERROR(CONCAT(HLOOKUP("*"&amp;$D$1&amp;"*",'Horário - Graduação'!$C15:$AW$23,1,FALSE)&amp; CHAR(10),HLOOKUP("*"&amp;$D$1&amp;"*",'Horário - Graduação'!$C15:$AW$23,$B17,FALSE)),IFERROR(CONCAT(HLOOKUP("*"&amp;$D$1&amp;"*",'Horário - Ensino Médio'!$C15:$Z$17,1,FALSE)&amp; CHAR(10),HLOOKUP("*"&amp;$D$1&amp;"*",'Horário - Ensino Médio'!$C15:$Z$17,$A17,FALSE)),"Janela"))),CONCATENATE(HLOOKUP("*"&amp;$D$1&amp;"*",'Horário - Graduação'!$C15:$AW$23,1,FALSE)&amp; CHAR(10),HLOOKUP("*"&amp;$D$1&amp;"*",'Horário - Graduação'!$C15:$AW$23,$B17,FALSE)," + OUTRO")),IFERROR(CONCAT(HLOOKUP("*"&amp;$D$1&amp;"*",'Horário - Graduação'!$C15:$AW$23,1,FALSE)&amp; CHAR(10),HLOOKUP("*"&amp;$D$1&amp;"*",'Horário - Graduação'!$C15:$AW$23,$B17,FALSE)),IFERROR(CONCAT(HLOOKUP("*"&amp;$D$1&amp;"*",'Horário - Ensino Médio'!$C15:$Z$17,1,FALSE)&amp; CHAR(10),HLOOKUP("*"&amp;$D$1&amp;"*",'Horário - Ensino Médio'!$C15:$Z$17,$A17,FALSE)),"Janela")))</f>
        <v>Janela</v>
      </c>
      <c r="E17" s="38" t="str">
        <f>IF((COUNTIF('Horário - Graduação'!$C36:$AW36,"*"&amp;$D$1&amp;"*")+COUNTIF('Horário - Ensino Médio'!$C30:$Z30,"*"&amp;$D$1&amp;"*"))&gt;1,IF(COUNTIF('Horário - Ensino Médio'!$C30:$Z30,"*"&amp;$D$1&amp;"*")&gt;0,CONCAT("[CHOQUE] - ",IFERROR(CONCAT(HLOOKUP("*"&amp;$D$1&amp;"*",'Horário - Graduação'!$C36:$AW$44,1,FALSE)&amp; CHAR(10),HLOOKUP("*"&amp;$D$1&amp;"*",'Horário - Graduação'!$C36:$AW$44,$B17,FALSE)),IFERROR(CONCAT(HLOOKUP("*"&amp;$D$1&amp;"*",'Horário - Ensino Médio'!$C30:$Z$32,1,FALSE)&amp; CHAR(10),HLOOKUP("*"&amp;$D$1&amp;"*",'Horário - Ensino Médio'!$C30:$Z$32,$A17,FALSE)),"Janela"))),CONCATENATE(HLOOKUP("*"&amp;$D$1&amp;"*",'Horário - Graduação'!$C36:$AW$44,1,FALSE)&amp; CHAR(10),HLOOKUP("*"&amp;$D$1&amp;"*",'Horário - Graduação'!$C36:$AW$44,$B17,FALSE)," + OUTRO")),IFERROR(CONCAT(HLOOKUP("*"&amp;$D$1&amp;"*",'Horário - Graduação'!$C36:$AW$44,1,FALSE)&amp; CHAR(10),HLOOKUP("*"&amp;$D$1&amp;"*",'Horário - Graduação'!$C36:$AW$44,$B17,FALSE)),IFERROR(CONCAT(HLOOKUP("*"&amp;$D$1&amp;"*",'Horário - Ensino Médio'!$C30:$Z$32,1,FALSE)&amp; CHAR(10),HLOOKUP("*"&amp;$D$1&amp;"*",'Horário - Ensino Médio'!$C30:$Z$32,$A17,FALSE)),"Janela")))</f>
        <v>Janela</v>
      </c>
      <c r="F17" s="38" t="str">
        <f>IF((COUNTIF('Horário - Graduação'!$C57:$AW57,"*"&amp;$D$1&amp;"*")+COUNTIF('Horário - Ensino Médio'!$C45:$Z45,"*"&amp;$D$1&amp;"*"))&gt;1,IF(COUNTIF('Horário - Ensino Médio'!$C45:$Z45,"*"&amp;$D$1&amp;"*")&gt;0,CONCAT("[CHOQUE] - ",IFERROR(CONCAT(HLOOKUP("*"&amp;$D$1&amp;"*",'Horário - Graduação'!$C57:$AW$65,1,FALSE)&amp; CHAR(10),HLOOKUP("*"&amp;$D$1&amp;"*",'Horário - Graduação'!$C57:$AW$65,$B17,FALSE)),IFERROR(CONCAT(HLOOKUP("*"&amp;$D$1&amp;"*",'Horário - Ensino Médio'!$C45:$Z$47,1,FALSE)&amp; CHAR(10),HLOOKUP("*"&amp;$D$1&amp;"*",'Horário - Ensino Médio'!$C45:$Z$47,$A17,FALSE)),"Janela"))),CONCATENATE(HLOOKUP("*"&amp;$D$1&amp;"*",'Horário - Graduação'!$C57:$AW$65,1,FALSE)&amp; CHAR(10),HLOOKUP("*"&amp;$D$1&amp;"*",'Horário - Graduação'!$C57:$AW$65,$B17,FALSE)," + OUTRO")),IFERROR(CONCAT(HLOOKUP("*"&amp;$D$1&amp;"*",'Horário - Graduação'!$C57:$AW$65,1,FALSE)&amp; CHAR(10),HLOOKUP("*"&amp;$D$1&amp;"*",'Horário - Graduação'!$C57:$AW$65,$B17,FALSE)),IFERROR(CONCAT(HLOOKUP("*"&amp;$D$1&amp;"*",'Horário - Ensino Médio'!$C45:$Z$47,1,FALSE)&amp; CHAR(10),HLOOKUP("*"&amp;$D$1&amp;"*",'Horário - Ensino Médio'!$C45:$Z$47,$A17,FALSE)),"Janela")))</f>
        <v>Janela</v>
      </c>
      <c r="G17" s="38" t="str">
        <f>IF((COUNTIF('Horário - Graduação'!$C78:$AW78,"*"&amp;$D$1&amp;"*")+COUNTIF('Horário - Ensino Médio'!$C60:$Z60,"*"&amp;$D$1&amp;"*"))&gt;1,IF(COUNTIF('Horário - Ensino Médio'!$C60:$Z60,"*"&amp;$D$1&amp;"*")&gt;0,CONCAT("[CHOQUE] - ",IFERROR(CONCAT(HLOOKUP("*"&amp;$D$1&amp;"*",'Horário - Graduação'!$C78:$AW$86,1,FALSE)&amp; CHAR(10),HLOOKUP("*"&amp;$D$1&amp;"*",'Horário - Graduação'!$C78:$AW$86,$B17,FALSE)),IFERROR(CONCAT(HLOOKUP("*"&amp;$D$1&amp;"*",'Horário - Ensino Médio'!$C60:$Z$62,1,FALSE)&amp; CHAR(10),HLOOKUP("*"&amp;$D$1&amp;"*",'Horário - Ensino Médio'!$C60:$Z$62,$A17,FALSE)),"Janela"))),CONCATENATE(HLOOKUP("*"&amp;$D$1&amp;"*",'Horário - Graduação'!$C78:$AW$86,1,FALSE)&amp; CHAR(10),HLOOKUP("*"&amp;$D$1&amp;"*",'Horário - Graduação'!$C78:$AW$86,$B17,FALSE)," + OUTRO")),IFERROR(CONCAT(HLOOKUP("*"&amp;$D$1&amp;"*",'Horário - Graduação'!$C78:$AW$86,1,FALSE)&amp; CHAR(10),HLOOKUP("*"&amp;$D$1&amp;"*",'Horário - Graduação'!$C78:$AW$86,$B17,FALSE)),IFERROR(CONCAT(HLOOKUP("*"&amp;$D$1&amp;"*",'Horário - Ensino Médio'!$C60:$Z$62,1,FALSE)&amp; CHAR(10),HLOOKUP("*"&amp;$D$1&amp;"*",'Horário - Ensino Médio'!$C60:$Z$62,$A17,FALSE)),"Janela")))</f>
        <v>Janela</v>
      </c>
      <c r="H17" s="38" t="str">
        <f>IF((COUNTIF('Horário - Graduação'!$C99:$AW99,"*"&amp;$D$1&amp;"*")+COUNTIF('Horário - Ensino Médio'!$C75:$Z75,"*"&amp;$D$1&amp;"*"))&gt;1,IF(COUNTIF('Horário - Ensino Médio'!$C75:$Z75,"*"&amp;$D$1&amp;"*")&gt;0,CONCAT("[CHOQUE] - ",IFERROR(CONCAT(HLOOKUP("*"&amp;$D$1&amp;"*",'Horário - Graduação'!$C99:$AW$107,1,FALSE)&amp; CHAR(10),HLOOKUP("*"&amp;$D$1&amp;"*",'Horário - Graduação'!$C99:$AW$107,$B17,FALSE)),IFERROR(CONCAT(HLOOKUP("*"&amp;$D$1&amp;"*",'Horário - Ensino Médio'!$C75:$Z$77,1,FALSE)&amp; CHAR(10),HLOOKUP("*"&amp;$D$1&amp;"*",'Horário - Ensino Médio'!$C75:$Z$77,$A17,FALSE)),"Janela"))),CONCATENATE(HLOOKUP("*"&amp;$D$1&amp;"*",'Horário - Graduação'!$C99:$AW$107,1,FALSE)&amp; CHAR(10),HLOOKUP("*"&amp;$D$1&amp;"*",'Horário - Graduação'!$C99:$AW$107,$B17,FALSE)," + OUTRO")),IFERROR(CONCAT(HLOOKUP("*"&amp;$D$1&amp;"*",'Horário - Graduação'!$C99:$AW$107,1,FALSE)&amp; CHAR(10),HLOOKUP("*"&amp;$D$1&amp;"*",'Horário - Graduação'!$C99:$AW$107,$B17,FALSE)),IFERROR(CONCAT(HLOOKUP("*"&amp;$D$1&amp;"*",'Horário - Ensino Médio'!$C75:$Z$77,1,FALSE)&amp; CHAR(10),HLOOKUP("*"&amp;$D$1&amp;"*",'Horário - Ensino Médio'!$C75:$Z$77,$A17,FALSE)),"Janela")))</f>
        <v>Janela</v>
      </c>
    </row>
    <row r="18" ht="15.75" customHeight="1">
      <c r="A18" s="25"/>
      <c r="B18" s="29">
        <v>8.0</v>
      </c>
      <c r="C18" s="77" t="s">
        <v>111</v>
      </c>
      <c r="D18" s="69" t="s">
        <v>111</v>
      </c>
      <c r="E18" s="69" t="s">
        <v>111</v>
      </c>
      <c r="F18" s="69" t="s">
        <v>111</v>
      </c>
      <c r="G18" s="69" t="s">
        <v>111</v>
      </c>
      <c r="H18" s="69" t="s">
        <v>111</v>
      </c>
    </row>
    <row r="19" ht="60.0" customHeight="1">
      <c r="A19" s="25">
        <v>2.0</v>
      </c>
      <c r="B19" s="29">
        <v>7.0</v>
      </c>
      <c r="C19" s="20" t="s">
        <v>164</v>
      </c>
      <c r="D19" s="38" t="str">
        <f>IF((COUNTIF('Horário - Graduação'!$C17:$AW17,"*"&amp;$D$1&amp;"*")+COUNTIF('Horário - Ensino Médio'!$C17:$V17,"*"&amp;$D$1&amp;"*"))&gt;1,IF(COUNTIF('Horário - Ensino Médio'!$C17:$V17,"*"&amp;$D$1&amp;"*")&gt;0,CONCAT("[CHOQUE] - ",IFERROR(CONCAT(HLOOKUP("*"&amp;$D$1&amp;"*",'Horário - Graduação'!$C17:$AW$23,1,FALSE)&amp; CHAR(10),HLOOKUP("*"&amp;$D$1&amp;"*",'Horário - Graduação'!$C17:$AW$23,$B19,FALSE)),IFERROR(CONCAT(HLOOKUP("*"&amp;$D$1&amp;"*",'Horário - Ensino Médio'!$C$17:$V17,1,FALSE)&amp; CHAR(10),HLOOKUP("*"&amp;$D$1&amp;"*",'Horário - Ensino Médio'!$C$17:$V17,$A19,FALSE)),"Janela"))),CONCATENATE(HLOOKUP("*"&amp;$D$1&amp;"*",'Horário - Graduação'!$C17:$AW$23,1,FALSE)&amp; CHAR(10),HLOOKUP("*"&amp;$D$1&amp;"*",'Horário - Graduação'!$C17:$AW$23,$B19,FALSE)," + OUTRO")),IFERROR(CONCAT(HLOOKUP("*"&amp;$D$1&amp;"*",'Horário - Graduação'!$C17:$AW$23,1,FALSE)&amp; CHAR(10),HLOOKUP("*"&amp;$D$1&amp;"*",'Horário - Graduação'!$C17:$AW$23,$B19,FALSE)),IFERROR(CONCAT(HLOOKUP("*"&amp;$D$1&amp;"*",'Horário - Ensino Médio'!$C$17:$V17,1,FALSE)&amp; CHAR(10),HLOOKUP("*"&amp;$D$1&amp;"*",'Horário - Ensino Médio'!$C$17:$V17,$A19,FALSE)),"Janela")))</f>
        <v>Janela</v>
      </c>
      <c r="E19" s="38" t="str">
        <f>IF((COUNTIF('Horário - Graduação'!$C38:$AW38,"*"&amp;$D$1&amp;"*")+COUNTIF('Horário - Ensino Médio'!$C32:$V32,"*"&amp;$D$1&amp;"*"))&gt;1,IF(COUNTIF('Horário - Ensino Médio'!$C32:$V32,"*"&amp;$D$1&amp;"*")&gt;0,CONCAT("[CHOQUE] - ",IFERROR(CONCAT(HLOOKUP("*"&amp;$D$1&amp;"*",'Horário - Graduação'!$C38:$AW$44,1,FALSE)&amp; CHAR(10),HLOOKUP("*"&amp;$D$1&amp;"*",'Horário - Graduação'!$C38:$AW$44,$B19,FALSE)),IFERROR(CONCAT(HLOOKUP("*"&amp;$D$1&amp;"*",'Horário - Ensino Médio'!$C$32:$V32,1,FALSE)&amp; CHAR(10),HLOOKUP("*"&amp;$D$1&amp;"*",'Horário - Ensino Médio'!$C$32:$V32,$A19,FALSE)),"Janela"))),CONCATENATE(HLOOKUP("*"&amp;$D$1&amp;"*",'Horário - Graduação'!$C38:$AW$44,1,FALSE)&amp; CHAR(10),HLOOKUP("*"&amp;$D$1&amp;"*",'Horário - Graduação'!$C38:$AW$44,$B19,FALSE)," + OUTRO")),IFERROR(CONCAT(HLOOKUP("*"&amp;$D$1&amp;"*",'Horário - Graduação'!$C38:$AW$44,1,FALSE)&amp; CHAR(10),HLOOKUP("*"&amp;$D$1&amp;"*",'Horário - Graduação'!$C38:$AW$44,$B19,FALSE)),IFERROR(CONCAT(HLOOKUP("*"&amp;$D$1&amp;"*",'Horário - Ensino Médio'!$C$32:$V32,1,FALSE)&amp; CHAR(10),HLOOKUP("*"&amp;$D$1&amp;"*",'Horário - Ensino Médio'!$C$32:$V32,$A19,FALSE)),"Janela")))</f>
        <v>Janela</v>
      </c>
      <c r="F19" s="38" t="str">
        <f>IF((COUNTIF('Horário - Graduação'!$C59:$AW59,"*"&amp;$D$1&amp;"*")+COUNTIF('Horário - Ensino Médio'!$C47:$V47,"*"&amp;$D$1&amp;"*"))&gt;1,IF(COUNTIF('Horário - Ensino Médio'!$C47:$V47,"*"&amp;$D$1&amp;"*")&gt;0,CONCAT("[CHOQUE] - ",IFERROR(CONCAT(HLOOKUP("*"&amp;$D$1&amp;"*",'Horário - Graduação'!$C59:$AW$65,1,FALSE)&amp; CHAR(10),HLOOKUP("*"&amp;$D$1&amp;"*",'Horário - Graduação'!$C59:$AW$65,$B19,FALSE)),IFERROR(CONCAT(HLOOKUP("*"&amp;$D$1&amp;"*",'Horário - Ensino Médio'!$C$47:$V47,1,FALSE)&amp; CHAR(10),HLOOKUP("*"&amp;$D$1&amp;"*",'Horário - Ensino Médio'!$C$47:$V47,$A19,FALSE)),"Janela"))),CONCATENATE(HLOOKUP("*"&amp;$D$1&amp;"*",'Horário - Graduação'!$C59:$AW$65,1,FALSE)&amp; CHAR(10),HLOOKUP("*"&amp;$D$1&amp;"*",'Horário - Graduação'!$C59:$AW$65,$B19,FALSE)," + OUTRO")),IFERROR(CONCAT(HLOOKUP("*"&amp;$D$1&amp;"*",'Horário - Graduação'!$C59:$AW$65,1,FALSE)&amp; CHAR(10),HLOOKUP("*"&amp;$D$1&amp;"*",'Horário - Graduação'!$C59:$AW$65,$B19,FALSE)),IFERROR(CONCAT(HLOOKUP("*"&amp;$D$1&amp;"*",'Horário - Ensino Médio'!$C$47:$V47,1,FALSE)&amp; CHAR(10),HLOOKUP("*"&amp;$D$1&amp;"*",'Horário - Ensino Médio'!$C$47:$V47,$A19,FALSE)),"Janela")))</f>
        <v>Janela</v>
      </c>
      <c r="G19" s="38" t="str">
        <f>IF((COUNTIF('Horário - Graduação'!$C80:$AW80,"*"&amp;$D$1&amp;"*")+COUNTIF('Horário - Ensino Médio'!$C62:$V62,"*"&amp;$D$1&amp;"*"))&gt;1,IF(COUNTIF('Horário - Ensino Médio'!$C62:$V62,"*"&amp;$D$1&amp;"*")&gt;0,CONCAT("[CHOQUE] - ",IFERROR(CONCAT(HLOOKUP("*"&amp;$D$1&amp;"*",'Horário - Graduação'!$C80:$AW$86,1,FALSE)&amp; CHAR(10),HLOOKUP("*"&amp;$D$1&amp;"*",'Horário - Graduação'!$C80:$AW$86,$B19,FALSE)),IFERROR(CONCAT(HLOOKUP("*"&amp;$D$1&amp;"*",'Horário - Ensino Médio'!$C$62:$V62,1,FALSE)&amp; CHAR(10),HLOOKUP("*"&amp;$D$1&amp;"*",'Horário - Ensino Médio'!$C$62:$V62,$A19,FALSE)),"Janela"))),CONCATENATE(HLOOKUP("*"&amp;$D$1&amp;"*",'Horário - Graduação'!$C80:$AW$86,1,FALSE)&amp; CHAR(10),HLOOKUP("*"&amp;$D$1&amp;"*",'Horário - Graduação'!$C80:$AW$86,$B19,FALSE)," + OUTRO")),IFERROR(CONCAT(HLOOKUP("*"&amp;$D$1&amp;"*",'Horário - Graduação'!$C80:$AW$86,1,FALSE)&amp; CHAR(10),HLOOKUP("*"&amp;$D$1&amp;"*",'Horário - Graduação'!$C80:$AW$86,$B19,FALSE)),IFERROR(CONCAT(HLOOKUP("*"&amp;$D$1&amp;"*",'Horário - Ensino Médio'!$C$62:$V62,1,FALSE)&amp; CHAR(10),HLOOKUP("*"&amp;$D$1&amp;"*",'Horário - Ensino Médio'!$C$62:$V62,$A19,FALSE)),"Janela")))</f>
        <v>Janela</v>
      </c>
      <c r="H19" s="38" t="str">
        <f>IF((COUNTIF('Horário - Graduação'!$C101:$AW101,"*"&amp;$D$1&amp;"*")+COUNTIF('Horário - Ensino Médio'!$C77:$V77,"*"&amp;$D$1&amp;"*"))&gt;1,IF(COUNTIF('Horário - Ensino Médio'!$C77:$V77,"*"&amp;$D$1&amp;"*")&gt;0,CONCAT("[CHOQUE] - ",IFERROR(CONCAT(HLOOKUP("*"&amp;$D$1&amp;"*",'Horário - Graduação'!$C101:$AW$107,1,FALSE)&amp; CHAR(10),HLOOKUP("*"&amp;$D$1&amp;"*",'Horário - Graduação'!$C101:$AW$107,$B19,FALSE)),IFERROR(CONCAT(HLOOKUP("*"&amp;$D$1&amp;"*",'Horário - Ensino Médio'!$C$77:$V77,1,FALSE)&amp; CHAR(10),HLOOKUP("*"&amp;$D$1&amp;"*",'Horário - Ensino Médio'!$C$77:$V77,$A19,FALSE)),"Janela"))),CONCATENATE(HLOOKUP("*"&amp;$D$1&amp;"*",'Horário - Graduação'!$C101:$AW$107,1,FALSE)&amp; CHAR(10),HLOOKUP("*"&amp;$D$1&amp;"*",'Horário - Graduação'!$C101:$AW$107,$B19,FALSE)," + OUTRO")),IFERROR(CONCAT(HLOOKUP("*"&amp;$D$1&amp;"*",'Horário - Graduação'!$C101:$AW$107,1,FALSE)&amp; CHAR(10),HLOOKUP("*"&amp;$D$1&amp;"*",'Horário - Graduação'!$C101:$AW$107,$B19,FALSE)),IFERROR(CONCAT(HLOOKUP("*"&amp;$D$1&amp;"*",'Horário - Ensino Médio'!$C$77:$V77,1,FALSE)&amp; CHAR(10),HLOOKUP("*"&amp;$D$1&amp;"*",'Horário - Ensino Médio'!$C$77:$V77,$A19,FALSE)),"Janela")))</f>
        <v>Janela</v>
      </c>
    </row>
    <row r="20" ht="76.5" customHeight="1">
      <c r="A20" s="25"/>
      <c r="B20" s="29">
        <v>6.0</v>
      </c>
      <c r="C20" s="20" t="s">
        <v>174</v>
      </c>
      <c r="D20" s="38" t="str">
        <f>IF(COUNTIF('Horário - Graduação'!$C18:$AW18,"*"&amp;$D$1&amp;"*")&gt;1,CONCATENATE(HLOOKUP("*"&amp;$D$1&amp;"*",'Horário - Graduação'!$C18:$AW$23,1,FALSE)&amp; CHAR(10),HLOOKUP("*"&amp;$D$1&amp;"*",'Horário - Graduação'!$C18:$AW$23,$B20,FALSE)," + OUTRO"),IFERROR(CONCAT(HLOOKUP("*"&amp;$D$1&amp;"*",'Horário - Graduação'!$C18:$AW$23,1,FALSE)&amp; CHAR(10),HLOOKUP("*"&amp;$D$1&amp;"*",'Horário - Graduação'!$C18:$AW$23,$B20,FALSE)),"Janela"))</f>
        <v>Janela</v>
      </c>
      <c r="E20" s="38" t="str">
        <f>IF(COUNTIF('Horário - Graduação'!$C39:$AW39,"*"&amp;$D$1&amp;"*")&gt;1,CONCATENATE(HLOOKUP("*"&amp;$D$1&amp;"*",'Horário - Graduação'!$C39:$AW$44,1,FALSE)&amp; CHAR(10),HLOOKUP("*"&amp;$D$1&amp;"*",'Horário - Graduação'!$C39:$AW$44,$B20,FALSE)," + OUTRO"),IFERROR(CONCAT(HLOOKUP("*"&amp;$D$1&amp;"*",'Horário - Graduação'!$C39:$AW$44,1,FALSE)&amp; CHAR(10),HLOOKUP("*"&amp;$D$1&amp;"*",'Horário - Graduação'!$C39:$AW$44,$B20,FALSE)),"Janela"))</f>
        <v>Janela</v>
      </c>
      <c r="F20" s="38" t="str">
        <f>IF(COUNTIF('Horário - Graduação'!$C60:$AW60,"*"&amp;$D$1&amp;"*")&gt;1,CONCATENATE(HLOOKUP("*"&amp;$D$1&amp;"*",'Horário - Graduação'!$C60:$AW$65,1,FALSE)&amp; CHAR(10),HLOOKUP("*"&amp;$D$1&amp;"*",'Horário - Graduação'!$C60:$AW$65,$B20,FALSE)," + OUTRO"),IFERROR(CONCAT(HLOOKUP("*"&amp;$D$1&amp;"*",'Horário - Graduação'!$C60:$AW$65,1,FALSE)&amp; CHAR(10),HLOOKUP("*"&amp;$D$1&amp;"*",'Horário - Graduação'!$C60:$AW$65,$B20,FALSE)),"Janela"))</f>
        <v>Janela</v>
      </c>
      <c r="G20" s="38" t="str">
        <f>IF(COUNTIF('Horário - Graduação'!$C81:$AW81,"*"&amp;$D$1&amp;"*")&gt;1,CONCATENATE(HLOOKUP("*"&amp;$D$1&amp;"*",'Horário - Graduação'!$C81:$AW$86,1,FALSE)&amp; CHAR(10),HLOOKUP("*"&amp;$D$1&amp;"*",'Horário - Graduação'!$C81:$AW$86,$B20,FALSE)," + OUTRO"),IFERROR(CONCAT(HLOOKUP("*"&amp;$D$1&amp;"*",'Horário - Graduação'!$C81:$AW$86,1,FALSE)&amp; CHAR(10),HLOOKUP("*"&amp;$D$1&amp;"*",'Horário - Graduação'!$C81:$AW$86,$B20,FALSE)),"Janela"))</f>
        <v>Janela</v>
      </c>
      <c r="H20" s="38" t="str">
        <f>IF(COUNTIF('Horário - Graduação'!$C102:$AW102,"*"&amp;$D$1&amp;"*")&gt;1,CONCATENATE(HLOOKUP("*"&amp;$D$1&amp;"*",'Horário - Graduação'!$C102:$AW$107,1,FALSE)&amp; CHAR(10),HLOOKUP("*"&amp;$D$1&amp;"*",'Horário - Graduação'!$C102:$AW$107,$B20,FALSE)," + OUTRO"),IFERROR(CONCAT(HLOOKUP("*"&amp;$D$1&amp;"*",'Horário - Graduação'!$C102:$AW$107,1,FALSE)&amp; CHAR(10),HLOOKUP("*"&amp;$D$1&amp;"*",'Horário - Graduação'!$C102:$AW$107,$B20,FALSE)),"Janela"))</f>
        <v>Janela</v>
      </c>
    </row>
    <row r="21" ht="60.75" customHeight="1">
      <c r="A21" s="25"/>
      <c r="B21" s="29">
        <v>5.0</v>
      </c>
      <c r="C21" s="20" t="s">
        <v>193</v>
      </c>
      <c r="D21" s="38" t="str">
        <f>IF(COUNTIF('Horário - Graduação'!$C19:$AW19,"*"&amp;$D$1&amp;"*")&gt;1,CONCATENATE(HLOOKUP("*"&amp;$D$1&amp;"*",'Horário - Graduação'!$C19:$AW$23,1,FALSE)&amp; CHAR(10),HLOOKUP("*"&amp;$D$1&amp;"*",'Horário - Graduação'!$C19:$AW$23,$B21,FALSE)," + OUTRO"),IFERROR(CONCAT(HLOOKUP("*"&amp;$D$1&amp;"*",'Horário - Graduação'!$C19:$AW$23,1,FALSE)&amp; CHAR(10),HLOOKUP("*"&amp;$D$1&amp;"*",'Horário - Graduação'!$C19:$AW$23,$B21,FALSE)),"Janela"))</f>
        <v>Janela</v>
      </c>
      <c r="E21" s="38" t="str">
        <f>IF(COUNTIF('Horário - Graduação'!$C40:$AW40,"*"&amp;$D$1&amp;"*")&gt;1,CONCATENATE(HLOOKUP("*"&amp;$D$1&amp;"*",'Horário - Graduação'!$C40:$AW$44,1,FALSE)&amp; CHAR(10),HLOOKUP("*"&amp;$D$1&amp;"*",'Horário - Graduação'!$C40:$AW$44,$B21,FALSE)," + OUTRO"),IFERROR(CONCAT(HLOOKUP("*"&amp;$D$1&amp;"*",'Horário - Graduação'!$C40:$AW$44,1,FALSE)&amp; CHAR(10),HLOOKUP("*"&amp;$D$1&amp;"*",'Horário - Graduação'!$C40:$AW$44,$B21,FALSE)),"Janela"))</f>
        <v>Janela</v>
      </c>
      <c r="F21" s="38" t="str">
        <f>IF(COUNTIF('Horário - Graduação'!$C61:$AW61,"*"&amp;$D$1&amp;"*")&gt;1,CONCATENATE(HLOOKUP("*"&amp;$D$1&amp;"*",'Horário - Graduação'!$C61:$AW$65,1,FALSE)&amp; CHAR(10),HLOOKUP("*"&amp;$D$1&amp;"*",'Horário - Graduação'!$C61:$AW$65,$B21,FALSE)," + OUTRO"),IFERROR(CONCAT(HLOOKUP("*"&amp;$D$1&amp;"*",'Horário - Graduação'!$C61:$AW$65,1,FALSE)&amp; CHAR(10),HLOOKUP("*"&amp;$D$1&amp;"*",'Horário - Graduação'!$C61:$AW$65,$B21,FALSE)),"Janela"))</f>
        <v>Janela</v>
      </c>
      <c r="G21" s="38" t="str">
        <f>IF(COUNTIF('Horário - Graduação'!$C82:$AW82,"*"&amp;$D$1&amp;"*")&gt;1,CONCATENATE(HLOOKUP("*"&amp;$D$1&amp;"*",'Horário - Graduação'!$C82:$AW$86,1,FALSE)&amp; CHAR(10),HLOOKUP("*"&amp;$D$1&amp;"*",'Horário - Graduação'!$C82:$AW$86,$B21,FALSE)," + OUTRO"),IFERROR(CONCAT(HLOOKUP("*"&amp;$D$1&amp;"*",'Horário - Graduação'!$C82:$AW$86,1,FALSE)&amp; CHAR(10),HLOOKUP("*"&amp;$D$1&amp;"*",'Horário - Graduação'!$C82:$AW$86,$B21,FALSE)),"Janela"))</f>
        <v>Janela</v>
      </c>
      <c r="H21" s="38" t="str">
        <f>IF(COUNTIF('Horário - Graduação'!$C103:$AW103,"*"&amp;$D$1&amp;"*")&gt;1,CONCATENATE(HLOOKUP("*"&amp;$D$1&amp;"*",'Horário - Graduação'!$C103:$AW$107,1,FALSE)&amp; CHAR(10),HLOOKUP("*"&amp;$D$1&amp;"*",'Horário - Graduação'!$C103:$AW$107,$B21,FALSE)," + OUTRO"),IFERROR(CONCAT(HLOOKUP("*"&amp;$D$1&amp;"*",'Horário - Graduação'!$C103:$AW$107,1,FALSE)&amp; CHAR(10),HLOOKUP("*"&amp;$D$1&amp;"*",'Horário - Graduação'!$C103:$AW$107,$B21,FALSE)),"Janela"))</f>
        <v>Janela</v>
      </c>
    </row>
    <row r="22" ht="15.75" customHeight="1">
      <c r="A22" s="25"/>
      <c r="B22" s="29">
        <v>4.0</v>
      </c>
      <c r="C22" s="77" t="s">
        <v>111</v>
      </c>
      <c r="D22" s="79" t="s">
        <v>111</v>
      </c>
      <c r="E22" s="79" t="s">
        <v>111</v>
      </c>
      <c r="F22" s="79" t="s">
        <v>111</v>
      </c>
      <c r="G22" s="79" t="s">
        <v>111</v>
      </c>
      <c r="H22" s="79" t="s">
        <v>111</v>
      </c>
    </row>
    <row r="23" ht="49.5" customHeight="1">
      <c r="A23" s="25"/>
      <c r="B23" s="29">
        <v>3.0</v>
      </c>
      <c r="C23" s="20" t="s">
        <v>198</v>
      </c>
      <c r="D23" s="38" t="str">
        <f>IF(COUNTIF('Horário - Graduação'!$C21:$AW21,"*"&amp;$D$1&amp;"*")&gt;1,CONCATENATE(HLOOKUP("*"&amp;$D$1&amp;"*",'Horário - Graduação'!$C21:$AW$23,1,FALSE)&amp; CHAR(10),HLOOKUP("*"&amp;$D$1&amp;"*",'Horário - Graduação'!$C21:$AW$23,$B23,FALSE)," + OUTRO"),IFERROR(CONCAT(HLOOKUP("*"&amp;$D$1&amp;"*",'Horário - Graduação'!$C21:$AW$23,1,FALSE)&amp; CHAR(10),HLOOKUP("*"&amp;$D$1&amp;"*",'Horário - Graduação'!$C21:$AW$23,$B23,FALSE)),"Janela"))</f>
        <v>Janela</v>
      </c>
      <c r="E23" s="38" t="str">
        <f>IF(COUNTIF('Horário - Graduação'!$C42:$AW42,"*"&amp;$D$1&amp;"*")&gt;1,CONCATENATE(HLOOKUP("*"&amp;$D$1&amp;"*",'Horário - Graduação'!$C42:$AW$44,1,FALSE)&amp; CHAR(10),HLOOKUP("*"&amp;$D$1&amp;"*",'Horário - Graduação'!$C42:$AW$44,$B23,FALSE)," + OUTRO"),IFERROR(CONCAT(HLOOKUP("*"&amp;$D$1&amp;"*",'Horário - Graduação'!$C42:$AW$44,1,FALSE)&amp; CHAR(10),HLOOKUP("*"&amp;$D$1&amp;"*",'Horário - Graduação'!$C42:$AW$44,$B23,FALSE)),"Janela"))</f>
        <v>Janela</v>
      </c>
      <c r="F23" s="38" t="str">
        <f>IF(COUNTIF('Horário - Graduação'!$C63:$AW63,"*"&amp;$D$1&amp;"*")&gt;1,CONCATENATE(HLOOKUP("*"&amp;$D$1&amp;"*",'Horário - Graduação'!$C63:$AW$65,1,FALSE)&amp; CHAR(10),HLOOKUP("*"&amp;$D$1&amp;"*",'Horário - Graduação'!$C63:$AW$65,$B23,FALSE)," + OUTRO"),IFERROR(CONCAT(HLOOKUP("*"&amp;$D$1&amp;"*",'Horário - Graduação'!$C63:$AW$65,1,FALSE)&amp; CHAR(10),HLOOKUP("*"&amp;$D$1&amp;"*",'Horário - Graduação'!$C63:$AW$65,$B23,FALSE)),"Janela"))</f>
        <v>Janela</v>
      </c>
      <c r="G23" s="38" t="str">
        <f>IF(COUNTIF('Horário - Graduação'!$C84:$AW84,"*"&amp;$D$1&amp;"*")&gt;1,CONCATENATE(HLOOKUP("*"&amp;$D$1&amp;"*",'Horário - Graduação'!$C84:$AW$86,1,FALSE)&amp; CHAR(10),HLOOKUP("*"&amp;$D$1&amp;"*",'Horário - Graduação'!$C84:$AW$86,$B23,FALSE)," + OUTRO"),IFERROR(CONCAT(HLOOKUP("*"&amp;$D$1&amp;"*",'Horário - Graduação'!$C84:$AW$86,1,FALSE)&amp; CHAR(10),HLOOKUP("*"&amp;$D$1&amp;"*",'Horário - Graduação'!$C84:$AW$86,$B23,FALSE)),"Janela"))</f>
        <v>Janela</v>
      </c>
      <c r="H23" s="38" t="str">
        <f>IF(COUNTIF('Horário - Graduação'!$C105:$AW105,"*"&amp;$D$1&amp;"*")&gt;1,CONCATENATE(HLOOKUP("*"&amp;$D$1&amp;"*",'Horário - Graduação'!$C105:$AW$107,1,FALSE)&amp; CHAR(10),HLOOKUP("*"&amp;$D$1&amp;"*",'Horário - Graduação'!$C105:$AW$107,$B23,FALSE)," + OUTRO"),IFERROR(CONCAT(HLOOKUP("*"&amp;$D$1&amp;"*",'Horário - Graduação'!$C105:$AW$107,1,FALSE)&amp; CHAR(10),HLOOKUP("*"&amp;$D$1&amp;"*",'Horário - Graduação'!$C105:$AW$107,$B23,FALSE)),"Janela"))</f>
        <v>Janela</v>
      </c>
    </row>
    <row r="24" ht="55.5" customHeight="1">
      <c r="A24" s="25"/>
      <c r="B24" s="29">
        <v>2.0</v>
      </c>
      <c r="C24" s="20" t="s">
        <v>210</v>
      </c>
      <c r="D24" s="38" t="str">
        <f>IF(COUNTIF('Horário - Graduação'!$C22:$AW22,"*"&amp;$D$1&amp;"*")&gt;1,CONCATENATE(HLOOKUP("*"&amp;$D$1&amp;"*",'Horário - Graduação'!$C22:$AW$23,1,FALSE)&amp; CHAR(10),HLOOKUP("*"&amp;$D$1&amp;"*",'Horário - Graduação'!$C22:$AW$23,$B24,FALSE)," + OUTRO"),IFERROR(CONCAT(HLOOKUP("*"&amp;$D$1&amp;"*",'Horário - Graduação'!$C22:$AW$23,1,FALSE)&amp; CHAR(10),HLOOKUP("*"&amp;$D$1&amp;"*",'Horário - Graduação'!$C22:$AW$23,$B24,FALSE)),"Janela"))</f>
        <v>Janela</v>
      </c>
      <c r="E24" s="38" t="str">
        <f>IF(COUNTIF('Horário - Graduação'!$C43:$AW43,"*"&amp;$D$1&amp;"*")&gt;1,CONCATENATE(HLOOKUP("*"&amp;$D$1&amp;"*",'Horário - Graduação'!$C43:$AW$44,1,FALSE)&amp; CHAR(10),HLOOKUP("*"&amp;$D$1&amp;"*",'Horário - Graduação'!$C43:$AW$44,$B24,FALSE)," + OUTRO"),IFERROR(CONCAT(HLOOKUP("*"&amp;$D$1&amp;"*",'Horário - Graduação'!$C43:$AW$44,1,FALSE)&amp; CHAR(10),HLOOKUP("*"&amp;$D$1&amp;"*",'Horário - Graduação'!$C43:$AW$44,$B24,FALSE)),"Janela"))</f>
        <v>Janela</v>
      </c>
      <c r="F24" s="38" t="str">
        <f>IF(COUNTIF('Horário - Graduação'!$C64:$AW64,"*"&amp;$D$1&amp;"*")&gt;1,CONCATENATE(HLOOKUP("*"&amp;$D$1&amp;"*",'Horário - Graduação'!$C64:$AW$65,1,FALSE)&amp; CHAR(10),HLOOKUP("*"&amp;$D$1&amp;"*",'Horário - Graduação'!$C64:$AW$65,$B24,FALSE)," + OUTRO"),IFERROR(CONCAT(HLOOKUP("*"&amp;$D$1&amp;"*",'Horário - Graduação'!$C64:$AW$65,1,FALSE)&amp; CHAR(10),HLOOKUP("*"&amp;$D$1&amp;"*",'Horário - Graduação'!$C64:$AW$65,$B24,FALSE)),"Janela"))</f>
        <v>Janela</v>
      </c>
      <c r="G24" s="38" t="str">
        <f>IF(COUNTIF('Horário - Graduação'!$C85:$AW85,"*"&amp;$D$1&amp;"*")&gt;1,CONCATENATE(HLOOKUP("*"&amp;$D$1&amp;"*",'Horário - Graduação'!$C85:$AW$86,1,FALSE)&amp; CHAR(10),HLOOKUP("*"&amp;$D$1&amp;"*",'Horário - Graduação'!$C85:$AW$86,$B24,FALSE)," + OUTRO"),IFERROR(CONCAT(HLOOKUP("*"&amp;$D$1&amp;"*",'Horário - Graduação'!$C85:$AW$86,1,FALSE)&amp; CHAR(10),HLOOKUP("*"&amp;$D$1&amp;"*",'Horário - Graduação'!$C85:$AW$86,$B24,FALSE)),"Janela"))</f>
        <v>Janela</v>
      </c>
      <c r="H24" s="38" t="str">
        <f>IF(COUNTIF('Horário - Graduação'!$C106:$AW106,"*"&amp;$D$1&amp;"*")&gt;1,CONCATENATE(HLOOKUP("*"&amp;$D$1&amp;"*",'Horário - Graduação'!$C106:$AW$107,1,FALSE)&amp; CHAR(10),HLOOKUP("*"&amp;$D$1&amp;"*",'Horário - Graduação'!$C106:$AW$107,$B24,FALSE)," + OUTRO"),IFERROR(CONCAT(HLOOKUP("*"&amp;$D$1&amp;"*",'Horário - Graduação'!$C106:$AW$107,1,FALSE)&amp; CHAR(10),HLOOKUP("*"&amp;$D$1&amp;"*",'Horário - Graduação'!$C106:$AW$107,$B24,FALSE)),"Janela"))</f>
        <v>Janela</v>
      </c>
    </row>
    <row r="25" ht="55.5" customHeight="1">
      <c r="A25" s="71"/>
      <c r="B25" s="71"/>
      <c r="C25" s="71"/>
      <c r="D25" s="135"/>
      <c r="E25" s="135"/>
      <c r="F25" s="135"/>
      <c r="G25" s="135"/>
      <c r="H25" s="135"/>
    </row>
    <row r="26" ht="37.5" customHeight="1">
      <c r="A26" s="71"/>
      <c r="B26" s="71"/>
      <c r="C26" s="32"/>
      <c r="D26" s="135"/>
      <c r="E26" s="135"/>
      <c r="F26" s="135"/>
      <c r="G26" s="136" t="s">
        <v>17</v>
      </c>
      <c r="H26" s="27" t="str">
        <f>(75-(COUNTIF(D5:H24,"Janela")))&amp;" h/a"</f>
        <v>18 h/a</v>
      </c>
    </row>
    <row r="27" ht="15.75" customHeight="1">
      <c r="A27" s="32"/>
      <c r="B27" s="32"/>
      <c r="C27" s="32"/>
      <c r="D27" s="32"/>
      <c r="E27" s="32"/>
      <c r="F27" s="32"/>
      <c r="G27" s="32"/>
      <c r="H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</row>
  </sheetData>
  <mergeCells count="1">
    <mergeCell ref="D1:H1"/>
  </mergeCells>
  <conditionalFormatting sqref="B5:B24 D5:H21 D23:F26 G23:H25">
    <cfRule type="containsText" dxfId="0" priority="1" operator="containsText" text="CHOQUE">
      <formula>NOT(ISERROR(SEARCH(("CHOQUE"),(B5))))</formula>
    </cfRule>
  </conditionalFormatting>
  <conditionalFormatting sqref="D5:H21 D23:F26 G23:H25">
    <cfRule type="cellIs" dxfId="1" priority="2" operator="equal">
      <formula>"Janela"</formula>
    </cfRule>
  </conditionalFormatting>
  <conditionalFormatting sqref="D5:H21 D23:F26 G23:H25">
    <cfRule type="containsText" dxfId="2" priority="3" operator="containsText" text="Agroindústria">
      <formula>NOT(ISERROR(SEARCH(("Agroindústria"),(D5))))</formula>
    </cfRule>
  </conditionalFormatting>
  <conditionalFormatting sqref="D5:H21 D23:F26 G23:H25">
    <cfRule type="containsText" dxfId="3" priority="4" operator="containsText" text="Agropecuária">
      <formula>NOT(ISERROR(SEARCH(("Agropecuária"),(D5))))</formula>
    </cfRule>
  </conditionalFormatting>
  <conditionalFormatting sqref="D5:H21 D23:F26 G23:H25">
    <cfRule type="containsText" dxfId="4" priority="5" operator="containsText" text="Informática">
      <formula>NOT(ISERROR(SEARCH(("Informática"),(D5))))</formula>
    </cfRule>
  </conditionalFormatting>
  <conditionalFormatting sqref="D5:H21 D23:F26 G23:H25">
    <cfRule type="containsText" dxfId="5" priority="6" operator="containsText" text="OUTRO">
      <formula>NOT(ISERROR(SEARCH(("OUTRO"),(D5))))</formula>
    </cfRule>
  </conditionalFormatting>
  <dataValidations>
    <dataValidation type="list" allowBlank="1" sqref="D1">
      <formula1>'Validação de Dados'!$A:$A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2.63"/>
    <col customWidth="1" min="3" max="3" width="1.88"/>
    <col customWidth="1" min="4" max="8" width="26.38"/>
    <col customWidth="1" min="11" max="11" width="37.25"/>
  </cols>
  <sheetData>
    <row r="1" ht="15.75" customHeight="1">
      <c r="A1" s="129"/>
      <c r="B1" s="130"/>
      <c r="C1" s="131"/>
      <c r="D1" s="132" t="s">
        <v>767</v>
      </c>
      <c r="E1" s="8"/>
      <c r="F1" s="8"/>
      <c r="G1" s="8"/>
      <c r="H1" s="10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</row>
    <row r="2" ht="15.75" customHeight="1">
      <c r="A2" s="99" t="s">
        <v>20</v>
      </c>
      <c r="B2" s="99" t="s">
        <v>23</v>
      </c>
      <c r="C2" s="131"/>
      <c r="D2" s="99" t="s">
        <v>768</v>
      </c>
      <c r="E2" s="99" t="s">
        <v>769</v>
      </c>
      <c r="F2" s="99" t="s">
        <v>29</v>
      </c>
      <c r="G2" s="99" t="s">
        <v>32</v>
      </c>
      <c r="H2" s="99" t="s">
        <v>33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</row>
    <row r="3" ht="15.75" customHeight="1">
      <c r="A3" s="134" t="s">
        <v>78</v>
      </c>
      <c r="B3" s="24" t="s">
        <v>79</v>
      </c>
      <c r="C3" s="131"/>
      <c r="D3" s="28" t="str">
        <f>'Horário - Graduação'!C3</f>
        <v/>
      </c>
      <c r="E3" s="28" t="str">
        <f>'Horário - Graduação'!D3</f>
        <v/>
      </c>
      <c r="F3" s="28" t="str">
        <f>'Horário - Graduação'!E3</f>
        <v/>
      </c>
      <c r="G3" s="28" t="str">
        <f>'Horário - Graduação'!F3</f>
        <v>Operações Unitárias III (Isis)  (Lab. Fenôm. de Transportes) </v>
      </c>
      <c r="H3" s="28" t="str">
        <f>'Horário - Graduação'!G3</f>
        <v/>
      </c>
      <c r="I3" s="133"/>
      <c r="J3" s="137"/>
      <c r="K3" s="138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</row>
    <row r="4" ht="15.75" customHeight="1">
      <c r="A4" s="36"/>
      <c r="B4" s="24" t="s">
        <v>109</v>
      </c>
      <c r="C4" s="131"/>
      <c r="D4" s="28" t="str">
        <f>'Horário - Graduação'!C4</f>
        <v/>
      </c>
      <c r="E4" s="28" t="str">
        <f>'Horário - Graduação'!D4</f>
        <v/>
      </c>
      <c r="F4" s="28" t="str">
        <f>'Horário - Graduação'!E4</f>
        <v/>
      </c>
      <c r="G4" s="28" t="str">
        <f>'Horário - Graduação'!F4</f>
        <v>Operações Unitárias III (Isis)  (Lab. Fenôm. de Transportes) </v>
      </c>
      <c r="H4" s="28" t="str">
        <f>'Horário - Graduação'!G4</f>
        <v/>
      </c>
      <c r="I4" s="133"/>
      <c r="J4" s="12"/>
      <c r="K4" s="139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</row>
    <row r="5" ht="15.75" customHeight="1">
      <c r="A5" s="36"/>
      <c r="B5" s="40" t="s">
        <v>111</v>
      </c>
      <c r="C5" s="131"/>
      <c r="D5" s="40"/>
      <c r="E5" s="40"/>
      <c r="F5" s="40"/>
      <c r="G5" s="40"/>
      <c r="H5" s="40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</row>
    <row r="6" ht="15.75" customHeight="1">
      <c r="A6" s="36"/>
      <c r="B6" s="24" t="s">
        <v>113</v>
      </c>
      <c r="C6" s="131"/>
      <c r="D6" s="28" t="str">
        <f>'Horário - Graduação'!C6</f>
        <v/>
      </c>
      <c r="E6" s="28" t="str">
        <f>'Horário - Graduação'!D6</f>
        <v>CÁLCULO III (Viviane) (2/6)</v>
      </c>
      <c r="F6" s="28" t="str">
        <f>'Horário - Graduação'!E6</f>
        <v/>
      </c>
      <c r="G6" s="28" t="str">
        <f>'Horário - Graduação'!F6</f>
        <v>Operações Unitárias III (Isis)  (Lab. Fenôm. de Transportes) </v>
      </c>
      <c r="H6" s="28" t="str">
        <f>'Horário - Graduação'!G6</f>
        <v/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</row>
    <row r="7" ht="15.75" customHeight="1">
      <c r="A7" s="36"/>
      <c r="B7" s="24" t="s">
        <v>120</v>
      </c>
      <c r="C7" s="131"/>
      <c r="D7" s="28" t="str">
        <f>'Horário - Graduação'!C7</f>
        <v/>
      </c>
      <c r="E7" s="28" t="str">
        <f>'Horário - Graduação'!D7</f>
        <v>CÁLCULO III (Viviane) (2/6)</v>
      </c>
      <c r="F7" s="28" t="str">
        <f>'Horário - Graduação'!E7</f>
        <v/>
      </c>
      <c r="G7" s="28" t="str">
        <f>'Horário - Graduação'!F7</f>
        <v>Operações Unitárias III (Isis)  (Lab. Fenôm. de Transportes) </v>
      </c>
      <c r="H7" s="28" t="str">
        <f>'Horário - Graduação'!G7</f>
        <v/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</row>
    <row r="8" ht="15.75" customHeight="1">
      <c r="A8" s="36"/>
      <c r="B8" s="24" t="s">
        <v>121</v>
      </c>
      <c r="C8" s="131"/>
      <c r="D8" s="28" t="str">
        <f>'Horário - Graduação'!C8</f>
        <v/>
      </c>
      <c r="E8" s="28" t="str">
        <f>'Horário - Graduação'!D8</f>
        <v/>
      </c>
      <c r="F8" s="28" t="str">
        <f>'Horário - Graduação'!E8</f>
        <v/>
      </c>
      <c r="G8" s="28" t="str">
        <f>'Horário - Graduação'!F8</f>
        <v/>
      </c>
      <c r="H8" s="28" t="str">
        <f>'Horário - Graduação'!G8</f>
        <v/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</row>
    <row r="9" ht="15.75" customHeight="1">
      <c r="A9" s="36"/>
      <c r="B9" s="40" t="s">
        <v>124</v>
      </c>
      <c r="C9" s="131"/>
      <c r="D9" s="40"/>
      <c r="E9" s="40"/>
      <c r="F9" s="40"/>
      <c r="G9" s="40"/>
      <c r="H9" s="40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</row>
    <row r="10" ht="15.75" customHeight="1">
      <c r="A10" s="36"/>
      <c r="B10" s="24" t="s">
        <v>126</v>
      </c>
      <c r="C10" s="131"/>
      <c r="D10" s="28" t="str">
        <f>'Horário - Graduação'!C10</f>
        <v>QUÍMICA ORGÂNICA (Elza)  (1/13)</v>
      </c>
      <c r="E10" s="28" t="str">
        <f>'Horário - Graduação'!D10</f>
        <v/>
      </c>
      <c r="F10" s="28" t="str">
        <f>'Horário - Graduação'!E10</f>
        <v>UCE I (Edilson) (1/11)</v>
      </c>
      <c r="G10" s="28" t="str">
        <f>'Horário - Graduação'!F10</f>
        <v>Planejamento e Projeto (Isis) (Sl. Fenômenos)</v>
      </c>
      <c r="H10" s="28" t="str">
        <f>'Horário - Graduação'!G10</f>
        <v/>
      </c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</row>
    <row r="11" ht="15.75" customHeight="1">
      <c r="A11" s="36"/>
      <c r="B11" s="24" t="s">
        <v>138</v>
      </c>
      <c r="C11" s="131"/>
      <c r="D11" s="28" t="str">
        <f>'Horário - Graduação'!C11</f>
        <v>QUÍMICA ORGÂNICA (Elza)  (1/13)</v>
      </c>
      <c r="E11" s="28" t="str">
        <f>'Horário - Graduação'!D11</f>
        <v/>
      </c>
      <c r="F11" s="28" t="str">
        <f>'Horário - Graduação'!E11</f>
        <v>UCE I (Edilson) (1/11)</v>
      </c>
      <c r="G11" s="28" t="str">
        <f>'Horário - Graduação'!F11</f>
        <v>Planejamento e Projeto (Isis) (Sl. Fenômenos)</v>
      </c>
      <c r="H11" s="28" t="str">
        <f>'Horário - Graduação'!G11</f>
        <v/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</row>
    <row r="12" ht="15.75" customHeight="1">
      <c r="A12" s="36"/>
      <c r="B12" s="40" t="s">
        <v>111</v>
      </c>
      <c r="C12" s="131"/>
      <c r="D12" s="40"/>
      <c r="E12" s="40"/>
      <c r="F12" s="40"/>
      <c r="G12" s="40"/>
      <c r="H12" s="40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</row>
    <row r="13" ht="15.75" customHeight="1">
      <c r="A13" s="36"/>
      <c r="B13" s="24" t="s">
        <v>141</v>
      </c>
      <c r="C13" s="131"/>
      <c r="D13" s="28" t="str">
        <f>'Horário - Graduação'!C13</f>
        <v/>
      </c>
      <c r="E13" s="28" t="str">
        <f>'Horário - Graduação'!D13</f>
        <v/>
      </c>
      <c r="F13" s="28" t="str">
        <f>'Horário - Graduação'!E13</f>
        <v/>
      </c>
      <c r="G13" s="28" t="str">
        <f>'Horário - Graduação'!F13</f>
        <v>Planejamento e Projeto (Isis) (Sl. Fenômenos)</v>
      </c>
      <c r="H13" s="28" t="str">
        <f>'Horário - Graduação'!G13</f>
        <v/>
      </c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</row>
    <row r="14" ht="15.75" customHeight="1">
      <c r="A14" s="36"/>
      <c r="B14" s="24" t="s">
        <v>154</v>
      </c>
      <c r="C14" s="131"/>
      <c r="D14" s="28" t="str">
        <f>'Horário - Graduação'!C14</f>
        <v/>
      </c>
      <c r="E14" s="28" t="str">
        <f>'Horário - Graduação'!D14</f>
        <v/>
      </c>
      <c r="F14" s="28" t="str">
        <f>'Horário - Graduação'!E14</f>
        <v/>
      </c>
      <c r="G14" s="28" t="str">
        <f>'Horário - Graduação'!F14</f>
        <v>Planejamento e Projeto (Isis) (Sl. Fenômenos)</v>
      </c>
      <c r="H14" s="28" t="str">
        <f>'Horário - Graduação'!G14</f>
        <v/>
      </c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</row>
    <row r="15" ht="15.75" customHeight="1">
      <c r="A15" s="66"/>
      <c r="B15" s="24" t="s">
        <v>155</v>
      </c>
      <c r="C15" s="131"/>
      <c r="D15" s="52" t="str">
        <f>'Horário - Graduação'!C15</f>
        <v/>
      </c>
      <c r="E15" s="52" t="str">
        <f>'Horário - Graduação'!D15</f>
        <v>ESTATÍSTICA BÁSICA (EAD) (Arilson) (1/10)</v>
      </c>
      <c r="F15" s="52" t="str">
        <f>'Horário - Graduação'!E15</f>
        <v/>
      </c>
      <c r="G15" s="52" t="str">
        <f>'Horário - Graduação'!F15</f>
        <v/>
      </c>
      <c r="H15" s="52" t="str">
        <f>'Horário - Graduação'!G15</f>
        <v/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</row>
    <row r="16" ht="15.75" customHeight="1">
      <c r="A16" s="99" t="s">
        <v>20</v>
      </c>
      <c r="B16" s="140" t="s">
        <v>23</v>
      </c>
      <c r="C16" s="131"/>
      <c r="D16" s="99" t="s">
        <v>768</v>
      </c>
      <c r="E16" s="99" t="s">
        <v>769</v>
      </c>
      <c r="F16" s="99" t="s">
        <v>29</v>
      </c>
      <c r="G16" s="99" t="s">
        <v>32</v>
      </c>
      <c r="H16" s="99" t="s">
        <v>33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</row>
    <row r="17" ht="15.75" customHeight="1">
      <c r="A17" s="134" t="s">
        <v>11</v>
      </c>
      <c r="B17" s="24" t="s">
        <v>79</v>
      </c>
      <c r="C17" s="131"/>
      <c r="D17" s="28" t="str">
        <f>'Horário - Graduação'!C24</f>
        <v/>
      </c>
      <c r="E17" s="28" t="str">
        <f>'Horário - Graduação'!D24</f>
        <v/>
      </c>
      <c r="F17" s="28" t="str">
        <f>'Horário - Graduação'!E24</f>
        <v>HIGIENE NA INDÚSTRIA DE ALIMENTOS (Bruna Porto)  (1/10)</v>
      </c>
      <c r="G17" s="28" t="str">
        <f>'Horário - Graduação'!F24</f>
        <v/>
      </c>
      <c r="H17" s="28" t="str">
        <f>'Horário - Graduação'!G24</f>
        <v/>
      </c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</row>
    <row r="18" ht="15.75" customHeight="1">
      <c r="A18" s="36"/>
      <c r="B18" s="24" t="s">
        <v>109</v>
      </c>
      <c r="C18" s="131"/>
      <c r="D18" s="28" t="str">
        <f>'Horário - Graduação'!C25</f>
        <v/>
      </c>
      <c r="E18" s="28" t="str">
        <f>'Horário - Graduação'!D25</f>
        <v/>
      </c>
      <c r="F18" s="28" t="str">
        <f>'Horário - Graduação'!E25</f>
        <v>HIGIENE NA INDÚSTRIA DE ALIMENTOS (Bruna Porto)  (1/10)</v>
      </c>
      <c r="G18" s="28" t="str">
        <f>'Horário - Graduação'!F25</f>
        <v/>
      </c>
      <c r="H18" s="28" t="str">
        <f>'Horário - Graduação'!G25</f>
        <v/>
      </c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</row>
    <row r="19" ht="15.75" customHeight="1">
      <c r="A19" s="36"/>
      <c r="B19" s="40" t="s">
        <v>111</v>
      </c>
      <c r="C19" s="131"/>
      <c r="D19" s="40"/>
      <c r="E19" s="40"/>
      <c r="F19" s="40"/>
      <c r="G19" s="40"/>
      <c r="H19" s="40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</row>
    <row r="20" ht="15.75" customHeight="1">
      <c r="A20" s="36"/>
      <c r="B20" s="24" t="s">
        <v>113</v>
      </c>
      <c r="C20" s="131"/>
      <c r="D20" s="28" t="str">
        <f>'Horário - Graduação'!C27</f>
        <v/>
      </c>
      <c r="E20" s="28" t="str">
        <f>'Horário - Graduação'!D27</f>
        <v>MICROBIOLOGIA (Vanessa Santana) (1/11)</v>
      </c>
      <c r="F20" s="28" t="str">
        <f>'Horário - Graduação'!E27</f>
        <v>HIGIENE NA INDÚSTRIA DE ALIMENTOS (Bruna Porto) (1/10)</v>
      </c>
      <c r="G20" s="28" t="str">
        <f>'Horário - Graduação'!F27</f>
        <v/>
      </c>
      <c r="H20" s="28" t="str">
        <f>'Horário - Graduação'!G27</f>
        <v/>
      </c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</row>
    <row r="21" ht="15.75" customHeight="1">
      <c r="A21" s="36"/>
      <c r="B21" s="24" t="s">
        <v>120</v>
      </c>
      <c r="C21" s="131"/>
      <c r="D21" s="28" t="str">
        <f>'Horário - Graduação'!C28</f>
        <v/>
      </c>
      <c r="E21" s="28" t="str">
        <f>'Horário - Graduação'!D28</f>
        <v>MICROBIOLOGIA (Vanessa Santana) (1/11)</v>
      </c>
      <c r="F21" s="28" t="str">
        <f>'Horário - Graduação'!E28</f>
        <v>SECAGEM DE GRÃOS (Jean) (1/12)</v>
      </c>
      <c r="G21" s="28" t="str">
        <f>'Horário - Graduação'!F28</f>
        <v/>
      </c>
      <c r="H21" s="28" t="str">
        <f>'Horário - Graduação'!G28</f>
        <v/>
      </c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 ht="15.75" customHeight="1">
      <c r="A22" s="36"/>
      <c r="B22" s="24" t="s">
        <v>121</v>
      </c>
      <c r="C22" s="131"/>
      <c r="D22" s="28" t="str">
        <f>'Horário - Graduação'!C29</f>
        <v/>
      </c>
      <c r="E22" s="28" t="str">
        <f>'Horário - Graduação'!D29</f>
        <v/>
      </c>
      <c r="F22" s="28" t="str">
        <f>'Horário - Graduação'!E29</f>
        <v>SECAGEM DE GRÃOS (Jean) (1/12)</v>
      </c>
      <c r="G22" s="28" t="str">
        <f>'Horário - Graduação'!F29</f>
        <v/>
      </c>
      <c r="H22" s="28" t="str">
        <f>'Horário - Graduação'!G29</f>
        <v/>
      </c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</row>
    <row r="23" ht="15.75" customHeight="1">
      <c r="A23" s="36"/>
      <c r="B23" s="40" t="s">
        <v>124</v>
      </c>
      <c r="C23" s="131"/>
      <c r="D23" s="40"/>
      <c r="E23" s="40"/>
      <c r="F23" s="40"/>
      <c r="G23" s="40"/>
      <c r="H23" s="40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</row>
    <row r="24" ht="15.75" customHeight="1">
      <c r="A24" s="36"/>
      <c r="B24" s="24" t="s">
        <v>126</v>
      </c>
      <c r="C24" s="131"/>
      <c r="D24" s="141" t="str">
        <f>'Horário - Graduação'!C31</f>
        <v>MATÉRIAS PRIMAS ALIMENTÍCIAS (Bruna Porto) (1/13)</v>
      </c>
      <c r="E24" s="141" t="str">
        <f>'Horário - Graduação'!D31</f>
        <v>Física II (Diego Carvalho) (1/7)</v>
      </c>
      <c r="F24" s="141" t="str">
        <f>'Horário - Graduação'!E31</f>
        <v>TECNOLOGIA DE CARNES (Felipe Cimino) (2/6)</v>
      </c>
      <c r="G24" s="141" t="str">
        <f>'Horário - Graduação'!F31</f>
        <v>UCE III (Andreia) (1/17)</v>
      </c>
      <c r="H24" s="141" t="str">
        <f>'Horário - Graduação'!G31</f>
        <v/>
      </c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</row>
    <row r="25" ht="15.75" customHeight="1">
      <c r="A25" s="36"/>
      <c r="B25" s="24" t="s">
        <v>138</v>
      </c>
      <c r="C25" s="131"/>
      <c r="D25" s="141" t="str">
        <f>'Horário - Graduação'!C32</f>
        <v>MATÉRIAS PRIMAS ALIMENTÍCIAS (Bruna Porto) (1/13)</v>
      </c>
      <c r="E25" s="141" t="str">
        <f>'Horário - Graduação'!D32</f>
        <v>Física II (Diego Carvalho) (1/7)</v>
      </c>
      <c r="F25" s="141" t="str">
        <f>'Horário - Graduação'!E32</f>
        <v>TECNOLOGIA DE CARNES (Felipe Cimino) (2/6)</v>
      </c>
      <c r="G25" s="141" t="str">
        <f>'Horário - Graduação'!F32</f>
        <v>UCE III (Andreia) (1/17)</v>
      </c>
      <c r="H25" s="141" t="str">
        <f>'Horário - Graduação'!G32</f>
        <v/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</row>
    <row r="26" ht="15.75" customHeight="1">
      <c r="A26" s="36"/>
      <c r="B26" s="40" t="s">
        <v>111</v>
      </c>
      <c r="C26" s="131"/>
      <c r="D26" s="40"/>
      <c r="E26" s="40"/>
      <c r="F26" s="40"/>
      <c r="G26" s="40"/>
      <c r="H26" s="40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</row>
    <row r="27" ht="15.75" customHeight="1">
      <c r="A27" s="36"/>
      <c r="B27" s="24" t="s">
        <v>141</v>
      </c>
      <c r="C27" s="131"/>
      <c r="D27" s="28" t="str">
        <f>'Horário - Graduação'!C34</f>
        <v>QUÍMICA ORGÂNICA (Elza)  (1/13)</v>
      </c>
      <c r="E27" s="28" t="str">
        <f>'Horário - Graduação'!D34</f>
        <v/>
      </c>
      <c r="F27" s="28" t="str">
        <f>'Horário - Graduação'!E34</f>
        <v>TECNOLOGIA DE CARNES (Felipe Cimino) (2/6)</v>
      </c>
      <c r="G27" s="28" t="str">
        <f>'Horário - Graduação'!F34</f>
        <v>UCE III (Andreia) (1/17)</v>
      </c>
      <c r="H27" s="28" t="str">
        <f>'Horário - Graduação'!G34</f>
        <v/>
      </c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</row>
    <row r="28" ht="15.75" customHeight="1">
      <c r="A28" s="36"/>
      <c r="B28" s="24" t="s">
        <v>154</v>
      </c>
      <c r="C28" s="131"/>
      <c r="D28" s="28" t="str">
        <f>'Horário - Graduação'!C35</f>
        <v>QUÍMICA ORGÂNICA (Elza) (1/13)</v>
      </c>
      <c r="E28" s="28" t="str">
        <f>'Horário - Graduação'!D35</f>
        <v/>
      </c>
      <c r="F28" s="28" t="str">
        <f>'Horário - Graduação'!E35</f>
        <v>TECNOLOGIA DE CARNES (Felipe Cimino) (2/6)</v>
      </c>
      <c r="G28" s="28" t="str">
        <f>'Horário - Graduação'!F35</f>
        <v/>
      </c>
      <c r="H28" s="28" t="str">
        <f>'Horário - Graduação'!G35</f>
        <v/>
      </c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</row>
    <row r="29" ht="15.75" customHeight="1">
      <c r="A29" s="66"/>
      <c r="B29" s="24" t="s">
        <v>155</v>
      </c>
      <c r="C29" s="131"/>
      <c r="D29" s="52" t="str">
        <f>'Horário - Graduação'!C36</f>
        <v/>
      </c>
      <c r="E29" s="52" t="str">
        <f>'Horário - Graduação'!D36</f>
        <v>ESTATÍSTICA BÁSICA (EAD) (Agnaldo)</v>
      </c>
      <c r="F29" s="52" t="str">
        <f>'Horário - Graduação'!E36</f>
        <v/>
      </c>
      <c r="G29" s="52" t="str">
        <f>'Horário - Graduação'!F36</f>
        <v/>
      </c>
      <c r="H29" s="52" t="str">
        <f>'Horário - Graduação'!G36</f>
        <v/>
      </c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</row>
    <row r="30" ht="15.75" customHeight="1">
      <c r="A30" s="99" t="s">
        <v>20</v>
      </c>
      <c r="B30" s="140" t="s">
        <v>23</v>
      </c>
      <c r="C30" s="131"/>
      <c r="D30" s="99" t="s">
        <v>768</v>
      </c>
      <c r="E30" s="99" t="s">
        <v>769</v>
      </c>
      <c r="F30" s="99" t="s">
        <v>29</v>
      </c>
      <c r="G30" s="99" t="s">
        <v>32</v>
      </c>
      <c r="H30" s="99" t="s">
        <v>33</v>
      </c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</row>
    <row r="31" ht="15.75" customHeight="1">
      <c r="A31" s="134" t="s">
        <v>12</v>
      </c>
      <c r="B31" s="24" t="s">
        <v>79</v>
      </c>
      <c r="C31" s="131"/>
      <c r="D31" s="28" t="str">
        <f>'Horário - Graduação'!C45</f>
        <v/>
      </c>
      <c r="E31" s="28" t="str">
        <f>'Horário - Graduação'!D45</f>
        <v/>
      </c>
      <c r="F31" s="28" t="str">
        <f>'Horário - Graduação'!E45</f>
        <v/>
      </c>
      <c r="G31" s="28" t="str">
        <f>'Horário - Graduação'!F45</f>
        <v>Refrigeração (Isis) (Sl. Fenômenos)</v>
      </c>
      <c r="H31" s="28" t="str">
        <f>'Horário - Graduação'!G45</f>
        <v/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</row>
    <row r="32" ht="15.75" customHeight="1">
      <c r="A32" s="36"/>
      <c r="B32" s="24" t="s">
        <v>109</v>
      </c>
      <c r="C32" s="131"/>
      <c r="D32" s="28" t="str">
        <f>'Horário - Graduação'!C46</f>
        <v/>
      </c>
      <c r="E32" s="28" t="str">
        <f>'Horário - Graduação'!D46</f>
        <v/>
      </c>
      <c r="F32" s="28" t="str">
        <f>'Horário - Graduação'!E46</f>
        <v/>
      </c>
      <c r="G32" s="28" t="str">
        <f>'Horário - Graduação'!F46</f>
        <v>Refrigeração (Isis) (Sl. Fenômenos)</v>
      </c>
      <c r="H32" s="28" t="str">
        <f>'Horário - Graduação'!G46</f>
        <v/>
      </c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</row>
    <row r="33" ht="15.75" customHeight="1">
      <c r="A33" s="36"/>
      <c r="B33" s="40" t="s">
        <v>111</v>
      </c>
      <c r="C33" s="131"/>
      <c r="D33" s="40"/>
      <c r="E33" s="40"/>
      <c r="F33" s="40"/>
      <c r="G33" s="40"/>
      <c r="H33" s="40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</row>
    <row r="34" ht="15.75" customHeight="1">
      <c r="A34" s="36"/>
      <c r="B34" s="24" t="s">
        <v>113</v>
      </c>
      <c r="C34" s="131"/>
      <c r="D34" s="28" t="str">
        <f>'Horário - Graduação'!C48</f>
        <v/>
      </c>
      <c r="E34" s="28" t="str">
        <f>'Horário - Graduação'!D48</f>
        <v>CÁLCULO III (Viviane) (1/13)</v>
      </c>
      <c r="F34" s="28" t="str">
        <f>'Horário - Graduação'!E48</f>
        <v>PRINCÍPIOS DE CONSERVAÇÃO DE ALIMENTOS (Felipe Cimino) (Lab. Bromatologia)</v>
      </c>
      <c r="G34" s="28" t="str">
        <f>'Horário - Graduação'!F48</f>
        <v>Refrigeração (Isis) (Sl. Fenômenos)</v>
      </c>
      <c r="H34" s="28" t="str">
        <f>'Horário - Graduação'!G48</f>
        <v/>
      </c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</row>
    <row r="35" ht="15.75" customHeight="1">
      <c r="A35" s="36"/>
      <c r="B35" s="24" t="s">
        <v>120</v>
      </c>
      <c r="C35" s="131"/>
      <c r="D35" s="28" t="str">
        <f>'Horário - Graduação'!C49</f>
        <v/>
      </c>
      <c r="E35" s="28" t="str">
        <f>'Horário - Graduação'!D49</f>
        <v>CÁLCULO III (Viviane) (1/13)</v>
      </c>
      <c r="F35" s="28" t="str">
        <f>'Horário - Graduação'!E49</f>
        <v>PRINCÍPIOS DE CONSERVAÇÃO DE ALIMENTOS (Felipe Cimino) (Lab. Bromatologia)</v>
      </c>
      <c r="G35" s="28" t="str">
        <f>'Horário - Graduação'!F49</f>
        <v>Refrigeração (Isis) (Sl. Fenômenos)</v>
      </c>
      <c r="H35" s="28" t="str">
        <f>'Horário - Graduação'!G49</f>
        <v/>
      </c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</row>
    <row r="36" ht="15.75" customHeight="1">
      <c r="A36" s="36"/>
      <c r="B36" s="24" t="s">
        <v>121</v>
      </c>
      <c r="C36" s="131"/>
      <c r="D36" s="28" t="str">
        <f>'Horário - Graduação'!C50</f>
        <v/>
      </c>
      <c r="E36" s="28" t="str">
        <f>'Horário - Graduação'!D50</f>
        <v/>
      </c>
      <c r="F36" s="28" t="str">
        <f>'Horário - Graduação'!E50</f>
        <v>UCE I (Higor)</v>
      </c>
      <c r="G36" s="28" t="str">
        <f>'Horário - Graduação'!F50</f>
        <v/>
      </c>
      <c r="H36" s="28" t="str">
        <f>'Horário - Graduação'!G50</f>
        <v/>
      </c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</row>
    <row r="37" ht="15.75" customHeight="1">
      <c r="A37" s="36"/>
      <c r="B37" s="40" t="s">
        <v>124</v>
      </c>
      <c r="C37" s="131"/>
      <c r="D37" s="40"/>
      <c r="E37" s="40"/>
      <c r="F37" s="40"/>
      <c r="G37" s="40"/>
      <c r="H37" s="40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</row>
    <row r="38" ht="15.75" customHeight="1">
      <c r="A38" s="36"/>
      <c r="B38" s="24" t="s">
        <v>126</v>
      </c>
      <c r="C38" s="131"/>
      <c r="D38" s="28" t="str">
        <f>'Horário - Graduação'!C52</f>
        <v>MATÉRIAS PRIMAS ALIMENTÍCIAS (Bruna Porto) (1/13)</v>
      </c>
      <c r="E38" s="28" t="str">
        <f>'Horário - Graduação'!D52</f>
        <v/>
      </c>
      <c r="F38" s="28" t="str">
        <f>'Horário - Graduação'!E52</f>
        <v>PRINCÍPIOS DE CONSERVAÇÃO DE ALIMENTOS (Felipe Cimino) (Lab. Bromatologia)</v>
      </c>
      <c r="G38" s="28" t="str">
        <f>'Horário - Graduação'!F52</f>
        <v/>
      </c>
      <c r="H38" s="28" t="str">
        <f>'Horário - Graduação'!G52</f>
        <v/>
      </c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</row>
    <row r="39" ht="15.75" customHeight="1">
      <c r="A39" s="36"/>
      <c r="B39" s="24" t="s">
        <v>138</v>
      </c>
      <c r="C39" s="131"/>
      <c r="D39" s="28" t="str">
        <f>'Horário - Graduação'!C53</f>
        <v>MATÉRIAS PRIMAS ALIMENTÍCIAS (Bruna Porto) (1/13)</v>
      </c>
      <c r="E39" s="28" t="str">
        <f>'Horário - Graduação'!D53</f>
        <v/>
      </c>
      <c r="F39" s="28" t="str">
        <f>'Horário - Graduação'!E53</f>
        <v>PRINCÍPIOS DE CONSERVAÇÃO DE ALIMENTOS (Felipe Cimino) (Lab. Bromatologia)</v>
      </c>
      <c r="G39" s="28" t="str">
        <f>'Horário - Graduação'!F53</f>
        <v/>
      </c>
      <c r="H39" s="28" t="str">
        <f>'Horário - Graduação'!G53</f>
        <v/>
      </c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</row>
    <row r="40" ht="15.75" customHeight="1">
      <c r="A40" s="36"/>
      <c r="B40" s="40" t="s">
        <v>111</v>
      </c>
      <c r="C40" s="131"/>
      <c r="D40" s="40"/>
      <c r="E40" s="40"/>
      <c r="F40" s="40"/>
      <c r="G40" s="40"/>
      <c r="H40" s="40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</row>
    <row r="41" ht="15.75" customHeight="1">
      <c r="A41" s="36"/>
      <c r="B41" s="24" t="s">
        <v>141</v>
      </c>
      <c r="C41" s="131"/>
      <c r="D41" s="103" t="str">
        <f>'Horário - Graduação'!C55</f>
        <v/>
      </c>
      <c r="E41" s="103" t="str">
        <f>'Horário - Graduação'!D55</f>
        <v/>
      </c>
      <c r="F41" s="103" t="str">
        <f>'Horário - Graduação'!E55</f>
        <v/>
      </c>
      <c r="G41" s="103" t="str">
        <f>'Horário - Graduação'!F55</f>
        <v/>
      </c>
      <c r="H41" s="103" t="str">
        <f>'Horário - Graduação'!G55</f>
        <v/>
      </c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</row>
    <row r="42" ht="15.75" customHeight="1">
      <c r="A42" s="36"/>
      <c r="B42" s="24" t="s">
        <v>154</v>
      </c>
      <c r="C42" s="131"/>
      <c r="D42" s="103" t="str">
        <f>'Horário - Graduação'!C56</f>
        <v/>
      </c>
      <c r="E42" s="103" t="str">
        <f>'Horário - Graduação'!D56</f>
        <v/>
      </c>
      <c r="F42" s="103" t="str">
        <f>'Horário - Graduação'!E56</f>
        <v/>
      </c>
      <c r="G42" s="103" t="str">
        <f>'Horário - Graduação'!F56</f>
        <v/>
      </c>
      <c r="H42" s="103" t="str">
        <f>'Horário - Graduação'!G56</f>
        <v/>
      </c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</row>
    <row r="43" ht="15.75" customHeight="1">
      <c r="A43" s="66"/>
      <c r="B43" s="24" t="s">
        <v>155</v>
      </c>
      <c r="C43" s="131"/>
      <c r="D43" s="52" t="str">
        <f>'Horário - Graduação'!C57</f>
        <v/>
      </c>
      <c r="E43" s="52" t="str">
        <f>'Horário - Graduação'!D57</f>
        <v>ESTATÍSTICA BÁSICA (EAD) (Agnaldo)</v>
      </c>
      <c r="F43" s="52" t="str">
        <f>'Horário - Graduação'!E57</f>
        <v/>
      </c>
      <c r="G43" s="52" t="str">
        <f>'Horário - Graduação'!F57</f>
        <v/>
      </c>
      <c r="H43" s="52" t="str">
        <f>'Horário - Graduação'!G57</f>
        <v/>
      </c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</row>
    <row r="44" ht="15.75" customHeight="1">
      <c r="A44" s="99" t="s">
        <v>20</v>
      </c>
      <c r="B44" s="140" t="s">
        <v>23</v>
      </c>
      <c r="C44" s="131"/>
      <c r="D44" s="99" t="s">
        <v>768</v>
      </c>
      <c r="E44" s="99" t="s">
        <v>769</v>
      </c>
      <c r="F44" s="99" t="s">
        <v>29</v>
      </c>
      <c r="G44" s="99" t="s">
        <v>32</v>
      </c>
      <c r="H44" s="99" t="s">
        <v>33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</row>
    <row r="45" ht="15.75" customHeight="1">
      <c r="A45" s="134" t="s">
        <v>13</v>
      </c>
      <c r="B45" s="24" t="s">
        <v>79</v>
      </c>
      <c r="C45" s="131"/>
      <c r="D45" s="28" t="str">
        <f>'Horário - Graduação'!C66</f>
        <v/>
      </c>
      <c r="E45" s="28" t="str">
        <f>'Horário - Graduação'!D66</f>
        <v/>
      </c>
      <c r="F45" s="28" t="str">
        <f>'Horário - Graduação'!E66</f>
        <v>SECAGEM DE GRÃOS (Jean) (1/14)</v>
      </c>
      <c r="G45" s="28" t="str">
        <f>'Horário - Graduação'!F66</f>
        <v/>
      </c>
      <c r="H45" s="28" t="str">
        <f>'Horário - Graduação'!G66</f>
        <v/>
      </c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</row>
    <row r="46" ht="15.75" customHeight="1">
      <c r="A46" s="36"/>
      <c r="B46" s="24" t="s">
        <v>109</v>
      </c>
      <c r="C46" s="131"/>
      <c r="D46" s="28" t="str">
        <f>'Horário - Graduação'!C67</f>
        <v/>
      </c>
      <c r="E46" s="28" t="str">
        <f>'Horário - Graduação'!D67</f>
        <v/>
      </c>
      <c r="F46" s="28" t="str">
        <f>'Horário - Graduação'!E67</f>
        <v>SECAGEM DE GRÃOS (Jean) (1/14)</v>
      </c>
      <c r="G46" s="28" t="str">
        <f>'Horário - Graduação'!F67</f>
        <v/>
      </c>
      <c r="H46" s="28" t="str">
        <f>'Horário - Graduação'!G67</f>
        <v/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</row>
    <row r="47" ht="15.75" customHeight="1">
      <c r="A47" s="36"/>
      <c r="B47" s="40" t="s">
        <v>111</v>
      </c>
      <c r="C47" s="131"/>
      <c r="D47" s="40"/>
      <c r="E47" s="40"/>
      <c r="F47" s="40"/>
      <c r="G47" s="40"/>
      <c r="H47" s="40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</row>
    <row r="48" ht="15.75" customHeight="1">
      <c r="A48" s="36"/>
      <c r="B48" s="24" t="s">
        <v>113</v>
      </c>
      <c r="C48" s="131"/>
      <c r="D48" s="28" t="str">
        <f>'Horário - Graduação'!C69</f>
        <v/>
      </c>
      <c r="E48" s="28" t="str">
        <f>'Horário - Graduação'!D69</f>
        <v>NUTRIÇÃO HUMANA (Jean) (1/14)</v>
      </c>
      <c r="F48" s="28" t="str">
        <f>'Horário - Graduação'!E69</f>
        <v>UCE I (Higor) (2/6)</v>
      </c>
      <c r="G48" s="28" t="str">
        <f>'Horário - Graduação'!F69</f>
        <v>Óleos e Gorduras (OPTATIVA I) (Bruna Porto) (Sl. Fenômenos) / Massas e Panificação (OPTATIVA II) (Márcia Antunes) (Sl. Oficina)</v>
      </c>
      <c r="H48" s="28" t="str">
        <f>'Horário - Graduação'!G69</f>
        <v/>
      </c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</row>
    <row r="49" ht="15.75" customHeight="1">
      <c r="A49" s="36"/>
      <c r="B49" s="24" t="s">
        <v>120</v>
      </c>
      <c r="C49" s="131"/>
      <c r="D49" s="28" t="str">
        <f>'Horário - Graduação'!C70</f>
        <v/>
      </c>
      <c r="E49" s="28" t="str">
        <f>'Horário - Graduação'!D70</f>
        <v>NUTRIÇÃO HUMANA (Jean) (1/14)</v>
      </c>
      <c r="F49" s="28" t="str">
        <f>'Horário - Graduação'!E70</f>
        <v>UCE I (Higor) (2/6)</v>
      </c>
      <c r="G49" s="28" t="str">
        <f>'Horário - Graduação'!F70</f>
        <v>Óleos e Gorduras (OPTATIVA I) (Bruna Porto) (Sl. Fenômenos) / Massas e Panificação (OPTATIVA II) (Márcia Antunes) (Sl. Oficina)</v>
      </c>
      <c r="H49" s="28" t="str">
        <f>'Horário - Graduação'!G70</f>
        <v/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</row>
    <row r="50" ht="15.75" customHeight="1">
      <c r="A50" s="36"/>
      <c r="B50" s="24" t="s">
        <v>121</v>
      </c>
      <c r="C50" s="131"/>
      <c r="D50" s="28" t="str">
        <f>'Horário - Graduação'!C71</f>
        <v/>
      </c>
      <c r="E50" s="28" t="str">
        <f>'Horário - Graduação'!D71</f>
        <v/>
      </c>
      <c r="F50" s="28" t="str">
        <f>'Horário - Graduação'!E71</f>
        <v>UCE I (Higor) (2/6)</v>
      </c>
      <c r="G50" s="28" t="str">
        <f>'Horário - Graduação'!F71</f>
        <v>Óleos e Gorduras (OPTATIVA I) (Bruna Porto) (Sl. Fenômenos) / Massas e Panificação (OPTATIVA II) (Márcia Antunes) (Sl. Oficina)</v>
      </c>
      <c r="H50" s="28" t="str">
        <f>'Horário - Graduação'!G71</f>
        <v/>
      </c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</row>
    <row r="51" ht="15.75" customHeight="1">
      <c r="A51" s="36"/>
      <c r="B51" s="40" t="s">
        <v>124</v>
      </c>
      <c r="C51" s="131"/>
      <c r="D51" s="40"/>
      <c r="E51" s="40"/>
      <c r="F51" s="40"/>
      <c r="G51" s="40"/>
      <c r="H51" s="40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</row>
    <row r="52" ht="15.75" customHeight="1">
      <c r="A52" s="36"/>
      <c r="B52" s="24" t="s">
        <v>126</v>
      </c>
      <c r="C52" s="131"/>
      <c r="D52" s="28" t="str">
        <f>'Horário - Graduação'!C73</f>
        <v/>
      </c>
      <c r="E52" s="28" t="str">
        <f>'Horário - Graduação'!D73</f>
        <v>Física II (Diego Carvalho) (3/11)</v>
      </c>
      <c r="F52" s="28" t="str">
        <f>'Horário - Graduação'!E73</f>
        <v>OPERAÇÕES UNITÁRIAS I (Higor) (Lab. Fenôm. de Transportes)</v>
      </c>
      <c r="G52" s="28" t="str">
        <f>'Horário - Graduação'!F73</f>
        <v>Óleos e Gorduras (OPTATIVA I) (Bruna Porto) (Sl. Fenômenos) / Massas e Panificação (OPTATIVA II) (Márcia Antunes) (Sl. Oficina)</v>
      </c>
      <c r="H52" s="28" t="str">
        <f>'Horário - Graduação'!G73</f>
        <v/>
      </c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</row>
    <row r="53" ht="15.75" customHeight="1">
      <c r="A53" s="36"/>
      <c r="B53" s="24" t="s">
        <v>138</v>
      </c>
      <c r="C53" s="131"/>
      <c r="D53" s="28" t="str">
        <f>'Horário - Graduação'!C74</f>
        <v/>
      </c>
      <c r="E53" s="28" t="str">
        <f>'Horário - Graduação'!D74</f>
        <v>Física II (Diego Carvalho) (3/11)</v>
      </c>
      <c r="F53" s="28" t="str">
        <f>'Horário - Graduação'!E74</f>
        <v>OPERAÇÕES UNITÁRIAS I (Higor) (Lab. Fenôm. de Transportes)</v>
      </c>
      <c r="G53" s="28" t="str">
        <f>'Horário - Graduação'!F74</f>
        <v>UCE III (Márcia Antunes) (Sl. Oficina)</v>
      </c>
      <c r="H53" s="28" t="str">
        <f>'Horário - Graduação'!G74</f>
        <v/>
      </c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</row>
    <row r="54" ht="15.75" customHeight="1">
      <c r="A54" s="36"/>
      <c r="B54" s="40" t="s">
        <v>111</v>
      </c>
      <c r="C54" s="131"/>
      <c r="D54" s="40"/>
      <c r="E54" s="40"/>
      <c r="F54" s="40"/>
      <c r="G54" s="40"/>
      <c r="H54" s="40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</row>
    <row r="55" ht="15.75" customHeight="1">
      <c r="A55" s="36"/>
      <c r="B55" s="24" t="s">
        <v>141</v>
      </c>
      <c r="C55" s="131"/>
      <c r="D55" s="28" t="str">
        <f>'Horário - Graduação'!C76</f>
        <v/>
      </c>
      <c r="E55" s="28" t="str">
        <f>'Horário - Graduação'!D76</f>
        <v>FÍSICO-QUÍMICA II (Luiz Fernando) (1/13)</v>
      </c>
      <c r="F55" s="28" t="str">
        <f>'Horário - Graduação'!E76</f>
        <v>OPERAÇÕES UNITÁRIAS I (Higor) (Lab. Fenôm. de Transportes)</v>
      </c>
      <c r="G55" s="28" t="str">
        <f>'Horário - Graduação'!F76</f>
        <v>UCE III (Márcia Antunes) (Sl. Oficina)</v>
      </c>
      <c r="H55" s="28" t="str">
        <f>'Horário - Graduação'!G76</f>
        <v/>
      </c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</row>
    <row r="56" ht="15.75" customHeight="1">
      <c r="A56" s="36"/>
      <c r="B56" s="24" t="s">
        <v>154</v>
      </c>
      <c r="C56" s="131"/>
      <c r="D56" s="28" t="str">
        <f>'Horário - Graduação'!C77</f>
        <v/>
      </c>
      <c r="E56" s="28" t="str">
        <f>'Horário - Graduação'!D77</f>
        <v>FÍSICO-QUÍMICA II (Luiz Fernando) (1/13)</v>
      </c>
      <c r="F56" s="28" t="str">
        <f>'Horário - Graduação'!E77</f>
        <v>OPERAÇÕES UNITÁRIAS I (Higor) (Lab. Fenôm. de Transportes)</v>
      </c>
      <c r="G56" s="28" t="str">
        <f>'Horário - Graduação'!F77</f>
        <v>UCE III (Márcia Antunes) (Sl. Oficina)</v>
      </c>
      <c r="H56" s="28" t="str">
        <f>'Horário - Graduação'!G77</f>
        <v/>
      </c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</row>
    <row r="57" ht="15.75" customHeight="1">
      <c r="A57" s="66"/>
      <c r="B57" s="24" t="s">
        <v>155</v>
      </c>
      <c r="C57" s="131"/>
      <c r="D57" s="52" t="str">
        <f>'Horário - Graduação'!C78</f>
        <v/>
      </c>
      <c r="E57" s="52" t="str">
        <f>'Horário - Graduação'!D78</f>
        <v/>
      </c>
      <c r="F57" s="52" t="str">
        <f>'Horário - Graduação'!E78</f>
        <v/>
      </c>
      <c r="G57" s="52" t="str">
        <f>'Horário - Graduação'!F78</f>
        <v/>
      </c>
      <c r="H57" s="52" t="str">
        <f>'Horário - Graduação'!G78</f>
        <v/>
      </c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</row>
    <row r="58" ht="15.75" customHeight="1">
      <c r="A58" s="99" t="s">
        <v>20</v>
      </c>
      <c r="B58" s="140" t="s">
        <v>23</v>
      </c>
      <c r="C58" s="131"/>
      <c r="D58" s="99" t="s">
        <v>768</v>
      </c>
      <c r="E58" s="99" t="s">
        <v>769</v>
      </c>
      <c r="F58" s="99" t="s">
        <v>29</v>
      </c>
      <c r="G58" s="99" t="s">
        <v>32</v>
      </c>
      <c r="H58" s="99" t="s">
        <v>33</v>
      </c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</row>
    <row r="59" ht="15.75" customHeight="1">
      <c r="A59" s="134" t="s">
        <v>14</v>
      </c>
      <c r="B59" s="24" t="s">
        <v>79</v>
      </c>
      <c r="C59" s="131"/>
      <c r="D59" s="28" t="str">
        <f>'Horário - Graduação'!C87</f>
        <v>QUÍMICA ORGÂNICA (Elza) (Lab. Química I) </v>
      </c>
      <c r="E59" s="28" t="str">
        <f>'Horário - Graduação'!D87</f>
        <v/>
      </c>
      <c r="F59" s="28" t="str">
        <f>'Horário - Graduação'!E87</f>
        <v>TECNOLOGIA DE VEGETAIS (Andreia) (Setor de Vegetais)</v>
      </c>
      <c r="G59" s="28" t="str">
        <f>'Horário - Graduação'!F87</f>
        <v/>
      </c>
      <c r="H59" s="28" t="str">
        <f>'Horário - Graduação'!G87</f>
        <v/>
      </c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</row>
    <row r="60" ht="15.75" customHeight="1">
      <c r="A60" s="36"/>
      <c r="B60" s="24" t="s">
        <v>109</v>
      </c>
      <c r="C60" s="131"/>
      <c r="D60" s="28" t="str">
        <f>'Horário - Graduação'!C88</f>
        <v>QUÍMICA ORGÂNICA (Elza) (Lab. Química I) </v>
      </c>
      <c r="E60" s="28" t="str">
        <f>'Horário - Graduação'!D88</f>
        <v/>
      </c>
      <c r="F60" s="28" t="str">
        <f>'Horário - Graduação'!E88</f>
        <v>TECNOLOGIA DE VEGETAIS (Andreia) (Setor de Vegetais)</v>
      </c>
      <c r="G60" s="28" t="str">
        <f>'Horário - Graduação'!F88</f>
        <v/>
      </c>
      <c r="H60" s="28" t="str">
        <f>'Horário - Graduação'!G88</f>
        <v/>
      </c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</row>
    <row r="61" ht="15.75" customHeight="1">
      <c r="A61" s="36"/>
      <c r="B61" s="40" t="s">
        <v>111</v>
      </c>
      <c r="C61" s="131"/>
      <c r="D61" s="40"/>
      <c r="E61" s="40"/>
      <c r="F61" s="40"/>
      <c r="G61" s="40"/>
      <c r="H61" s="40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</row>
    <row r="62" ht="15.75" customHeight="1">
      <c r="A62" s="36"/>
      <c r="B62" s="24" t="s">
        <v>113</v>
      </c>
      <c r="C62" s="131"/>
      <c r="D62" s="28" t="str">
        <f>'Horário - Graduação'!C90</f>
        <v/>
      </c>
      <c r="E62" s="28" t="str">
        <f>'Horário - Graduação'!D90</f>
        <v>CIÊNCIA E MECÂNICA DOS MATERIAIS (Higor) (1/16)</v>
      </c>
      <c r="F62" s="28" t="str">
        <f>'Horário - Graduação'!E90</f>
        <v>TECNOLOGIA DE VEGETAIS (Andreia) (Setor de Vegetais)</v>
      </c>
      <c r="G62" s="28" t="str">
        <f>'Horário - Graduação'!F90</f>
        <v/>
      </c>
      <c r="H62" s="28" t="str">
        <f>'Horário - Graduação'!G90</f>
        <v/>
      </c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</row>
    <row r="63" ht="15.75" customHeight="1">
      <c r="A63" s="36"/>
      <c r="B63" s="24" t="s">
        <v>120</v>
      </c>
      <c r="C63" s="131"/>
      <c r="D63" s="28" t="str">
        <f>'Horário - Graduação'!C91</f>
        <v/>
      </c>
      <c r="E63" s="28" t="str">
        <f>'Horário - Graduação'!D91</f>
        <v>CIÊNCIA E MECÂNICA DOS MATERIAIS (Higor) (1/16)</v>
      </c>
      <c r="F63" s="28" t="str">
        <f>'Horário - Graduação'!E91</f>
        <v>TECNOLOGIA DE VEGETAIS (Andreia) (Setor de Vegetais)</v>
      </c>
      <c r="G63" s="28" t="str">
        <f>'Horário - Graduação'!F91</f>
        <v>TCC I (Bruna Porto)  (Sl. Oficina)</v>
      </c>
      <c r="H63" s="28" t="str">
        <f>'Horário - Graduação'!G91</f>
        <v/>
      </c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</row>
    <row r="64" ht="15.75" customHeight="1">
      <c r="A64" s="36"/>
      <c r="B64" s="24" t="s">
        <v>121</v>
      </c>
      <c r="C64" s="131"/>
      <c r="D64" s="28" t="str">
        <f>'Horário - Graduação'!C92</f>
        <v/>
      </c>
      <c r="E64" s="28" t="str">
        <f>'Horário - Graduação'!D92</f>
        <v/>
      </c>
      <c r="F64" s="28" t="str">
        <f>'Horário - Graduação'!E92</f>
        <v/>
      </c>
      <c r="G64" s="28" t="str">
        <f>'Horário - Graduação'!F92</f>
        <v>TCC I (Bruna Porto)  (Sl. Oficina)</v>
      </c>
      <c r="H64" s="28" t="str">
        <f>'Horário - Graduação'!G92</f>
        <v/>
      </c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</row>
    <row r="65" ht="15.75" customHeight="1">
      <c r="A65" s="36"/>
      <c r="B65" s="40" t="s">
        <v>124</v>
      </c>
      <c r="C65" s="131"/>
      <c r="D65" s="40"/>
      <c r="E65" s="40"/>
      <c r="F65" s="40"/>
      <c r="G65" s="40"/>
      <c r="H65" s="40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</row>
    <row r="66" ht="15.75" customHeight="1">
      <c r="A66" s="36"/>
      <c r="B66" s="24" t="s">
        <v>126</v>
      </c>
      <c r="C66" s="131"/>
      <c r="D66" s="28" t="str">
        <f>'Horário - Graduação'!C94</f>
        <v/>
      </c>
      <c r="E66" s="28" t="str">
        <f>'Horário - Graduação'!D94</f>
        <v>FÍSICO-QUÍMICA II (Luiz Fernando) (1/17)</v>
      </c>
      <c r="F66" s="28" t="str">
        <f>'Horário - Graduação'!E94</f>
        <v>Laboratório de Fenômenos de Transporte (Higor) (Lab. Fenôm. de Transportes)</v>
      </c>
      <c r="G66" s="28" t="str">
        <f>'Horário - Graduação'!F94</f>
        <v>Embalagens (Edilson)  (Sl. Oficina)</v>
      </c>
      <c r="H66" s="28" t="str">
        <f>'Horário - Graduação'!G94</f>
        <v/>
      </c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</row>
    <row r="67" ht="15.75" customHeight="1">
      <c r="A67" s="36"/>
      <c r="B67" s="24" t="s">
        <v>138</v>
      </c>
      <c r="C67" s="131"/>
      <c r="D67" s="28" t="str">
        <f>'Horário - Graduação'!C95</f>
        <v/>
      </c>
      <c r="E67" s="28" t="str">
        <f>'Horário - Graduação'!D95</f>
        <v>FÍSICO-QUÍMICA II (Luiz Fernando) (1/17)</v>
      </c>
      <c r="F67" s="28" t="str">
        <f>'Horário - Graduação'!E95</f>
        <v>Laboratório de Fenômenos de Transporte (Higor) (Lab. Fenôm. de Transportes)</v>
      </c>
      <c r="G67" s="28" t="str">
        <f>'Horário - Graduação'!F95</f>
        <v>Embalagens (Edilson)  (Sl. Oficina)</v>
      </c>
      <c r="H67" s="28" t="str">
        <f>'Horário - Graduação'!G95</f>
        <v/>
      </c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</row>
    <row r="68" ht="15.75" customHeight="1">
      <c r="A68" s="36"/>
      <c r="B68" s="40" t="s">
        <v>111</v>
      </c>
      <c r="C68" s="131"/>
      <c r="D68" s="40"/>
      <c r="E68" s="40"/>
      <c r="F68" s="40"/>
      <c r="G68" s="40"/>
      <c r="H68" s="40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</row>
    <row r="69" ht="15.75" customHeight="1">
      <c r="A69" s="36"/>
      <c r="B69" s="24" t="s">
        <v>141</v>
      </c>
      <c r="C69" s="131"/>
      <c r="D69" s="28" t="str">
        <f>'Horário - Graduação'!C97</f>
        <v/>
      </c>
      <c r="E69" s="28" t="str">
        <f>'Horário - Graduação'!D97</f>
        <v>MICROBIOLOGIA (Vanessa Santana) (1/17)</v>
      </c>
      <c r="F69" s="28" t="str">
        <f>'Horário - Graduação'!E97</f>
        <v>Laboratório de Fenômenos de Transporte (Higor) (Lab. Fenôm. de Transportes)</v>
      </c>
      <c r="G69" s="28" t="str">
        <f>'Horário - Graduação'!F97</f>
        <v>Embalagens (Edilson)  (Sl. Oficina)</v>
      </c>
      <c r="H69" s="28" t="str">
        <f>'Horário - Graduação'!G97</f>
        <v/>
      </c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</row>
    <row r="70" ht="15.75" customHeight="1">
      <c r="A70" s="36"/>
      <c r="B70" s="24" t="s">
        <v>154</v>
      </c>
      <c r="C70" s="131"/>
      <c r="D70" s="28" t="str">
        <f>'Horário - Graduação'!C98</f>
        <v/>
      </c>
      <c r="E70" s="28" t="str">
        <f>'Horário - Graduação'!D98</f>
        <v>MICROBIOLOGIA (Vanessa Santana) (1/17)</v>
      </c>
      <c r="F70" s="28" t="str">
        <f>'Horário - Graduação'!E98</f>
        <v>Laboratório de Fenômenos de Transporte (Higor) (Lab. Fenôm. de Transportes)</v>
      </c>
      <c r="G70" s="28" t="str">
        <f>'Horário - Graduação'!F98</f>
        <v>Embalagens (Edilson)  (Sl. Oficina)</v>
      </c>
      <c r="H70" s="28" t="str">
        <f>'Horário - Graduação'!G98</f>
        <v/>
      </c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</row>
    <row r="71" ht="15.75" customHeight="1">
      <c r="A71" s="66"/>
      <c r="B71" s="24" t="s">
        <v>155</v>
      </c>
      <c r="C71" s="131"/>
      <c r="D71" s="52" t="str">
        <f>'Horário - Graduação'!C99</f>
        <v/>
      </c>
      <c r="E71" s="52" t="str">
        <f>'Horário - Graduação'!D99</f>
        <v/>
      </c>
      <c r="F71" s="52" t="str">
        <f>'Horário - Graduação'!E99</f>
        <v/>
      </c>
      <c r="G71" s="52" t="str">
        <f>'Horário - Graduação'!F99</f>
        <v/>
      </c>
      <c r="H71" s="52" t="str">
        <f>'Horário - Graduação'!G99</f>
        <v/>
      </c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</row>
    <row r="72" ht="15.75" customHeight="1">
      <c r="A72" s="142" t="s">
        <v>20</v>
      </c>
      <c r="B72" s="140" t="s">
        <v>23</v>
      </c>
      <c r="C72" s="131"/>
      <c r="D72" s="99" t="s">
        <v>768</v>
      </c>
      <c r="E72" s="99" t="s">
        <v>769</v>
      </c>
      <c r="F72" s="99" t="s">
        <v>29</v>
      </c>
      <c r="G72" s="99" t="s">
        <v>32</v>
      </c>
      <c r="H72" s="99" t="s">
        <v>33</v>
      </c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</row>
    <row r="273" ht="15.75" customHeight="1">
      <c r="A273" s="32"/>
      <c r="C273" s="32"/>
      <c r="D273" s="32"/>
      <c r="E273" s="32"/>
      <c r="F273" s="32"/>
      <c r="G273" s="32"/>
      <c r="H273" s="32"/>
      <c r="K273" s="32"/>
    </row>
    <row r="274" ht="15.75" customHeight="1">
      <c r="A274" s="32"/>
      <c r="C274" s="32"/>
      <c r="D274" s="32"/>
      <c r="E274" s="32"/>
      <c r="F274" s="32"/>
      <c r="G274" s="32"/>
      <c r="H274" s="32"/>
      <c r="K274" s="32"/>
    </row>
    <row r="275" ht="15.75" customHeight="1">
      <c r="A275" s="32"/>
      <c r="C275" s="32"/>
      <c r="D275" s="32"/>
      <c r="E275" s="32"/>
      <c r="F275" s="32"/>
      <c r="G275" s="32"/>
      <c r="H275" s="32"/>
      <c r="K275" s="32"/>
    </row>
    <row r="276" ht="15.75" customHeight="1">
      <c r="A276" s="32"/>
      <c r="C276" s="32"/>
      <c r="D276" s="32"/>
      <c r="E276" s="32"/>
      <c r="F276" s="32"/>
      <c r="G276" s="32"/>
      <c r="H276" s="32"/>
      <c r="K276" s="32"/>
    </row>
    <row r="277" ht="15.75" customHeight="1">
      <c r="A277" s="32"/>
      <c r="C277" s="32"/>
      <c r="D277" s="32"/>
      <c r="E277" s="32"/>
      <c r="F277" s="32"/>
      <c r="G277" s="32"/>
      <c r="H277" s="32"/>
      <c r="K277" s="32"/>
    </row>
    <row r="278" ht="15.75" customHeight="1">
      <c r="A278" s="32"/>
      <c r="C278" s="32"/>
      <c r="D278" s="32"/>
      <c r="E278" s="32"/>
      <c r="F278" s="32"/>
      <c r="G278" s="32"/>
      <c r="H278" s="32"/>
      <c r="K278" s="32"/>
    </row>
    <row r="279" ht="15.75" customHeight="1">
      <c r="A279" s="32"/>
      <c r="C279" s="32"/>
      <c r="D279" s="32"/>
      <c r="E279" s="32"/>
      <c r="F279" s="32"/>
      <c r="G279" s="32"/>
      <c r="H279" s="32"/>
      <c r="K279" s="32"/>
    </row>
    <row r="280" ht="15.75" customHeight="1">
      <c r="A280" s="32"/>
      <c r="C280" s="32"/>
      <c r="D280" s="32"/>
      <c r="E280" s="32"/>
      <c r="F280" s="32"/>
      <c r="G280" s="32"/>
      <c r="H280" s="32"/>
      <c r="K280" s="32"/>
    </row>
    <row r="281" ht="15.75" customHeight="1">
      <c r="A281" s="32"/>
      <c r="C281" s="32"/>
      <c r="D281" s="32"/>
      <c r="E281" s="32"/>
      <c r="F281" s="32"/>
      <c r="G281" s="32"/>
      <c r="H281" s="32"/>
      <c r="K281" s="32"/>
    </row>
    <row r="282" ht="15.75" customHeight="1">
      <c r="A282" s="32"/>
      <c r="C282" s="32"/>
      <c r="D282" s="32"/>
      <c r="E282" s="32"/>
      <c r="F282" s="32"/>
      <c r="G282" s="32"/>
      <c r="H282" s="32"/>
      <c r="K282" s="32"/>
    </row>
    <row r="283" ht="15.75" customHeight="1">
      <c r="A283" s="32"/>
      <c r="C283" s="32"/>
      <c r="D283" s="32"/>
      <c r="E283" s="32"/>
      <c r="F283" s="32"/>
      <c r="G283" s="32"/>
      <c r="H283" s="32"/>
      <c r="K283" s="32"/>
    </row>
    <row r="284" ht="15.75" customHeight="1">
      <c r="A284" s="32"/>
      <c r="C284" s="32"/>
      <c r="D284" s="32"/>
      <c r="E284" s="32"/>
      <c r="F284" s="32"/>
      <c r="G284" s="32"/>
      <c r="H284" s="32"/>
      <c r="K284" s="32"/>
    </row>
    <row r="285" ht="15.75" customHeight="1">
      <c r="A285" s="32"/>
      <c r="C285" s="32"/>
      <c r="D285" s="32"/>
      <c r="E285" s="32"/>
      <c r="F285" s="32"/>
      <c r="G285" s="32"/>
      <c r="H285" s="32"/>
      <c r="K285" s="32"/>
    </row>
    <row r="286" ht="15.75" customHeight="1">
      <c r="A286" s="32"/>
      <c r="C286" s="32"/>
      <c r="D286" s="32"/>
      <c r="E286" s="32"/>
      <c r="F286" s="32"/>
      <c r="G286" s="32"/>
      <c r="H286" s="32"/>
      <c r="K286" s="32"/>
    </row>
    <row r="287" ht="15.75" customHeight="1">
      <c r="A287" s="32"/>
      <c r="C287" s="32"/>
      <c r="D287" s="32"/>
      <c r="E287" s="32"/>
      <c r="F287" s="32"/>
      <c r="G287" s="32"/>
      <c r="H287" s="32"/>
      <c r="K287" s="32"/>
    </row>
    <row r="288" ht="15.75" customHeight="1">
      <c r="A288" s="32"/>
      <c r="C288" s="32"/>
      <c r="D288" s="32"/>
      <c r="E288" s="32"/>
      <c r="F288" s="32"/>
      <c r="G288" s="32"/>
      <c r="H288" s="32"/>
      <c r="K288" s="32"/>
    </row>
    <row r="289" ht="15.75" customHeight="1">
      <c r="A289" s="32"/>
      <c r="C289" s="32"/>
      <c r="D289" s="32"/>
      <c r="E289" s="32"/>
      <c r="F289" s="32"/>
      <c r="G289" s="32"/>
      <c r="H289" s="32"/>
      <c r="K289" s="32"/>
    </row>
    <row r="290" ht="15.75" customHeight="1">
      <c r="A290" s="32"/>
      <c r="C290" s="32"/>
      <c r="D290" s="32"/>
      <c r="E290" s="32"/>
      <c r="F290" s="32"/>
      <c r="G290" s="32"/>
      <c r="H290" s="32"/>
      <c r="K290" s="32"/>
    </row>
    <row r="291" ht="15.75" customHeight="1">
      <c r="A291" s="32"/>
      <c r="C291" s="32"/>
      <c r="D291" s="32"/>
      <c r="E291" s="32"/>
      <c r="F291" s="32"/>
      <c r="G291" s="32"/>
      <c r="H291" s="32"/>
      <c r="K291" s="32"/>
    </row>
    <row r="292" ht="15.75" customHeight="1">
      <c r="A292" s="32"/>
      <c r="C292" s="32"/>
      <c r="D292" s="32"/>
      <c r="E292" s="32"/>
      <c r="F292" s="32"/>
      <c r="G292" s="32"/>
      <c r="H292" s="32"/>
      <c r="K292" s="32"/>
    </row>
    <row r="293" ht="15.75" customHeight="1">
      <c r="A293" s="32"/>
      <c r="C293" s="32"/>
      <c r="D293" s="32"/>
      <c r="E293" s="32"/>
      <c r="F293" s="32"/>
      <c r="G293" s="32"/>
      <c r="H293" s="32"/>
      <c r="K293" s="32"/>
    </row>
    <row r="294" ht="15.75" customHeight="1">
      <c r="A294" s="32"/>
      <c r="C294" s="32"/>
      <c r="D294" s="32"/>
      <c r="E294" s="32"/>
      <c r="F294" s="32"/>
      <c r="G294" s="32"/>
      <c r="H294" s="32"/>
      <c r="K294" s="32"/>
    </row>
    <row r="295" ht="15.75" customHeight="1">
      <c r="A295" s="32"/>
      <c r="C295" s="32"/>
      <c r="D295" s="32"/>
      <c r="E295" s="32"/>
      <c r="F295" s="32"/>
      <c r="G295" s="32"/>
      <c r="H295" s="32"/>
      <c r="K295" s="32"/>
    </row>
    <row r="296" ht="15.75" customHeight="1">
      <c r="A296" s="32"/>
      <c r="C296" s="32"/>
      <c r="D296" s="32"/>
      <c r="E296" s="32"/>
      <c r="F296" s="32"/>
      <c r="G296" s="32"/>
      <c r="H296" s="32"/>
      <c r="K296" s="32"/>
    </row>
    <row r="297" ht="15.75" customHeight="1">
      <c r="A297" s="32"/>
      <c r="C297" s="32"/>
      <c r="D297" s="32"/>
      <c r="E297" s="32"/>
      <c r="F297" s="32"/>
      <c r="G297" s="32"/>
      <c r="H297" s="32"/>
      <c r="K297" s="32"/>
    </row>
    <row r="298" ht="15.75" customHeight="1">
      <c r="A298" s="32"/>
      <c r="C298" s="32"/>
      <c r="D298" s="32"/>
      <c r="E298" s="32"/>
      <c r="F298" s="32"/>
      <c r="G298" s="32"/>
      <c r="H298" s="32"/>
      <c r="K298" s="32"/>
    </row>
    <row r="299" ht="15.75" customHeight="1">
      <c r="A299" s="32"/>
      <c r="C299" s="32"/>
      <c r="D299" s="32"/>
      <c r="E299" s="32"/>
      <c r="F299" s="32"/>
      <c r="G299" s="32"/>
      <c r="H299" s="32"/>
      <c r="K299" s="32"/>
    </row>
    <row r="300" ht="15.75" customHeight="1">
      <c r="A300" s="32"/>
      <c r="C300" s="32"/>
      <c r="D300" s="32"/>
      <c r="E300" s="32"/>
      <c r="F300" s="32"/>
      <c r="G300" s="32"/>
      <c r="H300" s="32"/>
      <c r="K300" s="32"/>
    </row>
    <row r="301" ht="15.75" customHeight="1">
      <c r="A301" s="32"/>
      <c r="C301" s="32"/>
      <c r="D301" s="32"/>
      <c r="E301" s="32"/>
      <c r="F301" s="32"/>
      <c r="G301" s="32"/>
      <c r="H301" s="32"/>
      <c r="K301" s="32"/>
    </row>
    <row r="302" ht="15.75" customHeight="1">
      <c r="A302" s="32"/>
      <c r="C302" s="32"/>
      <c r="D302" s="32"/>
      <c r="E302" s="32"/>
      <c r="F302" s="32"/>
      <c r="G302" s="32"/>
      <c r="H302" s="32"/>
      <c r="K302" s="32"/>
    </row>
    <row r="303" ht="15.75" customHeight="1">
      <c r="A303" s="32"/>
      <c r="C303" s="32"/>
      <c r="D303" s="32"/>
      <c r="E303" s="32"/>
      <c r="F303" s="32"/>
      <c r="G303" s="32"/>
      <c r="H303" s="32"/>
      <c r="K303" s="32"/>
    </row>
    <row r="304" ht="15.75" customHeight="1">
      <c r="A304" s="32"/>
      <c r="C304" s="32"/>
      <c r="D304" s="32"/>
      <c r="E304" s="32"/>
      <c r="F304" s="32"/>
      <c r="G304" s="32"/>
      <c r="H304" s="32"/>
      <c r="K304" s="32"/>
    </row>
    <row r="305" ht="15.75" customHeight="1">
      <c r="A305" s="32"/>
      <c r="C305" s="32"/>
      <c r="D305" s="32"/>
      <c r="E305" s="32"/>
      <c r="F305" s="32"/>
      <c r="G305" s="32"/>
      <c r="H305" s="32"/>
      <c r="K305" s="32"/>
    </row>
    <row r="306" ht="15.75" customHeight="1">
      <c r="A306" s="32"/>
      <c r="C306" s="32"/>
      <c r="D306" s="32"/>
      <c r="E306" s="32"/>
      <c r="F306" s="32"/>
      <c r="G306" s="32"/>
      <c r="H306" s="32"/>
      <c r="K306" s="32"/>
    </row>
    <row r="307" ht="15.75" customHeight="1">
      <c r="A307" s="32"/>
      <c r="C307" s="32"/>
      <c r="D307" s="32"/>
      <c r="E307" s="32"/>
      <c r="F307" s="32"/>
      <c r="G307" s="32"/>
      <c r="H307" s="32"/>
      <c r="K307" s="32"/>
    </row>
    <row r="308" ht="15.75" customHeight="1">
      <c r="A308" s="32"/>
      <c r="C308" s="32"/>
      <c r="D308" s="32"/>
      <c r="E308" s="32"/>
      <c r="F308" s="32"/>
      <c r="G308" s="32"/>
      <c r="H308" s="32"/>
      <c r="K308" s="32"/>
    </row>
    <row r="309" ht="15.75" customHeight="1">
      <c r="A309" s="32"/>
      <c r="C309" s="32"/>
      <c r="D309" s="32"/>
      <c r="E309" s="32"/>
      <c r="F309" s="32"/>
      <c r="G309" s="32"/>
      <c r="H309" s="32"/>
      <c r="K309" s="32"/>
    </row>
    <row r="310" ht="15.75" customHeight="1">
      <c r="A310" s="32"/>
      <c r="C310" s="32"/>
      <c r="D310" s="32"/>
      <c r="E310" s="32"/>
      <c r="F310" s="32"/>
      <c r="G310" s="32"/>
      <c r="H310" s="32"/>
      <c r="K310" s="32"/>
    </row>
    <row r="311" ht="15.75" customHeight="1">
      <c r="A311" s="32"/>
      <c r="C311" s="32"/>
      <c r="D311" s="32"/>
      <c r="E311" s="32"/>
      <c r="F311" s="32"/>
      <c r="G311" s="32"/>
      <c r="H311" s="32"/>
      <c r="K311" s="32"/>
    </row>
    <row r="312" ht="15.75" customHeight="1">
      <c r="A312" s="32"/>
      <c r="C312" s="32"/>
      <c r="D312" s="32"/>
      <c r="E312" s="32"/>
      <c r="F312" s="32"/>
      <c r="G312" s="32"/>
      <c r="H312" s="32"/>
      <c r="K312" s="32"/>
    </row>
    <row r="313" ht="15.75" customHeight="1">
      <c r="A313" s="32"/>
      <c r="C313" s="32"/>
      <c r="D313" s="32"/>
      <c r="E313" s="32"/>
      <c r="F313" s="32"/>
      <c r="G313" s="32"/>
      <c r="H313" s="32"/>
      <c r="K313" s="32"/>
    </row>
    <row r="314" ht="15.75" customHeight="1">
      <c r="A314" s="32"/>
      <c r="C314" s="32"/>
      <c r="D314" s="32"/>
      <c r="E314" s="32"/>
      <c r="F314" s="32"/>
      <c r="G314" s="32"/>
      <c r="H314" s="32"/>
      <c r="K314" s="32"/>
    </row>
    <row r="315" ht="15.75" customHeight="1">
      <c r="A315" s="32"/>
      <c r="C315" s="32"/>
      <c r="D315" s="32"/>
      <c r="E315" s="32"/>
      <c r="F315" s="32"/>
      <c r="G315" s="32"/>
      <c r="H315" s="32"/>
      <c r="K315" s="32"/>
    </row>
    <row r="316" ht="15.75" customHeight="1">
      <c r="A316" s="32"/>
      <c r="C316" s="32"/>
      <c r="D316" s="32"/>
      <c r="E316" s="32"/>
      <c r="F316" s="32"/>
      <c r="G316" s="32"/>
      <c r="H316" s="32"/>
      <c r="K316" s="32"/>
    </row>
    <row r="317" ht="15.75" customHeight="1">
      <c r="A317" s="32"/>
      <c r="C317" s="32"/>
      <c r="D317" s="32"/>
      <c r="E317" s="32"/>
      <c r="F317" s="32"/>
      <c r="G317" s="32"/>
      <c r="H317" s="32"/>
      <c r="K317" s="32"/>
    </row>
    <row r="318" ht="15.75" customHeight="1">
      <c r="A318" s="32"/>
      <c r="C318" s="32"/>
      <c r="D318" s="32"/>
      <c r="E318" s="32"/>
      <c r="F318" s="32"/>
      <c r="G318" s="32"/>
      <c r="H318" s="32"/>
      <c r="K318" s="32"/>
    </row>
    <row r="319" ht="15.75" customHeight="1">
      <c r="A319" s="32"/>
      <c r="C319" s="32"/>
      <c r="D319" s="32"/>
      <c r="E319" s="32"/>
      <c r="F319" s="32"/>
      <c r="G319" s="32"/>
      <c r="H319" s="32"/>
      <c r="K319" s="32"/>
    </row>
    <row r="320" ht="15.75" customHeight="1">
      <c r="A320" s="32"/>
      <c r="C320" s="32"/>
      <c r="D320" s="32"/>
      <c r="E320" s="32"/>
      <c r="F320" s="32"/>
      <c r="G320" s="32"/>
      <c r="H320" s="32"/>
      <c r="K320" s="32"/>
    </row>
    <row r="321" ht="15.75" customHeight="1">
      <c r="A321" s="32"/>
      <c r="C321" s="32"/>
      <c r="D321" s="32"/>
      <c r="E321" s="32"/>
      <c r="F321" s="32"/>
      <c r="G321" s="32"/>
      <c r="H321" s="32"/>
      <c r="K321" s="32"/>
    </row>
    <row r="322" ht="15.75" customHeight="1">
      <c r="A322" s="32"/>
      <c r="C322" s="32"/>
      <c r="D322" s="32"/>
      <c r="E322" s="32"/>
      <c r="F322" s="32"/>
      <c r="G322" s="32"/>
      <c r="H322" s="32"/>
      <c r="K322" s="32"/>
    </row>
    <row r="323" ht="15.75" customHeight="1">
      <c r="A323" s="32"/>
      <c r="C323" s="32"/>
      <c r="D323" s="32"/>
      <c r="E323" s="32"/>
      <c r="F323" s="32"/>
      <c r="G323" s="32"/>
      <c r="H323" s="32"/>
      <c r="K323" s="32"/>
    </row>
    <row r="324" ht="15.75" customHeight="1">
      <c r="A324" s="32"/>
      <c r="C324" s="32"/>
      <c r="D324" s="32"/>
      <c r="E324" s="32"/>
      <c r="F324" s="32"/>
      <c r="G324" s="32"/>
      <c r="H324" s="32"/>
      <c r="K324" s="32"/>
    </row>
    <row r="325" ht="15.75" customHeight="1">
      <c r="A325" s="32"/>
      <c r="C325" s="32"/>
      <c r="D325" s="32"/>
      <c r="E325" s="32"/>
      <c r="F325" s="32"/>
      <c r="G325" s="32"/>
      <c r="H325" s="32"/>
      <c r="K325" s="32"/>
    </row>
    <row r="326" ht="15.75" customHeight="1">
      <c r="A326" s="32"/>
      <c r="C326" s="32"/>
      <c r="D326" s="32"/>
      <c r="E326" s="32"/>
      <c r="F326" s="32"/>
      <c r="G326" s="32"/>
      <c r="H326" s="32"/>
      <c r="K326" s="32"/>
    </row>
    <row r="327" ht="15.75" customHeight="1">
      <c r="A327" s="32"/>
      <c r="C327" s="32"/>
      <c r="D327" s="32"/>
      <c r="E327" s="32"/>
      <c r="F327" s="32"/>
      <c r="G327" s="32"/>
      <c r="H327" s="32"/>
      <c r="K327" s="32"/>
    </row>
    <row r="328" ht="15.75" customHeight="1">
      <c r="A328" s="32"/>
      <c r="C328" s="32"/>
      <c r="D328" s="32"/>
      <c r="E328" s="32"/>
      <c r="F328" s="32"/>
      <c r="G328" s="32"/>
      <c r="H328" s="32"/>
      <c r="K328" s="32"/>
    </row>
    <row r="329" ht="15.75" customHeight="1">
      <c r="A329" s="32"/>
      <c r="C329" s="32"/>
      <c r="D329" s="32"/>
      <c r="E329" s="32"/>
      <c r="F329" s="32"/>
      <c r="G329" s="32"/>
      <c r="H329" s="32"/>
      <c r="K329" s="32"/>
    </row>
    <row r="330" ht="15.75" customHeight="1">
      <c r="A330" s="32"/>
      <c r="C330" s="32"/>
      <c r="D330" s="32"/>
      <c r="E330" s="32"/>
      <c r="F330" s="32"/>
      <c r="G330" s="32"/>
      <c r="H330" s="32"/>
      <c r="K330" s="32"/>
    </row>
    <row r="331" ht="15.75" customHeight="1">
      <c r="A331" s="32"/>
      <c r="C331" s="32"/>
      <c r="D331" s="32"/>
      <c r="E331" s="32"/>
      <c r="F331" s="32"/>
      <c r="G331" s="32"/>
      <c r="H331" s="32"/>
      <c r="K331" s="32"/>
    </row>
    <row r="332" ht="15.75" customHeight="1">
      <c r="A332" s="32"/>
      <c r="C332" s="32"/>
      <c r="D332" s="32"/>
      <c r="E332" s="32"/>
      <c r="F332" s="32"/>
      <c r="G332" s="32"/>
      <c r="H332" s="32"/>
      <c r="K332" s="32"/>
    </row>
    <row r="333" ht="15.75" customHeight="1">
      <c r="A333" s="32"/>
      <c r="C333" s="32"/>
      <c r="D333" s="32"/>
      <c r="E333" s="32"/>
      <c r="F333" s="32"/>
      <c r="G333" s="32"/>
      <c r="H333" s="32"/>
      <c r="K333" s="32"/>
    </row>
    <row r="334" ht="15.75" customHeight="1">
      <c r="A334" s="32"/>
      <c r="C334" s="32"/>
      <c r="D334" s="32"/>
      <c r="E334" s="32"/>
      <c r="F334" s="32"/>
      <c r="G334" s="32"/>
      <c r="H334" s="32"/>
      <c r="K334" s="32"/>
    </row>
    <row r="335" ht="15.75" customHeight="1">
      <c r="A335" s="32"/>
      <c r="C335" s="32"/>
      <c r="D335" s="32"/>
      <c r="E335" s="32"/>
      <c r="F335" s="32"/>
      <c r="G335" s="32"/>
      <c r="H335" s="32"/>
      <c r="K335" s="32"/>
    </row>
    <row r="336" ht="15.75" customHeight="1">
      <c r="A336" s="32"/>
      <c r="C336" s="32"/>
      <c r="D336" s="32"/>
      <c r="E336" s="32"/>
      <c r="F336" s="32"/>
      <c r="G336" s="32"/>
      <c r="H336" s="32"/>
      <c r="K336" s="32"/>
    </row>
    <row r="337" ht="15.75" customHeight="1">
      <c r="A337" s="32"/>
      <c r="C337" s="32"/>
      <c r="D337" s="32"/>
      <c r="E337" s="32"/>
      <c r="F337" s="32"/>
      <c r="G337" s="32"/>
      <c r="H337" s="32"/>
      <c r="K337" s="32"/>
    </row>
    <row r="338" ht="15.75" customHeight="1">
      <c r="A338" s="32"/>
      <c r="C338" s="32"/>
      <c r="D338" s="32"/>
      <c r="E338" s="32"/>
      <c r="F338" s="32"/>
      <c r="G338" s="32"/>
      <c r="H338" s="32"/>
      <c r="K338" s="32"/>
    </row>
    <row r="339" ht="15.75" customHeight="1">
      <c r="A339" s="32"/>
      <c r="C339" s="32"/>
      <c r="D339" s="32"/>
      <c r="E339" s="32"/>
      <c r="F339" s="32"/>
      <c r="G339" s="32"/>
      <c r="H339" s="32"/>
      <c r="K339" s="32"/>
    </row>
    <row r="340" ht="15.75" customHeight="1">
      <c r="A340" s="32"/>
      <c r="C340" s="32"/>
      <c r="D340" s="32"/>
      <c r="E340" s="32"/>
      <c r="F340" s="32"/>
      <c r="G340" s="32"/>
      <c r="H340" s="32"/>
      <c r="K340" s="32"/>
    </row>
    <row r="341" ht="15.75" customHeight="1">
      <c r="A341" s="32"/>
      <c r="C341" s="32"/>
      <c r="D341" s="32"/>
      <c r="E341" s="32"/>
      <c r="F341" s="32"/>
      <c r="G341" s="32"/>
      <c r="H341" s="32"/>
      <c r="K341" s="32"/>
    </row>
    <row r="342" ht="15.75" customHeight="1">
      <c r="A342" s="32"/>
      <c r="C342" s="32"/>
      <c r="D342" s="32"/>
      <c r="E342" s="32"/>
      <c r="F342" s="32"/>
      <c r="G342" s="32"/>
      <c r="H342" s="32"/>
      <c r="K342" s="32"/>
    </row>
    <row r="343" ht="15.75" customHeight="1">
      <c r="A343" s="32"/>
      <c r="C343" s="32"/>
      <c r="D343" s="32"/>
      <c r="E343" s="32"/>
      <c r="F343" s="32"/>
      <c r="G343" s="32"/>
      <c r="H343" s="32"/>
      <c r="K343" s="32"/>
    </row>
    <row r="344" ht="15.75" customHeight="1">
      <c r="A344" s="32"/>
      <c r="C344" s="32"/>
      <c r="D344" s="32"/>
      <c r="E344" s="32"/>
      <c r="F344" s="32"/>
      <c r="G344" s="32"/>
      <c r="H344" s="32"/>
      <c r="K344" s="32"/>
    </row>
    <row r="345" ht="15.75" customHeight="1">
      <c r="A345" s="32"/>
      <c r="C345" s="32"/>
      <c r="D345" s="32"/>
      <c r="E345" s="32"/>
      <c r="F345" s="32"/>
      <c r="G345" s="32"/>
      <c r="H345" s="32"/>
      <c r="K345" s="32"/>
    </row>
    <row r="346" ht="15.75" customHeight="1">
      <c r="A346" s="32"/>
      <c r="C346" s="32"/>
      <c r="D346" s="32"/>
      <c r="E346" s="32"/>
      <c r="F346" s="32"/>
      <c r="G346" s="32"/>
      <c r="H346" s="32"/>
      <c r="K346" s="32"/>
    </row>
    <row r="347" ht="15.75" customHeight="1">
      <c r="A347" s="32"/>
      <c r="C347" s="32"/>
      <c r="D347" s="32"/>
      <c r="E347" s="32"/>
      <c r="F347" s="32"/>
      <c r="G347" s="32"/>
      <c r="H347" s="32"/>
      <c r="K347" s="32"/>
    </row>
    <row r="348" ht="15.75" customHeight="1">
      <c r="A348" s="32"/>
      <c r="C348" s="32"/>
      <c r="D348" s="32"/>
      <c r="E348" s="32"/>
      <c r="F348" s="32"/>
      <c r="G348" s="32"/>
      <c r="H348" s="32"/>
      <c r="K348" s="32"/>
    </row>
    <row r="349" ht="15.75" customHeight="1">
      <c r="A349" s="32"/>
      <c r="C349" s="32"/>
      <c r="D349" s="32"/>
      <c r="E349" s="32"/>
      <c r="F349" s="32"/>
      <c r="G349" s="32"/>
      <c r="H349" s="32"/>
      <c r="K349" s="32"/>
    </row>
    <row r="350" ht="15.75" customHeight="1">
      <c r="A350" s="32"/>
      <c r="C350" s="32"/>
      <c r="D350" s="32"/>
      <c r="E350" s="32"/>
      <c r="F350" s="32"/>
      <c r="G350" s="32"/>
      <c r="H350" s="32"/>
      <c r="K350" s="32"/>
    </row>
    <row r="351" ht="15.75" customHeight="1">
      <c r="A351" s="32"/>
      <c r="C351" s="32"/>
      <c r="D351" s="32"/>
      <c r="E351" s="32"/>
      <c r="F351" s="32"/>
      <c r="G351" s="32"/>
      <c r="H351" s="32"/>
      <c r="K351" s="32"/>
    </row>
    <row r="352" ht="15.75" customHeight="1">
      <c r="A352" s="32"/>
      <c r="C352" s="32"/>
      <c r="D352" s="32"/>
      <c r="E352" s="32"/>
      <c r="F352" s="32"/>
      <c r="G352" s="32"/>
      <c r="H352" s="32"/>
      <c r="K352" s="32"/>
    </row>
    <row r="353" ht="15.75" customHeight="1">
      <c r="A353" s="32"/>
      <c r="C353" s="32"/>
      <c r="D353" s="32"/>
      <c r="E353" s="32"/>
      <c r="F353" s="32"/>
      <c r="G353" s="32"/>
      <c r="H353" s="32"/>
      <c r="K353" s="32"/>
    </row>
    <row r="354" ht="15.75" customHeight="1">
      <c r="A354" s="32"/>
      <c r="C354" s="32"/>
      <c r="D354" s="32"/>
      <c r="E354" s="32"/>
      <c r="F354" s="32"/>
      <c r="G354" s="32"/>
      <c r="H354" s="32"/>
      <c r="K354" s="32"/>
    </row>
    <row r="355" ht="15.75" customHeight="1">
      <c r="A355" s="32"/>
      <c r="C355" s="32"/>
      <c r="D355" s="32"/>
      <c r="E355" s="32"/>
      <c r="F355" s="32"/>
      <c r="G355" s="32"/>
      <c r="H355" s="32"/>
      <c r="K355" s="32"/>
    </row>
    <row r="356" ht="15.75" customHeight="1">
      <c r="A356" s="32"/>
      <c r="C356" s="32"/>
      <c r="D356" s="32"/>
      <c r="E356" s="32"/>
      <c r="F356" s="32"/>
      <c r="G356" s="32"/>
      <c r="H356" s="32"/>
      <c r="K356" s="32"/>
    </row>
    <row r="357" ht="15.75" customHeight="1">
      <c r="A357" s="32"/>
      <c r="C357" s="32"/>
      <c r="D357" s="32"/>
      <c r="E357" s="32"/>
      <c r="F357" s="32"/>
      <c r="G357" s="32"/>
      <c r="H357" s="32"/>
      <c r="K357" s="32"/>
    </row>
    <row r="358" ht="15.75" customHeight="1">
      <c r="A358" s="32"/>
      <c r="C358" s="32"/>
      <c r="D358" s="32"/>
      <c r="E358" s="32"/>
      <c r="F358" s="32"/>
      <c r="G358" s="32"/>
      <c r="H358" s="32"/>
      <c r="K358" s="32"/>
    </row>
    <row r="359" ht="15.75" customHeight="1">
      <c r="A359" s="32"/>
      <c r="C359" s="32"/>
      <c r="D359" s="32"/>
      <c r="E359" s="32"/>
      <c r="F359" s="32"/>
      <c r="G359" s="32"/>
      <c r="H359" s="32"/>
      <c r="K359" s="32"/>
    </row>
    <row r="360" ht="15.75" customHeight="1">
      <c r="A360" s="32"/>
      <c r="C360" s="32"/>
      <c r="D360" s="32"/>
      <c r="E360" s="32"/>
      <c r="F360" s="32"/>
      <c r="G360" s="32"/>
      <c r="H360" s="32"/>
      <c r="K360" s="32"/>
    </row>
    <row r="361" ht="15.75" customHeight="1">
      <c r="A361" s="32"/>
      <c r="C361" s="32"/>
      <c r="D361" s="32"/>
      <c r="E361" s="32"/>
      <c r="F361" s="32"/>
      <c r="G361" s="32"/>
      <c r="H361" s="32"/>
      <c r="K361" s="32"/>
    </row>
    <row r="362" ht="15.75" customHeight="1">
      <c r="A362" s="32"/>
      <c r="C362" s="32"/>
      <c r="D362" s="32"/>
      <c r="E362" s="32"/>
      <c r="F362" s="32"/>
      <c r="G362" s="32"/>
      <c r="H362" s="32"/>
      <c r="K362" s="32"/>
    </row>
    <row r="363" ht="15.75" customHeight="1">
      <c r="A363" s="32"/>
      <c r="C363" s="32"/>
      <c r="D363" s="32"/>
      <c r="E363" s="32"/>
      <c r="F363" s="32"/>
      <c r="G363" s="32"/>
      <c r="H363" s="32"/>
      <c r="K363" s="32"/>
    </row>
    <row r="364" ht="15.75" customHeight="1">
      <c r="A364" s="32"/>
      <c r="C364" s="32"/>
      <c r="D364" s="32"/>
      <c r="E364" s="32"/>
      <c r="F364" s="32"/>
      <c r="G364" s="32"/>
      <c r="H364" s="32"/>
      <c r="K364" s="32"/>
    </row>
    <row r="365" ht="15.75" customHeight="1">
      <c r="A365" s="32"/>
      <c r="C365" s="32"/>
      <c r="D365" s="32"/>
      <c r="E365" s="32"/>
      <c r="F365" s="32"/>
      <c r="G365" s="32"/>
      <c r="H365" s="32"/>
      <c r="K365" s="32"/>
    </row>
    <row r="366" ht="15.75" customHeight="1">
      <c r="A366" s="32"/>
      <c r="C366" s="32"/>
      <c r="D366" s="32"/>
      <c r="E366" s="32"/>
      <c r="F366" s="32"/>
      <c r="G366" s="32"/>
      <c r="H366" s="32"/>
      <c r="K366" s="32"/>
    </row>
    <row r="367" ht="15.75" customHeight="1">
      <c r="A367" s="32"/>
      <c r="C367" s="32"/>
      <c r="D367" s="32"/>
      <c r="E367" s="32"/>
      <c r="F367" s="32"/>
      <c r="G367" s="32"/>
      <c r="H367" s="32"/>
      <c r="K367" s="32"/>
    </row>
    <row r="368" ht="15.75" customHeight="1">
      <c r="A368" s="32"/>
      <c r="C368" s="32"/>
      <c r="D368" s="32"/>
      <c r="E368" s="32"/>
      <c r="F368" s="32"/>
      <c r="G368" s="32"/>
      <c r="H368" s="32"/>
      <c r="K368" s="32"/>
    </row>
    <row r="369" ht="15.75" customHeight="1">
      <c r="A369" s="32"/>
      <c r="C369" s="32"/>
      <c r="D369" s="32"/>
      <c r="E369" s="32"/>
      <c r="F369" s="32"/>
      <c r="G369" s="32"/>
      <c r="H369" s="32"/>
      <c r="K369" s="32"/>
    </row>
    <row r="370" ht="15.75" customHeight="1">
      <c r="A370" s="32"/>
      <c r="C370" s="32"/>
      <c r="D370" s="32"/>
      <c r="E370" s="32"/>
      <c r="F370" s="32"/>
      <c r="G370" s="32"/>
      <c r="H370" s="32"/>
      <c r="K370" s="32"/>
    </row>
    <row r="371" ht="15.75" customHeight="1">
      <c r="A371" s="32"/>
      <c r="C371" s="32"/>
      <c r="D371" s="32"/>
      <c r="E371" s="32"/>
      <c r="F371" s="32"/>
      <c r="G371" s="32"/>
      <c r="H371" s="32"/>
      <c r="K371" s="32"/>
    </row>
    <row r="372" ht="15.75" customHeight="1">
      <c r="A372" s="32"/>
      <c r="C372" s="32"/>
      <c r="D372" s="32"/>
      <c r="E372" s="32"/>
      <c r="F372" s="32"/>
      <c r="G372" s="32"/>
      <c r="H372" s="32"/>
      <c r="K372" s="32"/>
    </row>
    <row r="373" ht="15.75" customHeight="1">
      <c r="A373" s="32"/>
      <c r="C373" s="32"/>
      <c r="D373" s="32"/>
      <c r="E373" s="32"/>
      <c r="F373" s="32"/>
      <c r="G373" s="32"/>
      <c r="H373" s="32"/>
      <c r="K373" s="32"/>
    </row>
    <row r="374" ht="15.75" customHeight="1">
      <c r="A374" s="32"/>
      <c r="C374" s="32"/>
      <c r="D374" s="32"/>
      <c r="E374" s="32"/>
      <c r="F374" s="32"/>
      <c r="G374" s="32"/>
      <c r="H374" s="32"/>
      <c r="K374" s="32"/>
    </row>
    <row r="375" ht="15.75" customHeight="1">
      <c r="A375" s="32"/>
      <c r="C375" s="32"/>
      <c r="D375" s="32"/>
      <c r="E375" s="32"/>
      <c r="F375" s="32"/>
      <c r="G375" s="32"/>
      <c r="H375" s="32"/>
      <c r="K375" s="32"/>
    </row>
    <row r="376" ht="15.75" customHeight="1">
      <c r="A376" s="32"/>
      <c r="C376" s="32"/>
      <c r="D376" s="32"/>
      <c r="E376" s="32"/>
      <c r="F376" s="32"/>
      <c r="G376" s="32"/>
      <c r="H376" s="32"/>
      <c r="K376" s="32"/>
    </row>
    <row r="377" ht="15.75" customHeight="1">
      <c r="A377" s="32"/>
      <c r="C377" s="32"/>
      <c r="D377" s="32"/>
      <c r="E377" s="32"/>
      <c r="F377" s="32"/>
      <c r="G377" s="32"/>
      <c r="H377" s="32"/>
      <c r="K377" s="32"/>
    </row>
    <row r="378" ht="15.75" customHeight="1">
      <c r="A378" s="32"/>
      <c r="C378" s="32"/>
      <c r="D378" s="32"/>
      <c r="E378" s="32"/>
      <c r="F378" s="32"/>
      <c r="G378" s="32"/>
      <c r="H378" s="32"/>
      <c r="K378" s="32"/>
    </row>
    <row r="379" ht="15.75" customHeight="1">
      <c r="A379" s="32"/>
      <c r="C379" s="32"/>
      <c r="D379" s="32"/>
      <c r="E379" s="32"/>
      <c r="F379" s="32"/>
      <c r="G379" s="32"/>
      <c r="H379" s="32"/>
      <c r="K379" s="32"/>
    </row>
    <row r="380" ht="15.75" customHeight="1">
      <c r="A380" s="32"/>
      <c r="C380" s="32"/>
      <c r="D380" s="32"/>
      <c r="E380" s="32"/>
      <c r="F380" s="32"/>
      <c r="G380" s="32"/>
      <c r="H380" s="32"/>
      <c r="K380" s="32"/>
    </row>
    <row r="381" ht="15.75" customHeight="1">
      <c r="A381" s="32"/>
      <c r="C381" s="32"/>
      <c r="D381" s="32"/>
      <c r="E381" s="32"/>
      <c r="F381" s="32"/>
      <c r="G381" s="32"/>
      <c r="H381" s="32"/>
      <c r="K381" s="32"/>
    </row>
    <row r="382" ht="15.75" customHeight="1">
      <c r="A382" s="32"/>
      <c r="C382" s="32"/>
      <c r="D382" s="32"/>
      <c r="E382" s="32"/>
      <c r="F382" s="32"/>
      <c r="G382" s="32"/>
      <c r="H382" s="32"/>
      <c r="K382" s="32"/>
    </row>
    <row r="383" ht="15.75" customHeight="1">
      <c r="A383" s="32"/>
      <c r="C383" s="32"/>
      <c r="D383" s="32"/>
      <c r="E383" s="32"/>
      <c r="F383" s="32"/>
      <c r="G383" s="32"/>
      <c r="H383" s="32"/>
      <c r="K383" s="32"/>
    </row>
    <row r="384" ht="15.75" customHeight="1">
      <c r="A384" s="32"/>
      <c r="C384" s="32"/>
      <c r="D384" s="32"/>
      <c r="E384" s="32"/>
      <c r="F384" s="32"/>
      <c r="G384" s="32"/>
      <c r="H384" s="32"/>
      <c r="K384" s="32"/>
    </row>
    <row r="385" ht="15.75" customHeight="1">
      <c r="A385" s="32"/>
      <c r="C385" s="32"/>
      <c r="D385" s="32"/>
      <c r="E385" s="32"/>
      <c r="F385" s="32"/>
      <c r="G385" s="32"/>
      <c r="H385" s="32"/>
      <c r="K385" s="32"/>
    </row>
    <row r="386" ht="15.75" customHeight="1">
      <c r="A386" s="32"/>
      <c r="C386" s="32"/>
      <c r="D386" s="32"/>
      <c r="E386" s="32"/>
      <c r="F386" s="32"/>
      <c r="G386" s="32"/>
      <c r="H386" s="32"/>
      <c r="K386" s="32"/>
    </row>
    <row r="387" ht="15.75" customHeight="1">
      <c r="A387" s="32"/>
      <c r="C387" s="32"/>
      <c r="D387" s="32"/>
      <c r="E387" s="32"/>
      <c r="F387" s="32"/>
      <c r="G387" s="32"/>
      <c r="H387" s="32"/>
      <c r="K387" s="32"/>
    </row>
    <row r="388" ht="15.75" customHeight="1">
      <c r="A388" s="32"/>
      <c r="C388" s="32"/>
      <c r="D388" s="32"/>
      <c r="E388" s="32"/>
      <c r="F388" s="32"/>
      <c r="G388" s="32"/>
      <c r="H388" s="32"/>
      <c r="K388" s="32"/>
    </row>
    <row r="389" ht="15.75" customHeight="1">
      <c r="A389" s="32"/>
      <c r="C389" s="32"/>
      <c r="D389" s="32"/>
      <c r="E389" s="32"/>
      <c r="F389" s="32"/>
      <c r="G389" s="32"/>
      <c r="H389" s="32"/>
      <c r="K389" s="32"/>
    </row>
    <row r="390" ht="15.75" customHeight="1">
      <c r="A390" s="32"/>
      <c r="C390" s="32"/>
      <c r="D390" s="32"/>
      <c r="E390" s="32"/>
      <c r="F390" s="32"/>
      <c r="G390" s="32"/>
      <c r="H390" s="32"/>
      <c r="K390" s="32"/>
    </row>
    <row r="391" ht="15.75" customHeight="1">
      <c r="A391" s="32"/>
      <c r="C391" s="32"/>
      <c r="D391" s="32"/>
      <c r="E391" s="32"/>
      <c r="F391" s="32"/>
      <c r="G391" s="32"/>
      <c r="H391" s="32"/>
      <c r="K391" s="32"/>
    </row>
    <row r="392" ht="15.75" customHeight="1">
      <c r="A392" s="32"/>
      <c r="C392" s="32"/>
      <c r="D392" s="32"/>
      <c r="E392" s="32"/>
      <c r="F392" s="32"/>
      <c r="G392" s="32"/>
      <c r="H392" s="32"/>
      <c r="K392" s="32"/>
    </row>
    <row r="393" ht="15.75" customHeight="1">
      <c r="A393" s="32"/>
      <c r="C393" s="32"/>
      <c r="D393" s="32"/>
      <c r="E393" s="32"/>
      <c r="F393" s="32"/>
      <c r="G393" s="32"/>
      <c r="H393" s="32"/>
      <c r="K393" s="32"/>
    </row>
    <row r="394" ht="15.75" customHeight="1">
      <c r="A394" s="32"/>
      <c r="C394" s="32"/>
      <c r="D394" s="32"/>
      <c r="E394" s="32"/>
      <c r="F394" s="32"/>
      <c r="G394" s="32"/>
      <c r="H394" s="32"/>
      <c r="K394" s="32"/>
    </row>
    <row r="395" ht="15.75" customHeight="1">
      <c r="A395" s="32"/>
      <c r="C395" s="32"/>
      <c r="D395" s="32"/>
      <c r="E395" s="32"/>
      <c r="F395" s="32"/>
      <c r="G395" s="32"/>
      <c r="H395" s="32"/>
      <c r="K395" s="32"/>
    </row>
    <row r="396" ht="15.75" customHeight="1">
      <c r="A396" s="32"/>
      <c r="C396" s="32"/>
      <c r="D396" s="32"/>
      <c r="E396" s="32"/>
      <c r="F396" s="32"/>
      <c r="G396" s="32"/>
      <c r="H396" s="32"/>
      <c r="K396" s="32"/>
    </row>
    <row r="397" ht="15.75" customHeight="1">
      <c r="A397" s="32"/>
      <c r="C397" s="32"/>
      <c r="D397" s="32"/>
      <c r="E397" s="32"/>
      <c r="F397" s="32"/>
      <c r="G397" s="32"/>
      <c r="H397" s="32"/>
      <c r="K397" s="32"/>
    </row>
    <row r="398" ht="15.75" customHeight="1">
      <c r="A398" s="32"/>
      <c r="C398" s="32"/>
      <c r="D398" s="32"/>
      <c r="E398" s="32"/>
      <c r="F398" s="32"/>
      <c r="G398" s="32"/>
      <c r="H398" s="32"/>
      <c r="K398" s="32"/>
    </row>
    <row r="399" ht="15.75" customHeight="1">
      <c r="A399" s="32"/>
      <c r="C399" s="32"/>
      <c r="D399" s="32"/>
      <c r="E399" s="32"/>
      <c r="F399" s="32"/>
      <c r="G399" s="32"/>
      <c r="H399" s="32"/>
      <c r="K399" s="32"/>
    </row>
    <row r="400" ht="15.75" customHeight="1">
      <c r="A400" s="32"/>
      <c r="C400" s="32"/>
      <c r="D400" s="32"/>
      <c r="E400" s="32"/>
      <c r="F400" s="32"/>
      <c r="G400" s="32"/>
      <c r="H400" s="32"/>
      <c r="K400" s="32"/>
    </row>
    <row r="401" ht="15.75" customHeight="1">
      <c r="A401" s="32"/>
      <c r="C401" s="32"/>
      <c r="D401" s="32"/>
      <c r="E401" s="32"/>
      <c r="F401" s="32"/>
      <c r="G401" s="32"/>
      <c r="H401" s="32"/>
      <c r="K401" s="32"/>
    </row>
    <row r="402" ht="15.75" customHeight="1">
      <c r="A402" s="32"/>
      <c r="C402" s="32"/>
      <c r="D402" s="32"/>
      <c r="E402" s="32"/>
      <c r="F402" s="32"/>
      <c r="G402" s="32"/>
      <c r="H402" s="32"/>
      <c r="K402" s="32"/>
    </row>
    <row r="403" ht="15.75" customHeight="1">
      <c r="A403" s="32"/>
      <c r="C403" s="32"/>
      <c r="D403" s="32"/>
      <c r="E403" s="32"/>
      <c r="F403" s="32"/>
      <c r="G403" s="32"/>
      <c r="H403" s="32"/>
      <c r="K403" s="32"/>
    </row>
    <row r="404" ht="15.75" customHeight="1">
      <c r="A404" s="32"/>
      <c r="C404" s="32"/>
      <c r="D404" s="32"/>
      <c r="E404" s="32"/>
      <c r="F404" s="32"/>
      <c r="G404" s="32"/>
      <c r="H404" s="32"/>
      <c r="K404" s="32"/>
    </row>
    <row r="405" ht="15.75" customHeight="1">
      <c r="A405" s="32"/>
      <c r="C405" s="32"/>
      <c r="D405" s="32"/>
      <c r="E405" s="32"/>
      <c r="F405" s="32"/>
      <c r="G405" s="32"/>
      <c r="H405" s="32"/>
      <c r="K405" s="32"/>
    </row>
    <row r="406" ht="15.75" customHeight="1">
      <c r="A406" s="32"/>
      <c r="C406" s="32"/>
      <c r="D406" s="32"/>
      <c r="E406" s="32"/>
      <c r="F406" s="32"/>
      <c r="G406" s="32"/>
      <c r="H406" s="32"/>
      <c r="K406" s="32"/>
    </row>
    <row r="407" ht="15.75" customHeight="1">
      <c r="A407" s="32"/>
      <c r="C407" s="32"/>
      <c r="D407" s="32"/>
      <c r="E407" s="32"/>
      <c r="F407" s="32"/>
      <c r="G407" s="32"/>
      <c r="H407" s="32"/>
      <c r="K407" s="32"/>
    </row>
    <row r="408" ht="15.75" customHeight="1">
      <c r="A408" s="32"/>
      <c r="C408" s="32"/>
      <c r="D408" s="32"/>
      <c r="E408" s="32"/>
      <c r="F408" s="32"/>
      <c r="G408" s="32"/>
      <c r="H408" s="32"/>
      <c r="K408" s="32"/>
    </row>
    <row r="409" ht="15.75" customHeight="1">
      <c r="A409" s="32"/>
      <c r="C409" s="32"/>
      <c r="D409" s="32"/>
      <c r="E409" s="32"/>
      <c r="F409" s="32"/>
      <c r="G409" s="32"/>
      <c r="H409" s="32"/>
      <c r="K409" s="32"/>
    </row>
    <row r="410" ht="15.75" customHeight="1">
      <c r="A410" s="32"/>
      <c r="C410" s="32"/>
      <c r="D410" s="32"/>
      <c r="E410" s="32"/>
      <c r="F410" s="32"/>
      <c r="G410" s="32"/>
      <c r="H410" s="32"/>
      <c r="K410" s="32"/>
    </row>
    <row r="411" ht="15.75" customHeight="1">
      <c r="A411" s="32"/>
      <c r="C411" s="32"/>
      <c r="D411" s="32"/>
      <c r="E411" s="32"/>
      <c r="F411" s="32"/>
      <c r="G411" s="32"/>
      <c r="H411" s="32"/>
      <c r="K411" s="32"/>
    </row>
    <row r="412" ht="15.75" customHeight="1">
      <c r="A412" s="32"/>
      <c r="C412" s="32"/>
      <c r="D412" s="32"/>
      <c r="E412" s="32"/>
      <c r="F412" s="32"/>
      <c r="G412" s="32"/>
      <c r="H412" s="32"/>
      <c r="K412" s="32"/>
    </row>
    <row r="413" ht="15.75" customHeight="1">
      <c r="A413" s="32"/>
      <c r="C413" s="32"/>
      <c r="D413" s="32"/>
      <c r="E413" s="32"/>
      <c r="F413" s="32"/>
      <c r="G413" s="32"/>
      <c r="H413" s="32"/>
      <c r="K413" s="32"/>
    </row>
    <row r="414" ht="15.75" customHeight="1">
      <c r="A414" s="32"/>
      <c r="C414" s="32"/>
      <c r="D414" s="32"/>
      <c r="E414" s="32"/>
      <c r="F414" s="32"/>
      <c r="G414" s="32"/>
      <c r="H414" s="32"/>
      <c r="K414" s="32"/>
    </row>
    <row r="415" ht="15.75" customHeight="1">
      <c r="A415" s="32"/>
      <c r="C415" s="32"/>
      <c r="D415" s="32"/>
      <c r="E415" s="32"/>
      <c r="F415" s="32"/>
      <c r="G415" s="32"/>
      <c r="H415" s="32"/>
      <c r="K415" s="32"/>
    </row>
    <row r="416" ht="15.75" customHeight="1">
      <c r="A416" s="32"/>
      <c r="C416" s="32"/>
      <c r="D416" s="32"/>
      <c r="E416" s="32"/>
      <c r="F416" s="32"/>
      <c r="G416" s="32"/>
      <c r="H416" s="32"/>
      <c r="K416" s="32"/>
    </row>
    <row r="417" ht="15.75" customHeight="1">
      <c r="A417" s="32"/>
      <c r="C417" s="32"/>
      <c r="D417" s="32"/>
      <c r="E417" s="32"/>
      <c r="F417" s="32"/>
      <c r="G417" s="32"/>
      <c r="H417" s="32"/>
      <c r="K417" s="32"/>
    </row>
    <row r="418" ht="15.75" customHeight="1">
      <c r="A418" s="32"/>
      <c r="C418" s="32"/>
      <c r="D418" s="32"/>
      <c r="E418" s="32"/>
      <c r="F418" s="32"/>
      <c r="G418" s="32"/>
      <c r="H418" s="32"/>
      <c r="K418" s="32"/>
    </row>
    <row r="419" ht="15.75" customHeight="1">
      <c r="A419" s="32"/>
      <c r="C419" s="32"/>
      <c r="D419" s="32"/>
      <c r="E419" s="32"/>
      <c r="F419" s="32"/>
      <c r="G419" s="32"/>
      <c r="H419" s="32"/>
      <c r="K419" s="32"/>
    </row>
    <row r="420" ht="15.75" customHeight="1">
      <c r="A420" s="32"/>
      <c r="C420" s="32"/>
      <c r="D420" s="32"/>
      <c r="E420" s="32"/>
      <c r="F420" s="32"/>
      <c r="G420" s="32"/>
      <c r="H420" s="32"/>
      <c r="K420" s="32"/>
    </row>
    <row r="421" ht="15.75" customHeight="1">
      <c r="A421" s="32"/>
      <c r="C421" s="32"/>
      <c r="D421" s="32"/>
      <c r="E421" s="32"/>
      <c r="F421" s="32"/>
      <c r="G421" s="32"/>
      <c r="H421" s="32"/>
      <c r="K421" s="32"/>
    </row>
    <row r="422" ht="15.75" customHeight="1">
      <c r="A422" s="32"/>
      <c r="C422" s="32"/>
      <c r="D422" s="32"/>
      <c r="E422" s="32"/>
      <c r="F422" s="32"/>
      <c r="G422" s="32"/>
      <c r="H422" s="32"/>
      <c r="K422" s="32"/>
    </row>
    <row r="423" ht="15.75" customHeight="1">
      <c r="A423" s="32"/>
      <c r="C423" s="32"/>
      <c r="D423" s="32"/>
      <c r="E423" s="32"/>
      <c r="F423" s="32"/>
      <c r="G423" s="32"/>
      <c r="H423" s="32"/>
      <c r="K423" s="32"/>
    </row>
    <row r="424" ht="15.75" customHeight="1">
      <c r="A424" s="32"/>
      <c r="C424" s="32"/>
      <c r="D424" s="32"/>
      <c r="E424" s="32"/>
      <c r="F424" s="32"/>
      <c r="G424" s="32"/>
      <c r="H424" s="32"/>
      <c r="K424" s="32"/>
    </row>
    <row r="425" ht="15.75" customHeight="1">
      <c r="A425" s="32"/>
      <c r="C425" s="32"/>
      <c r="D425" s="32"/>
      <c r="E425" s="32"/>
      <c r="F425" s="32"/>
      <c r="G425" s="32"/>
      <c r="H425" s="32"/>
      <c r="K425" s="32"/>
    </row>
    <row r="426" ht="15.75" customHeight="1">
      <c r="A426" s="32"/>
      <c r="C426" s="32"/>
      <c r="D426" s="32"/>
      <c r="E426" s="32"/>
      <c r="F426" s="32"/>
      <c r="G426" s="32"/>
      <c r="H426" s="32"/>
      <c r="K426" s="32"/>
    </row>
    <row r="427" ht="15.75" customHeight="1">
      <c r="A427" s="32"/>
      <c r="C427" s="32"/>
      <c r="D427" s="32"/>
      <c r="E427" s="32"/>
      <c r="F427" s="32"/>
      <c r="G427" s="32"/>
      <c r="H427" s="32"/>
      <c r="K427" s="32"/>
    </row>
    <row r="428" ht="15.75" customHeight="1">
      <c r="A428" s="32"/>
      <c r="C428" s="32"/>
      <c r="D428" s="32"/>
      <c r="E428" s="32"/>
      <c r="F428" s="32"/>
      <c r="G428" s="32"/>
      <c r="H428" s="32"/>
      <c r="K428" s="32"/>
    </row>
    <row r="429" ht="15.75" customHeight="1">
      <c r="A429" s="32"/>
      <c r="C429" s="32"/>
      <c r="D429" s="32"/>
      <c r="E429" s="32"/>
      <c r="F429" s="32"/>
      <c r="G429" s="32"/>
      <c r="H429" s="32"/>
      <c r="K429" s="32"/>
    </row>
    <row r="430" ht="15.75" customHeight="1">
      <c r="A430" s="32"/>
      <c r="C430" s="32"/>
      <c r="D430" s="32"/>
      <c r="E430" s="32"/>
      <c r="F430" s="32"/>
      <c r="G430" s="32"/>
      <c r="H430" s="32"/>
      <c r="K430" s="32"/>
    </row>
    <row r="431" ht="15.75" customHeight="1">
      <c r="A431" s="32"/>
      <c r="C431" s="32"/>
      <c r="D431" s="32"/>
      <c r="E431" s="32"/>
      <c r="F431" s="32"/>
      <c r="G431" s="32"/>
      <c r="H431" s="32"/>
      <c r="K431" s="32"/>
    </row>
    <row r="432" ht="15.75" customHeight="1">
      <c r="A432" s="32"/>
      <c r="C432" s="32"/>
      <c r="D432" s="32"/>
      <c r="E432" s="32"/>
      <c r="F432" s="32"/>
      <c r="G432" s="32"/>
      <c r="H432" s="32"/>
      <c r="K432" s="32"/>
    </row>
    <row r="433" ht="15.75" customHeight="1">
      <c r="A433" s="32"/>
      <c r="C433" s="32"/>
      <c r="D433" s="32"/>
      <c r="E433" s="32"/>
      <c r="F433" s="32"/>
      <c r="G433" s="32"/>
      <c r="H433" s="32"/>
      <c r="K433" s="32"/>
    </row>
    <row r="434" ht="15.75" customHeight="1">
      <c r="A434" s="32"/>
      <c r="C434" s="32"/>
      <c r="D434" s="32"/>
      <c r="E434" s="32"/>
      <c r="F434" s="32"/>
      <c r="G434" s="32"/>
      <c r="H434" s="32"/>
      <c r="K434" s="32"/>
    </row>
    <row r="435" ht="15.75" customHeight="1">
      <c r="A435" s="32"/>
      <c r="C435" s="32"/>
      <c r="D435" s="32"/>
      <c r="E435" s="32"/>
      <c r="F435" s="32"/>
      <c r="G435" s="32"/>
      <c r="H435" s="32"/>
      <c r="K435" s="32"/>
    </row>
    <row r="436" ht="15.75" customHeight="1">
      <c r="A436" s="32"/>
      <c r="C436" s="32"/>
      <c r="D436" s="32"/>
      <c r="E436" s="32"/>
      <c r="F436" s="32"/>
      <c r="G436" s="32"/>
      <c r="H436" s="32"/>
      <c r="K436" s="32"/>
    </row>
    <row r="437" ht="15.75" customHeight="1">
      <c r="A437" s="32"/>
      <c r="C437" s="32"/>
      <c r="D437" s="32"/>
      <c r="E437" s="32"/>
      <c r="F437" s="32"/>
      <c r="G437" s="32"/>
      <c r="H437" s="32"/>
      <c r="K437" s="32"/>
    </row>
    <row r="438" ht="15.75" customHeight="1">
      <c r="A438" s="32"/>
      <c r="C438" s="32"/>
      <c r="D438" s="32"/>
      <c r="E438" s="32"/>
      <c r="F438" s="32"/>
      <c r="G438" s="32"/>
      <c r="H438" s="32"/>
      <c r="K438" s="32"/>
    </row>
    <row r="439" ht="15.75" customHeight="1">
      <c r="A439" s="32"/>
      <c r="C439" s="32"/>
      <c r="D439" s="32"/>
      <c r="E439" s="32"/>
      <c r="F439" s="32"/>
      <c r="G439" s="32"/>
      <c r="H439" s="32"/>
      <c r="K439" s="32"/>
    </row>
    <row r="440" ht="15.75" customHeight="1">
      <c r="A440" s="32"/>
      <c r="C440" s="32"/>
      <c r="D440" s="32"/>
      <c r="E440" s="32"/>
      <c r="F440" s="32"/>
      <c r="G440" s="32"/>
      <c r="H440" s="32"/>
      <c r="K440" s="32"/>
    </row>
    <row r="441" ht="15.75" customHeight="1">
      <c r="A441" s="32"/>
      <c r="C441" s="32"/>
      <c r="D441" s="32"/>
      <c r="E441" s="32"/>
      <c r="F441" s="32"/>
      <c r="G441" s="32"/>
      <c r="H441" s="32"/>
      <c r="K441" s="32"/>
    </row>
    <row r="442" ht="15.75" customHeight="1">
      <c r="A442" s="32"/>
      <c r="C442" s="32"/>
      <c r="D442" s="32"/>
      <c r="E442" s="32"/>
      <c r="F442" s="32"/>
      <c r="G442" s="32"/>
      <c r="H442" s="32"/>
      <c r="K442" s="32"/>
    </row>
    <row r="443" ht="15.75" customHeight="1">
      <c r="A443" s="32"/>
      <c r="C443" s="32"/>
      <c r="D443" s="32"/>
      <c r="E443" s="32"/>
      <c r="F443" s="32"/>
      <c r="G443" s="32"/>
      <c r="H443" s="32"/>
      <c r="K443" s="32"/>
    </row>
    <row r="444" ht="15.75" customHeight="1">
      <c r="A444" s="32"/>
      <c r="C444" s="32"/>
      <c r="D444" s="32"/>
      <c r="E444" s="32"/>
      <c r="F444" s="32"/>
      <c r="G444" s="32"/>
      <c r="H444" s="32"/>
      <c r="K444" s="32"/>
    </row>
    <row r="445" ht="15.75" customHeight="1">
      <c r="A445" s="32"/>
      <c r="C445" s="32"/>
      <c r="D445" s="32"/>
      <c r="E445" s="32"/>
      <c r="F445" s="32"/>
      <c r="G445" s="32"/>
      <c r="H445" s="32"/>
      <c r="K445" s="32"/>
    </row>
    <row r="446" ht="15.75" customHeight="1">
      <c r="A446" s="32"/>
      <c r="C446" s="32"/>
      <c r="D446" s="32"/>
      <c r="E446" s="32"/>
      <c r="F446" s="32"/>
      <c r="G446" s="32"/>
      <c r="H446" s="32"/>
      <c r="K446" s="32"/>
    </row>
    <row r="447" ht="15.75" customHeight="1">
      <c r="A447" s="32"/>
      <c r="C447" s="32"/>
      <c r="D447" s="32"/>
      <c r="E447" s="32"/>
      <c r="F447" s="32"/>
      <c r="G447" s="32"/>
      <c r="H447" s="32"/>
      <c r="K447" s="32"/>
    </row>
    <row r="448" ht="15.75" customHeight="1">
      <c r="A448" s="32"/>
      <c r="C448" s="32"/>
      <c r="D448" s="32"/>
      <c r="E448" s="32"/>
      <c r="F448" s="32"/>
      <c r="G448" s="32"/>
      <c r="H448" s="32"/>
      <c r="K448" s="32"/>
    </row>
    <row r="449" ht="15.75" customHeight="1">
      <c r="A449" s="32"/>
      <c r="C449" s="32"/>
      <c r="D449" s="32"/>
      <c r="E449" s="32"/>
      <c r="F449" s="32"/>
      <c r="G449" s="32"/>
      <c r="H449" s="32"/>
      <c r="K449" s="32"/>
    </row>
    <row r="450" ht="15.75" customHeight="1">
      <c r="A450" s="32"/>
      <c r="C450" s="32"/>
      <c r="D450" s="32"/>
      <c r="E450" s="32"/>
      <c r="F450" s="32"/>
      <c r="G450" s="32"/>
      <c r="H450" s="32"/>
      <c r="K450" s="32"/>
    </row>
    <row r="451" ht="15.75" customHeight="1">
      <c r="A451" s="32"/>
      <c r="C451" s="32"/>
      <c r="D451" s="32"/>
      <c r="E451" s="32"/>
      <c r="F451" s="32"/>
      <c r="G451" s="32"/>
      <c r="H451" s="32"/>
      <c r="K451" s="32"/>
    </row>
    <row r="452" ht="15.75" customHeight="1">
      <c r="A452" s="32"/>
      <c r="C452" s="32"/>
      <c r="D452" s="32"/>
      <c r="E452" s="32"/>
      <c r="F452" s="32"/>
      <c r="G452" s="32"/>
      <c r="H452" s="32"/>
      <c r="K452" s="32"/>
    </row>
    <row r="453" ht="15.75" customHeight="1">
      <c r="A453" s="32"/>
      <c r="C453" s="32"/>
      <c r="D453" s="32"/>
      <c r="E453" s="32"/>
      <c r="F453" s="32"/>
      <c r="G453" s="32"/>
      <c r="H453" s="32"/>
      <c r="K453" s="32"/>
    </row>
    <row r="454" ht="15.75" customHeight="1">
      <c r="A454" s="32"/>
      <c r="C454" s="32"/>
      <c r="D454" s="32"/>
      <c r="E454" s="32"/>
      <c r="F454" s="32"/>
      <c r="G454" s="32"/>
      <c r="H454" s="32"/>
      <c r="K454" s="32"/>
    </row>
    <row r="455" ht="15.75" customHeight="1">
      <c r="A455" s="32"/>
      <c r="C455" s="32"/>
      <c r="D455" s="32"/>
      <c r="E455" s="32"/>
      <c r="F455" s="32"/>
      <c r="G455" s="32"/>
      <c r="H455" s="32"/>
      <c r="K455" s="32"/>
    </row>
    <row r="456" ht="15.75" customHeight="1">
      <c r="A456" s="32"/>
      <c r="C456" s="32"/>
      <c r="D456" s="32"/>
      <c r="E456" s="32"/>
      <c r="F456" s="32"/>
      <c r="G456" s="32"/>
      <c r="H456" s="32"/>
      <c r="K456" s="32"/>
    </row>
    <row r="457" ht="15.75" customHeight="1">
      <c r="A457" s="32"/>
      <c r="C457" s="32"/>
      <c r="D457" s="32"/>
      <c r="E457" s="32"/>
      <c r="F457" s="32"/>
      <c r="G457" s="32"/>
      <c r="H457" s="32"/>
      <c r="K457" s="32"/>
    </row>
    <row r="458" ht="15.75" customHeight="1">
      <c r="A458" s="32"/>
      <c r="C458" s="32"/>
      <c r="D458" s="32"/>
      <c r="E458" s="32"/>
      <c r="F458" s="32"/>
      <c r="G458" s="32"/>
      <c r="H458" s="32"/>
      <c r="K458" s="32"/>
    </row>
    <row r="459" ht="15.75" customHeight="1">
      <c r="A459" s="32"/>
      <c r="C459" s="32"/>
      <c r="D459" s="32"/>
      <c r="E459" s="32"/>
      <c r="F459" s="32"/>
      <c r="G459" s="32"/>
      <c r="H459" s="32"/>
      <c r="K459" s="32"/>
    </row>
    <row r="460" ht="15.75" customHeight="1">
      <c r="A460" s="32"/>
      <c r="C460" s="32"/>
      <c r="D460" s="32"/>
      <c r="E460" s="32"/>
      <c r="F460" s="32"/>
      <c r="G460" s="32"/>
      <c r="H460" s="32"/>
      <c r="K460" s="32"/>
    </row>
    <row r="461" ht="15.75" customHeight="1">
      <c r="A461" s="32"/>
      <c r="C461" s="32"/>
      <c r="D461" s="32"/>
      <c r="E461" s="32"/>
      <c r="F461" s="32"/>
      <c r="G461" s="32"/>
      <c r="H461" s="32"/>
      <c r="K461" s="32"/>
    </row>
    <row r="462" ht="15.75" customHeight="1">
      <c r="A462" s="32"/>
      <c r="C462" s="32"/>
      <c r="D462" s="32"/>
      <c r="E462" s="32"/>
      <c r="F462" s="32"/>
      <c r="G462" s="32"/>
      <c r="H462" s="32"/>
      <c r="K462" s="32"/>
    </row>
    <row r="463" ht="15.75" customHeight="1">
      <c r="A463" s="32"/>
      <c r="C463" s="32"/>
      <c r="D463" s="32"/>
      <c r="E463" s="32"/>
      <c r="F463" s="32"/>
      <c r="G463" s="32"/>
      <c r="H463" s="32"/>
      <c r="K463" s="32"/>
    </row>
    <row r="464" ht="15.75" customHeight="1">
      <c r="A464" s="32"/>
      <c r="C464" s="32"/>
      <c r="D464" s="32"/>
      <c r="E464" s="32"/>
      <c r="F464" s="32"/>
      <c r="G464" s="32"/>
      <c r="H464" s="32"/>
      <c r="K464" s="32"/>
    </row>
    <row r="465" ht="15.75" customHeight="1">
      <c r="A465" s="32"/>
      <c r="C465" s="32"/>
      <c r="D465" s="32"/>
      <c r="E465" s="32"/>
      <c r="F465" s="32"/>
      <c r="G465" s="32"/>
      <c r="H465" s="32"/>
      <c r="K465" s="32"/>
    </row>
    <row r="466" ht="15.75" customHeight="1">
      <c r="A466" s="32"/>
      <c r="C466" s="32"/>
      <c r="D466" s="32"/>
      <c r="E466" s="32"/>
      <c r="F466" s="32"/>
      <c r="G466" s="32"/>
      <c r="H466" s="32"/>
      <c r="K466" s="32"/>
    </row>
    <row r="467" ht="15.75" customHeight="1">
      <c r="A467" s="32"/>
      <c r="C467" s="32"/>
      <c r="D467" s="32"/>
      <c r="E467" s="32"/>
      <c r="F467" s="32"/>
      <c r="G467" s="32"/>
      <c r="H467" s="32"/>
      <c r="K467" s="32"/>
    </row>
    <row r="468" ht="15.75" customHeight="1">
      <c r="A468" s="32"/>
      <c r="C468" s="32"/>
      <c r="D468" s="32"/>
      <c r="E468" s="32"/>
      <c r="F468" s="32"/>
      <c r="G468" s="32"/>
      <c r="H468" s="32"/>
      <c r="K468" s="32"/>
    </row>
    <row r="469" ht="15.75" customHeight="1">
      <c r="A469" s="32"/>
      <c r="C469" s="32"/>
      <c r="D469" s="32"/>
      <c r="E469" s="32"/>
      <c r="F469" s="32"/>
      <c r="G469" s="32"/>
      <c r="H469" s="32"/>
      <c r="K469" s="32"/>
    </row>
    <row r="470" ht="15.75" customHeight="1">
      <c r="A470" s="32"/>
      <c r="C470" s="32"/>
      <c r="D470" s="32"/>
      <c r="E470" s="32"/>
      <c r="F470" s="32"/>
      <c r="G470" s="32"/>
      <c r="H470" s="32"/>
      <c r="K470" s="32"/>
    </row>
    <row r="471" ht="15.75" customHeight="1">
      <c r="A471" s="32"/>
      <c r="C471" s="32"/>
      <c r="D471" s="32"/>
      <c r="E471" s="32"/>
      <c r="F471" s="32"/>
      <c r="G471" s="32"/>
      <c r="H471" s="32"/>
      <c r="K471" s="32"/>
    </row>
    <row r="472" ht="15.75" customHeight="1">
      <c r="A472" s="32"/>
      <c r="C472" s="32"/>
      <c r="D472" s="32"/>
      <c r="E472" s="32"/>
      <c r="F472" s="32"/>
      <c r="G472" s="32"/>
      <c r="H472" s="32"/>
      <c r="K472" s="32"/>
    </row>
    <row r="473" ht="15.75" customHeight="1">
      <c r="A473" s="32"/>
      <c r="C473" s="32"/>
      <c r="D473" s="32"/>
      <c r="E473" s="32"/>
      <c r="F473" s="32"/>
      <c r="G473" s="32"/>
      <c r="H473" s="32"/>
      <c r="K473" s="32"/>
    </row>
    <row r="474" ht="15.75" customHeight="1">
      <c r="A474" s="32"/>
      <c r="C474" s="32"/>
      <c r="D474" s="32"/>
      <c r="E474" s="32"/>
      <c r="F474" s="32"/>
      <c r="G474" s="32"/>
      <c r="H474" s="32"/>
      <c r="K474" s="32"/>
    </row>
    <row r="475" ht="15.75" customHeight="1">
      <c r="A475" s="32"/>
      <c r="C475" s="32"/>
      <c r="D475" s="32"/>
      <c r="E475" s="32"/>
      <c r="F475" s="32"/>
      <c r="G475" s="32"/>
      <c r="H475" s="32"/>
      <c r="K475" s="32"/>
    </row>
    <row r="476" ht="15.75" customHeight="1">
      <c r="A476" s="32"/>
      <c r="C476" s="32"/>
      <c r="D476" s="32"/>
      <c r="E476" s="32"/>
      <c r="F476" s="32"/>
      <c r="G476" s="32"/>
      <c r="H476" s="32"/>
      <c r="K476" s="32"/>
    </row>
    <row r="477" ht="15.75" customHeight="1">
      <c r="A477" s="32"/>
      <c r="C477" s="32"/>
      <c r="D477" s="32"/>
      <c r="E477" s="32"/>
      <c r="F477" s="32"/>
      <c r="G477" s="32"/>
      <c r="H477" s="32"/>
      <c r="K477" s="32"/>
    </row>
    <row r="478" ht="15.75" customHeight="1">
      <c r="A478" s="32"/>
      <c r="C478" s="32"/>
      <c r="D478" s="32"/>
      <c r="E478" s="32"/>
      <c r="F478" s="32"/>
      <c r="G478" s="32"/>
      <c r="H478" s="32"/>
      <c r="K478" s="32"/>
    </row>
    <row r="479" ht="15.75" customHeight="1">
      <c r="A479" s="32"/>
      <c r="C479" s="32"/>
      <c r="D479" s="32"/>
      <c r="E479" s="32"/>
      <c r="F479" s="32"/>
      <c r="G479" s="32"/>
      <c r="H479" s="32"/>
      <c r="K479" s="32"/>
    </row>
    <row r="480" ht="15.75" customHeight="1">
      <c r="A480" s="32"/>
      <c r="C480" s="32"/>
      <c r="D480" s="32"/>
      <c r="E480" s="32"/>
      <c r="F480" s="32"/>
      <c r="G480" s="32"/>
      <c r="H480" s="32"/>
      <c r="K480" s="32"/>
    </row>
    <row r="481" ht="15.75" customHeight="1">
      <c r="A481" s="32"/>
      <c r="C481" s="32"/>
      <c r="D481" s="32"/>
      <c r="E481" s="32"/>
      <c r="F481" s="32"/>
      <c r="G481" s="32"/>
      <c r="H481" s="32"/>
      <c r="K481" s="32"/>
    </row>
    <row r="482" ht="15.75" customHeight="1">
      <c r="A482" s="32"/>
      <c r="C482" s="32"/>
      <c r="D482" s="32"/>
      <c r="E482" s="32"/>
      <c r="F482" s="32"/>
      <c r="G482" s="32"/>
      <c r="H482" s="32"/>
      <c r="K482" s="32"/>
    </row>
    <row r="483" ht="15.75" customHeight="1">
      <c r="A483" s="32"/>
      <c r="C483" s="32"/>
      <c r="D483" s="32"/>
      <c r="E483" s="32"/>
      <c r="F483" s="32"/>
      <c r="G483" s="32"/>
      <c r="H483" s="32"/>
      <c r="K483" s="32"/>
    </row>
    <row r="484" ht="15.75" customHeight="1">
      <c r="A484" s="32"/>
      <c r="C484" s="32"/>
      <c r="D484" s="32"/>
      <c r="E484" s="32"/>
      <c r="F484" s="32"/>
      <c r="G484" s="32"/>
      <c r="H484" s="32"/>
      <c r="K484" s="32"/>
    </row>
    <row r="485" ht="15.75" customHeight="1">
      <c r="A485" s="32"/>
      <c r="C485" s="32"/>
      <c r="D485" s="32"/>
      <c r="E485" s="32"/>
      <c r="F485" s="32"/>
      <c r="G485" s="32"/>
      <c r="H485" s="32"/>
      <c r="K485" s="32"/>
    </row>
    <row r="486" ht="15.75" customHeight="1">
      <c r="A486" s="32"/>
      <c r="C486" s="32"/>
      <c r="D486" s="32"/>
      <c r="E486" s="32"/>
      <c r="F486" s="32"/>
      <c r="G486" s="32"/>
      <c r="H486" s="32"/>
      <c r="K486" s="32"/>
    </row>
    <row r="487" ht="15.75" customHeight="1">
      <c r="A487" s="32"/>
      <c r="C487" s="32"/>
      <c r="D487" s="32"/>
      <c r="E487" s="32"/>
      <c r="F487" s="32"/>
      <c r="G487" s="32"/>
      <c r="H487" s="32"/>
      <c r="K487" s="32"/>
    </row>
    <row r="488" ht="15.75" customHeight="1">
      <c r="A488" s="32"/>
      <c r="C488" s="32"/>
      <c r="D488" s="32"/>
      <c r="E488" s="32"/>
      <c r="F488" s="32"/>
      <c r="G488" s="32"/>
      <c r="H488" s="32"/>
      <c r="K488" s="32"/>
    </row>
    <row r="489" ht="15.75" customHeight="1">
      <c r="A489" s="32"/>
      <c r="C489" s="32"/>
      <c r="D489" s="32"/>
      <c r="E489" s="32"/>
      <c r="F489" s="32"/>
      <c r="G489" s="32"/>
      <c r="H489" s="32"/>
      <c r="K489" s="32"/>
    </row>
    <row r="490" ht="15.75" customHeight="1">
      <c r="A490" s="32"/>
      <c r="C490" s="32"/>
      <c r="D490" s="32"/>
      <c r="E490" s="32"/>
      <c r="F490" s="32"/>
      <c r="G490" s="32"/>
      <c r="H490" s="32"/>
      <c r="K490" s="32"/>
    </row>
    <row r="491" ht="15.75" customHeight="1">
      <c r="A491" s="32"/>
      <c r="C491" s="32"/>
      <c r="D491" s="32"/>
      <c r="E491" s="32"/>
      <c r="F491" s="32"/>
      <c r="G491" s="32"/>
      <c r="H491" s="32"/>
      <c r="K491" s="32"/>
    </row>
    <row r="492" ht="15.75" customHeight="1">
      <c r="A492" s="32"/>
      <c r="C492" s="32"/>
      <c r="D492" s="32"/>
      <c r="E492" s="32"/>
      <c r="F492" s="32"/>
      <c r="G492" s="32"/>
      <c r="H492" s="32"/>
      <c r="K492" s="32"/>
    </row>
    <row r="493" ht="15.75" customHeight="1">
      <c r="A493" s="32"/>
      <c r="C493" s="32"/>
      <c r="D493" s="32"/>
      <c r="E493" s="32"/>
      <c r="F493" s="32"/>
      <c r="G493" s="32"/>
      <c r="H493" s="32"/>
      <c r="K493" s="32"/>
    </row>
    <row r="494" ht="15.75" customHeight="1">
      <c r="A494" s="32"/>
      <c r="C494" s="32"/>
      <c r="D494" s="32"/>
      <c r="E494" s="32"/>
      <c r="F494" s="32"/>
      <c r="G494" s="32"/>
      <c r="H494" s="32"/>
      <c r="K494" s="32"/>
    </row>
    <row r="495" ht="15.75" customHeight="1">
      <c r="A495" s="32"/>
      <c r="C495" s="32"/>
      <c r="D495" s="32"/>
      <c r="E495" s="32"/>
      <c r="F495" s="32"/>
      <c r="G495" s="32"/>
      <c r="H495" s="32"/>
      <c r="K495" s="32"/>
    </row>
    <row r="496" ht="15.75" customHeight="1">
      <c r="A496" s="32"/>
      <c r="C496" s="32"/>
      <c r="D496" s="32"/>
      <c r="E496" s="32"/>
      <c r="F496" s="32"/>
      <c r="G496" s="32"/>
      <c r="H496" s="32"/>
      <c r="K496" s="32"/>
    </row>
    <row r="497" ht="15.75" customHeight="1">
      <c r="A497" s="32"/>
      <c r="C497" s="32"/>
      <c r="D497" s="32"/>
      <c r="E497" s="32"/>
      <c r="F497" s="32"/>
      <c r="G497" s="32"/>
      <c r="H497" s="32"/>
      <c r="K497" s="32"/>
    </row>
    <row r="498" ht="15.75" customHeight="1">
      <c r="A498" s="32"/>
      <c r="C498" s="32"/>
      <c r="D498" s="32"/>
      <c r="E498" s="32"/>
      <c r="F498" s="32"/>
      <c r="G498" s="32"/>
      <c r="H498" s="32"/>
      <c r="K498" s="32"/>
    </row>
    <row r="499" ht="15.75" customHeight="1">
      <c r="A499" s="32"/>
      <c r="C499" s="32"/>
      <c r="D499" s="32"/>
      <c r="E499" s="32"/>
      <c r="F499" s="32"/>
      <c r="G499" s="32"/>
      <c r="H499" s="32"/>
      <c r="K499" s="32"/>
    </row>
    <row r="500" ht="15.75" customHeight="1">
      <c r="A500" s="32"/>
      <c r="C500" s="32"/>
      <c r="D500" s="32"/>
      <c r="E500" s="32"/>
      <c r="F500" s="32"/>
      <c r="G500" s="32"/>
      <c r="H500" s="32"/>
      <c r="K500" s="32"/>
    </row>
    <row r="501" ht="15.75" customHeight="1">
      <c r="A501" s="32"/>
      <c r="C501" s="32"/>
      <c r="D501" s="32"/>
      <c r="E501" s="32"/>
      <c r="F501" s="32"/>
      <c r="G501" s="32"/>
      <c r="H501" s="32"/>
      <c r="K501" s="32"/>
    </row>
    <row r="502" ht="15.75" customHeight="1">
      <c r="A502" s="32"/>
      <c r="C502" s="32"/>
      <c r="D502" s="32"/>
      <c r="E502" s="32"/>
      <c r="F502" s="32"/>
      <c r="G502" s="32"/>
      <c r="H502" s="32"/>
      <c r="K502" s="32"/>
    </row>
    <row r="503" ht="15.75" customHeight="1">
      <c r="A503" s="32"/>
      <c r="C503" s="32"/>
      <c r="D503" s="32"/>
      <c r="E503" s="32"/>
      <c r="F503" s="32"/>
      <c r="G503" s="32"/>
      <c r="H503" s="32"/>
      <c r="K503" s="32"/>
    </row>
    <row r="504" ht="15.75" customHeight="1">
      <c r="A504" s="32"/>
      <c r="C504" s="32"/>
      <c r="D504" s="32"/>
      <c r="E504" s="32"/>
      <c r="F504" s="32"/>
      <c r="G504" s="32"/>
      <c r="H504" s="32"/>
      <c r="K504" s="32"/>
    </row>
    <row r="505" ht="15.75" customHeight="1">
      <c r="A505" s="32"/>
      <c r="C505" s="32"/>
      <c r="D505" s="32"/>
      <c r="E505" s="32"/>
      <c r="F505" s="32"/>
      <c r="G505" s="32"/>
      <c r="H505" s="32"/>
      <c r="K505" s="32"/>
    </row>
    <row r="506" ht="15.75" customHeight="1">
      <c r="A506" s="32"/>
      <c r="C506" s="32"/>
      <c r="D506" s="32"/>
      <c r="E506" s="32"/>
      <c r="F506" s="32"/>
      <c r="G506" s="32"/>
      <c r="H506" s="32"/>
      <c r="K506" s="32"/>
    </row>
    <row r="507" ht="15.75" customHeight="1">
      <c r="A507" s="32"/>
      <c r="C507" s="32"/>
      <c r="D507" s="32"/>
      <c r="E507" s="32"/>
      <c r="F507" s="32"/>
      <c r="G507" s="32"/>
      <c r="H507" s="32"/>
      <c r="K507" s="32"/>
    </row>
    <row r="508" ht="15.75" customHeight="1">
      <c r="A508" s="32"/>
      <c r="C508" s="32"/>
      <c r="D508" s="32"/>
      <c r="E508" s="32"/>
      <c r="F508" s="32"/>
      <c r="G508" s="32"/>
      <c r="H508" s="32"/>
      <c r="K508" s="32"/>
    </row>
    <row r="509" ht="15.75" customHeight="1">
      <c r="A509" s="32"/>
      <c r="C509" s="32"/>
      <c r="D509" s="32"/>
      <c r="E509" s="32"/>
      <c r="F509" s="32"/>
      <c r="G509" s="32"/>
      <c r="H509" s="32"/>
      <c r="K509" s="32"/>
    </row>
    <row r="510" ht="15.75" customHeight="1">
      <c r="A510" s="32"/>
      <c r="C510" s="32"/>
      <c r="D510" s="32"/>
      <c r="E510" s="32"/>
      <c r="F510" s="32"/>
      <c r="G510" s="32"/>
      <c r="H510" s="32"/>
      <c r="K510" s="32"/>
    </row>
    <row r="511" ht="15.75" customHeight="1">
      <c r="A511" s="32"/>
      <c r="C511" s="32"/>
      <c r="D511" s="32"/>
      <c r="E511" s="32"/>
      <c r="F511" s="32"/>
      <c r="G511" s="32"/>
      <c r="H511" s="32"/>
      <c r="K511" s="32"/>
    </row>
    <row r="512" ht="15.75" customHeight="1">
      <c r="A512" s="32"/>
      <c r="C512" s="32"/>
      <c r="D512" s="32"/>
      <c r="E512" s="32"/>
      <c r="F512" s="32"/>
      <c r="G512" s="32"/>
      <c r="H512" s="32"/>
      <c r="K512" s="32"/>
    </row>
    <row r="513" ht="15.75" customHeight="1">
      <c r="A513" s="32"/>
      <c r="C513" s="32"/>
      <c r="D513" s="32"/>
      <c r="E513" s="32"/>
      <c r="F513" s="32"/>
      <c r="G513" s="32"/>
      <c r="H513" s="32"/>
      <c r="K513" s="32"/>
    </row>
    <row r="514" ht="15.75" customHeight="1">
      <c r="A514" s="32"/>
      <c r="C514" s="32"/>
      <c r="D514" s="32"/>
      <c r="E514" s="32"/>
      <c r="F514" s="32"/>
      <c r="G514" s="32"/>
      <c r="H514" s="32"/>
      <c r="K514" s="32"/>
    </row>
    <row r="515" ht="15.75" customHeight="1">
      <c r="A515" s="32"/>
      <c r="C515" s="32"/>
      <c r="D515" s="32"/>
      <c r="E515" s="32"/>
      <c r="F515" s="32"/>
      <c r="G515" s="32"/>
      <c r="H515" s="32"/>
      <c r="K515" s="32"/>
    </row>
    <row r="516" ht="15.75" customHeight="1">
      <c r="A516" s="32"/>
      <c r="C516" s="32"/>
      <c r="D516" s="32"/>
      <c r="E516" s="32"/>
      <c r="F516" s="32"/>
      <c r="G516" s="32"/>
      <c r="H516" s="32"/>
      <c r="K516" s="32"/>
    </row>
    <row r="517" ht="15.75" customHeight="1">
      <c r="A517" s="32"/>
      <c r="C517" s="32"/>
      <c r="D517" s="32"/>
      <c r="E517" s="32"/>
      <c r="F517" s="32"/>
      <c r="G517" s="32"/>
      <c r="H517" s="32"/>
      <c r="K517" s="32"/>
    </row>
    <row r="518" ht="15.75" customHeight="1">
      <c r="A518" s="32"/>
      <c r="C518" s="32"/>
      <c r="D518" s="32"/>
      <c r="E518" s="32"/>
      <c r="F518" s="32"/>
      <c r="G518" s="32"/>
      <c r="H518" s="32"/>
      <c r="K518" s="32"/>
    </row>
    <row r="519" ht="15.75" customHeight="1">
      <c r="A519" s="32"/>
      <c r="C519" s="32"/>
      <c r="D519" s="32"/>
      <c r="E519" s="32"/>
      <c r="F519" s="32"/>
      <c r="G519" s="32"/>
      <c r="H519" s="32"/>
      <c r="K519" s="32"/>
    </row>
    <row r="520" ht="15.75" customHeight="1">
      <c r="A520" s="32"/>
      <c r="C520" s="32"/>
      <c r="D520" s="32"/>
      <c r="E520" s="32"/>
      <c r="F520" s="32"/>
      <c r="G520" s="32"/>
      <c r="H520" s="32"/>
      <c r="K520" s="32"/>
    </row>
    <row r="521" ht="15.75" customHeight="1">
      <c r="A521" s="32"/>
      <c r="C521" s="32"/>
      <c r="D521" s="32"/>
      <c r="E521" s="32"/>
      <c r="F521" s="32"/>
      <c r="G521" s="32"/>
      <c r="H521" s="32"/>
      <c r="K521" s="32"/>
    </row>
    <row r="522" ht="15.75" customHeight="1">
      <c r="A522" s="32"/>
      <c r="C522" s="32"/>
      <c r="D522" s="32"/>
      <c r="E522" s="32"/>
      <c r="F522" s="32"/>
      <c r="G522" s="32"/>
      <c r="H522" s="32"/>
      <c r="K522" s="32"/>
    </row>
    <row r="523" ht="15.75" customHeight="1">
      <c r="A523" s="32"/>
      <c r="C523" s="32"/>
      <c r="D523" s="32"/>
      <c r="E523" s="32"/>
      <c r="F523" s="32"/>
      <c r="G523" s="32"/>
      <c r="H523" s="32"/>
      <c r="K523" s="32"/>
    </row>
    <row r="524" ht="15.75" customHeight="1">
      <c r="A524" s="32"/>
      <c r="C524" s="32"/>
      <c r="D524" s="32"/>
      <c r="E524" s="32"/>
      <c r="F524" s="32"/>
      <c r="G524" s="32"/>
      <c r="H524" s="32"/>
      <c r="K524" s="32"/>
    </row>
    <row r="525" ht="15.75" customHeight="1">
      <c r="A525" s="32"/>
      <c r="C525" s="32"/>
      <c r="D525" s="32"/>
      <c r="E525" s="32"/>
      <c r="F525" s="32"/>
      <c r="G525" s="32"/>
      <c r="H525" s="32"/>
      <c r="K525" s="32"/>
    </row>
    <row r="526" ht="15.75" customHeight="1">
      <c r="A526" s="32"/>
      <c r="C526" s="32"/>
      <c r="D526" s="32"/>
      <c r="E526" s="32"/>
      <c r="F526" s="32"/>
      <c r="G526" s="32"/>
      <c r="H526" s="32"/>
      <c r="K526" s="32"/>
    </row>
    <row r="527" ht="15.75" customHeight="1">
      <c r="A527" s="32"/>
      <c r="C527" s="32"/>
      <c r="D527" s="32"/>
      <c r="E527" s="32"/>
      <c r="F527" s="32"/>
      <c r="G527" s="32"/>
      <c r="H527" s="32"/>
      <c r="K527" s="32"/>
    </row>
    <row r="528" ht="15.75" customHeight="1">
      <c r="A528" s="32"/>
      <c r="C528" s="32"/>
      <c r="D528" s="32"/>
      <c r="E528" s="32"/>
      <c r="F528" s="32"/>
      <c r="G528" s="32"/>
      <c r="H528" s="32"/>
      <c r="K528" s="32"/>
    </row>
    <row r="529" ht="15.75" customHeight="1">
      <c r="A529" s="32"/>
      <c r="C529" s="32"/>
      <c r="D529" s="32"/>
      <c r="E529" s="32"/>
      <c r="F529" s="32"/>
      <c r="G529" s="32"/>
      <c r="H529" s="32"/>
      <c r="K529" s="32"/>
    </row>
    <row r="530" ht="15.75" customHeight="1">
      <c r="A530" s="32"/>
      <c r="C530" s="32"/>
      <c r="D530" s="32"/>
      <c r="E530" s="32"/>
      <c r="F530" s="32"/>
      <c r="G530" s="32"/>
      <c r="H530" s="32"/>
      <c r="K530" s="32"/>
    </row>
    <row r="531" ht="15.75" customHeight="1">
      <c r="A531" s="32"/>
      <c r="C531" s="32"/>
      <c r="D531" s="32"/>
      <c r="E531" s="32"/>
      <c r="F531" s="32"/>
      <c r="G531" s="32"/>
      <c r="H531" s="32"/>
      <c r="K531" s="32"/>
    </row>
    <row r="532" ht="15.75" customHeight="1">
      <c r="A532" s="32"/>
      <c r="C532" s="32"/>
      <c r="D532" s="32"/>
      <c r="E532" s="32"/>
      <c r="F532" s="32"/>
      <c r="G532" s="32"/>
      <c r="H532" s="32"/>
      <c r="K532" s="32"/>
    </row>
    <row r="533" ht="15.75" customHeight="1">
      <c r="A533" s="32"/>
      <c r="C533" s="32"/>
      <c r="D533" s="32"/>
      <c r="E533" s="32"/>
      <c r="F533" s="32"/>
      <c r="G533" s="32"/>
      <c r="H533" s="32"/>
      <c r="K533" s="32"/>
    </row>
    <row r="534" ht="15.75" customHeight="1">
      <c r="A534" s="32"/>
      <c r="C534" s="32"/>
      <c r="D534" s="32"/>
      <c r="E534" s="32"/>
      <c r="F534" s="32"/>
      <c r="G534" s="32"/>
      <c r="H534" s="32"/>
      <c r="K534" s="32"/>
    </row>
    <row r="535" ht="15.75" customHeight="1">
      <c r="A535" s="32"/>
      <c r="C535" s="32"/>
      <c r="D535" s="32"/>
      <c r="E535" s="32"/>
      <c r="F535" s="32"/>
      <c r="G535" s="32"/>
      <c r="H535" s="32"/>
      <c r="K535" s="32"/>
    </row>
    <row r="536" ht="15.75" customHeight="1">
      <c r="A536" s="32"/>
      <c r="C536" s="32"/>
      <c r="D536" s="32"/>
      <c r="E536" s="32"/>
      <c r="F536" s="32"/>
      <c r="G536" s="32"/>
      <c r="H536" s="32"/>
      <c r="K536" s="32"/>
    </row>
    <row r="537" ht="15.75" customHeight="1">
      <c r="A537" s="32"/>
      <c r="C537" s="32"/>
      <c r="D537" s="32"/>
      <c r="E537" s="32"/>
      <c r="F537" s="32"/>
      <c r="G537" s="32"/>
      <c r="H537" s="32"/>
      <c r="K537" s="32"/>
    </row>
    <row r="538" ht="15.75" customHeight="1">
      <c r="A538" s="32"/>
      <c r="C538" s="32"/>
      <c r="D538" s="32"/>
      <c r="E538" s="32"/>
      <c r="F538" s="32"/>
      <c r="G538" s="32"/>
      <c r="H538" s="32"/>
      <c r="K538" s="32"/>
    </row>
    <row r="539" ht="15.75" customHeight="1">
      <c r="A539" s="32"/>
      <c r="C539" s="32"/>
      <c r="D539" s="32"/>
      <c r="E539" s="32"/>
      <c r="F539" s="32"/>
      <c r="G539" s="32"/>
      <c r="H539" s="32"/>
      <c r="K539" s="32"/>
    </row>
    <row r="540" ht="15.75" customHeight="1">
      <c r="A540" s="32"/>
      <c r="C540" s="32"/>
      <c r="D540" s="32"/>
      <c r="E540" s="32"/>
      <c r="F540" s="32"/>
      <c r="G540" s="32"/>
      <c r="H540" s="32"/>
      <c r="K540" s="32"/>
    </row>
    <row r="541" ht="15.75" customHeight="1">
      <c r="A541" s="32"/>
      <c r="C541" s="32"/>
      <c r="D541" s="32"/>
      <c r="E541" s="32"/>
      <c r="F541" s="32"/>
      <c r="G541" s="32"/>
      <c r="H541" s="32"/>
      <c r="K541" s="32"/>
    </row>
    <row r="542" ht="15.75" customHeight="1">
      <c r="A542" s="32"/>
      <c r="C542" s="32"/>
      <c r="D542" s="32"/>
      <c r="E542" s="32"/>
      <c r="F542" s="32"/>
      <c r="G542" s="32"/>
      <c r="H542" s="32"/>
      <c r="K542" s="32"/>
    </row>
    <row r="543" ht="15.75" customHeight="1">
      <c r="A543" s="32"/>
      <c r="C543" s="32"/>
      <c r="D543" s="32"/>
      <c r="E543" s="32"/>
      <c r="F543" s="32"/>
      <c r="G543" s="32"/>
      <c r="H543" s="32"/>
      <c r="K543" s="32"/>
    </row>
    <row r="544" ht="15.75" customHeight="1">
      <c r="A544" s="32"/>
      <c r="C544" s="32"/>
      <c r="D544" s="32"/>
      <c r="E544" s="32"/>
      <c r="F544" s="32"/>
      <c r="G544" s="32"/>
      <c r="H544" s="32"/>
      <c r="K544" s="32"/>
    </row>
    <row r="545" ht="15.75" customHeight="1">
      <c r="A545" s="32"/>
      <c r="C545" s="32"/>
      <c r="D545" s="32"/>
      <c r="E545" s="32"/>
      <c r="F545" s="32"/>
      <c r="G545" s="32"/>
      <c r="H545" s="32"/>
      <c r="K545" s="32"/>
    </row>
    <row r="546" ht="15.75" customHeight="1">
      <c r="A546" s="32"/>
      <c r="C546" s="32"/>
      <c r="D546" s="32"/>
      <c r="E546" s="32"/>
      <c r="F546" s="32"/>
      <c r="G546" s="32"/>
      <c r="H546" s="32"/>
      <c r="K546" s="32"/>
    </row>
    <row r="547" ht="15.75" customHeight="1">
      <c r="A547" s="32"/>
      <c r="C547" s="32"/>
      <c r="D547" s="32"/>
      <c r="E547" s="32"/>
      <c r="F547" s="32"/>
      <c r="G547" s="32"/>
      <c r="H547" s="32"/>
      <c r="K547" s="32"/>
    </row>
    <row r="548" ht="15.75" customHeight="1">
      <c r="A548" s="32"/>
      <c r="C548" s="32"/>
      <c r="D548" s="32"/>
      <c r="E548" s="32"/>
      <c r="F548" s="32"/>
      <c r="G548" s="32"/>
      <c r="H548" s="32"/>
      <c r="K548" s="32"/>
    </row>
    <row r="549" ht="15.75" customHeight="1">
      <c r="A549" s="32"/>
      <c r="C549" s="32"/>
      <c r="D549" s="32"/>
      <c r="E549" s="32"/>
      <c r="F549" s="32"/>
      <c r="G549" s="32"/>
      <c r="H549" s="32"/>
      <c r="K549" s="32"/>
    </row>
    <row r="550" ht="15.75" customHeight="1">
      <c r="A550" s="32"/>
      <c r="C550" s="32"/>
      <c r="D550" s="32"/>
      <c r="E550" s="32"/>
      <c r="F550" s="32"/>
      <c r="G550" s="32"/>
      <c r="H550" s="32"/>
      <c r="K550" s="32"/>
    </row>
    <row r="551" ht="15.75" customHeight="1">
      <c r="A551" s="32"/>
      <c r="C551" s="32"/>
      <c r="D551" s="32"/>
      <c r="E551" s="32"/>
      <c r="F551" s="32"/>
      <c r="G551" s="32"/>
      <c r="H551" s="32"/>
      <c r="K551" s="32"/>
    </row>
    <row r="552" ht="15.75" customHeight="1">
      <c r="A552" s="32"/>
      <c r="C552" s="32"/>
      <c r="D552" s="32"/>
      <c r="E552" s="32"/>
      <c r="F552" s="32"/>
      <c r="G552" s="32"/>
      <c r="H552" s="32"/>
      <c r="K552" s="32"/>
    </row>
    <row r="553" ht="15.75" customHeight="1">
      <c r="A553" s="32"/>
      <c r="C553" s="32"/>
      <c r="D553" s="32"/>
      <c r="E553" s="32"/>
      <c r="F553" s="32"/>
      <c r="G553" s="32"/>
      <c r="H553" s="32"/>
      <c r="K553" s="32"/>
    </row>
    <row r="554" ht="15.75" customHeight="1">
      <c r="A554" s="32"/>
      <c r="C554" s="32"/>
      <c r="D554" s="32"/>
      <c r="E554" s="32"/>
      <c r="F554" s="32"/>
      <c r="G554" s="32"/>
      <c r="H554" s="32"/>
      <c r="K554" s="32"/>
    </row>
    <row r="555" ht="15.75" customHeight="1">
      <c r="A555" s="32"/>
      <c r="C555" s="32"/>
      <c r="D555" s="32"/>
      <c r="E555" s="32"/>
      <c r="F555" s="32"/>
      <c r="G555" s="32"/>
      <c r="H555" s="32"/>
      <c r="K555" s="32"/>
    </row>
    <row r="556" ht="15.75" customHeight="1">
      <c r="A556" s="32"/>
      <c r="C556" s="32"/>
      <c r="D556" s="32"/>
      <c r="E556" s="32"/>
      <c r="F556" s="32"/>
      <c r="G556" s="32"/>
      <c r="H556" s="32"/>
      <c r="K556" s="32"/>
    </row>
    <row r="557" ht="15.75" customHeight="1">
      <c r="A557" s="32"/>
      <c r="C557" s="32"/>
      <c r="D557" s="32"/>
      <c r="E557" s="32"/>
      <c r="F557" s="32"/>
      <c r="G557" s="32"/>
      <c r="H557" s="32"/>
      <c r="K557" s="32"/>
    </row>
    <row r="558" ht="15.75" customHeight="1">
      <c r="A558" s="32"/>
      <c r="C558" s="32"/>
      <c r="D558" s="32"/>
      <c r="E558" s="32"/>
      <c r="F558" s="32"/>
      <c r="G558" s="32"/>
      <c r="H558" s="32"/>
      <c r="K558" s="32"/>
    </row>
    <row r="559" ht="15.75" customHeight="1">
      <c r="A559" s="32"/>
      <c r="C559" s="32"/>
      <c r="D559" s="32"/>
      <c r="E559" s="32"/>
      <c r="F559" s="32"/>
      <c r="G559" s="32"/>
      <c r="H559" s="32"/>
      <c r="K559" s="32"/>
    </row>
    <row r="560" ht="15.75" customHeight="1">
      <c r="A560" s="32"/>
      <c r="C560" s="32"/>
      <c r="D560" s="32"/>
      <c r="E560" s="32"/>
      <c r="F560" s="32"/>
      <c r="G560" s="32"/>
      <c r="H560" s="32"/>
      <c r="K560" s="32"/>
    </row>
    <row r="561" ht="15.75" customHeight="1">
      <c r="A561" s="32"/>
      <c r="C561" s="32"/>
      <c r="D561" s="32"/>
      <c r="E561" s="32"/>
      <c r="F561" s="32"/>
      <c r="G561" s="32"/>
      <c r="H561" s="32"/>
      <c r="K561" s="32"/>
    </row>
    <row r="562" ht="15.75" customHeight="1">
      <c r="A562" s="32"/>
      <c r="C562" s="32"/>
      <c r="D562" s="32"/>
      <c r="E562" s="32"/>
      <c r="F562" s="32"/>
      <c r="G562" s="32"/>
      <c r="H562" s="32"/>
      <c r="K562" s="32"/>
    </row>
    <row r="563" ht="15.75" customHeight="1">
      <c r="A563" s="32"/>
      <c r="C563" s="32"/>
      <c r="D563" s="32"/>
      <c r="E563" s="32"/>
      <c r="F563" s="32"/>
      <c r="G563" s="32"/>
      <c r="H563" s="32"/>
      <c r="K563" s="32"/>
    </row>
    <row r="564" ht="15.75" customHeight="1">
      <c r="A564" s="32"/>
      <c r="C564" s="32"/>
      <c r="D564" s="32"/>
      <c r="E564" s="32"/>
      <c r="F564" s="32"/>
      <c r="G564" s="32"/>
      <c r="H564" s="32"/>
      <c r="K564" s="32"/>
    </row>
    <row r="565" ht="15.75" customHeight="1">
      <c r="A565" s="32"/>
      <c r="C565" s="32"/>
      <c r="D565" s="32"/>
      <c r="E565" s="32"/>
      <c r="F565" s="32"/>
      <c r="G565" s="32"/>
      <c r="H565" s="32"/>
      <c r="K565" s="32"/>
    </row>
    <row r="566" ht="15.75" customHeight="1">
      <c r="A566" s="32"/>
      <c r="C566" s="32"/>
      <c r="D566" s="32"/>
      <c r="E566" s="32"/>
      <c r="F566" s="32"/>
      <c r="G566" s="32"/>
      <c r="H566" s="32"/>
      <c r="K566" s="32"/>
    </row>
    <row r="567" ht="15.75" customHeight="1">
      <c r="A567" s="32"/>
      <c r="C567" s="32"/>
      <c r="D567" s="32"/>
      <c r="E567" s="32"/>
      <c r="F567" s="32"/>
      <c r="G567" s="32"/>
      <c r="H567" s="32"/>
      <c r="K567" s="32"/>
    </row>
    <row r="568" ht="15.75" customHeight="1">
      <c r="A568" s="32"/>
      <c r="C568" s="32"/>
      <c r="D568" s="32"/>
      <c r="E568" s="32"/>
      <c r="F568" s="32"/>
      <c r="G568" s="32"/>
      <c r="H568" s="32"/>
      <c r="K568" s="32"/>
    </row>
    <row r="569" ht="15.75" customHeight="1">
      <c r="A569" s="32"/>
      <c r="C569" s="32"/>
      <c r="D569" s="32"/>
      <c r="E569" s="32"/>
      <c r="F569" s="32"/>
      <c r="G569" s="32"/>
      <c r="H569" s="32"/>
      <c r="K569" s="32"/>
    </row>
    <row r="570" ht="15.75" customHeight="1">
      <c r="A570" s="32"/>
      <c r="C570" s="32"/>
      <c r="D570" s="32"/>
      <c r="E570" s="32"/>
      <c r="F570" s="32"/>
      <c r="G570" s="32"/>
      <c r="H570" s="32"/>
      <c r="K570" s="32"/>
    </row>
    <row r="571" ht="15.75" customHeight="1">
      <c r="A571" s="32"/>
      <c r="C571" s="32"/>
      <c r="D571" s="32"/>
      <c r="E571" s="32"/>
      <c r="F571" s="32"/>
      <c r="G571" s="32"/>
      <c r="H571" s="32"/>
      <c r="K571" s="32"/>
    </row>
    <row r="572" ht="15.75" customHeight="1">
      <c r="A572" s="32"/>
      <c r="C572" s="32"/>
      <c r="D572" s="32"/>
      <c r="E572" s="32"/>
      <c r="F572" s="32"/>
      <c r="G572" s="32"/>
      <c r="H572" s="32"/>
      <c r="K572" s="32"/>
    </row>
    <row r="573" ht="15.75" customHeight="1">
      <c r="A573" s="32"/>
      <c r="C573" s="32"/>
      <c r="D573" s="32"/>
      <c r="E573" s="32"/>
      <c r="F573" s="32"/>
      <c r="G573" s="32"/>
      <c r="H573" s="32"/>
      <c r="K573" s="32"/>
    </row>
    <row r="574" ht="15.75" customHeight="1">
      <c r="A574" s="32"/>
      <c r="C574" s="32"/>
      <c r="D574" s="32"/>
      <c r="E574" s="32"/>
      <c r="F574" s="32"/>
      <c r="G574" s="32"/>
      <c r="H574" s="32"/>
      <c r="K574" s="32"/>
    </row>
    <row r="575" ht="15.75" customHeight="1">
      <c r="A575" s="32"/>
      <c r="C575" s="32"/>
      <c r="D575" s="32"/>
      <c r="E575" s="32"/>
      <c r="F575" s="32"/>
      <c r="G575" s="32"/>
      <c r="H575" s="32"/>
      <c r="K575" s="32"/>
    </row>
    <row r="576" ht="15.75" customHeight="1">
      <c r="A576" s="32"/>
      <c r="C576" s="32"/>
      <c r="D576" s="32"/>
      <c r="E576" s="32"/>
      <c r="F576" s="32"/>
      <c r="G576" s="32"/>
      <c r="H576" s="32"/>
      <c r="K576" s="32"/>
    </row>
    <row r="577" ht="15.75" customHeight="1">
      <c r="A577" s="32"/>
      <c r="C577" s="32"/>
      <c r="D577" s="32"/>
      <c r="E577" s="32"/>
      <c r="F577" s="32"/>
      <c r="G577" s="32"/>
      <c r="H577" s="32"/>
      <c r="K577" s="32"/>
    </row>
    <row r="578" ht="15.75" customHeight="1">
      <c r="A578" s="32"/>
      <c r="C578" s="32"/>
      <c r="D578" s="32"/>
      <c r="E578" s="32"/>
      <c r="F578" s="32"/>
      <c r="G578" s="32"/>
      <c r="H578" s="32"/>
      <c r="K578" s="32"/>
    </row>
    <row r="579" ht="15.75" customHeight="1">
      <c r="A579" s="32"/>
      <c r="C579" s="32"/>
      <c r="D579" s="32"/>
      <c r="E579" s="32"/>
      <c r="F579" s="32"/>
      <c r="G579" s="32"/>
      <c r="H579" s="32"/>
      <c r="K579" s="32"/>
    </row>
    <row r="580" ht="15.75" customHeight="1">
      <c r="A580" s="32"/>
      <c r="C580" s="32"/>
      <c r="D580" s="32"/>
      <c r="E580" s="32"/>
      <c r="F580" s="32"/>
      <c r="G580" s="32"/>
      <c r="H580" s="32"/>
      <c r="K580" s="32"/>
    </row>
    <row r="581" ht="15.75" customHeight="1">
      <c r="A581" s="32"/>
      <c r="C581" s="32"/>
      <c r="D581" s="32"/>
      <c r="E581" s="32"/>
      <c r="F581" s="32"/>
      <c r="G581" s="32"/>
      <c r="H581" s="32"/>
      <c r="K581" s="32"/>
    </row>
    <row r="582" ht="15.75" customHeight="1">
      <c r="A582" s="32"/>
      <c r="C582" s="32"/>
      <c r="D582" s="32"/>
      <c r="E582" s="32"/>
      <c r="F582" s="32"/>
      <c r="G582" s="32"/>
      <c r="H582" s="32"/>
      <c r="K582" s="32"/>
    </row>
    <row r="583" ht="15.75" customHeight="1">
      <c r="A583" s="32"/>
      <c r="C583" s="32"/>
      <c r="D583" s="32"/>
      <c r="E583" s="32"/>
      <c r="F583" s="32"/>
      <c r="G583" s="32"/>
      <c r="H583" s="32"/>
      <c r="K583" s="32"/>
    </row>
    <row r="584" ht="15.75" customHeight="1">
      <c r="A584" s="32"/>
      <c r="C584" s="32"/>
      <c r="D584" s="32"/>
      <c r="E584" s="32"/>
      <c r="F584" s="32"/>
      <c r="G584" s="32"/>
      <c r="H584" s="32"/>
      <c r="K584" s="32"/>
    </row>
    <row r="585" ht="15.75" customHeight="1">
      <c r="A585" s="32"/>
      <c r="C585" s="32"/>
      <c r="D585" s="32"/>
      <c r="E585" s="32"/>
      <c r="F585" s="32"/>
      <c r="G585" s="32"/>
      <c r="H585" s="32"/>
      <c r="K585" s="32"/>
    </row>
    <row r="586" ht="15.75" customHeight="1">
      <c r="A586" s="32"/>
      <c r="C586" s="32"/>
      <c r="D586" s="32"/>
      <c r="E586" s="32"/>
      <c r="F586" s="32"/>
      <c r="G586" s="32"/>
      <c r="H586" s="32"/>
      <c r="K586" s="32"/>
    </row>
    <row r="587" ht="15.75" customHeight="1">
      <c r="A587" s="32"/>
      <c r="C587" s="32"/>
      <c r="D587" s="32"/>
      <c r="E587" s="32"/>
      <c r="F587" s="32"/>
      <c r="G587" s="32"/>
      <c r="H587" s="32"/>
      <c r="K587" s="32"/>
    </row>
    <row r="588" ht="15.75" customHeight="1">
      <c r="A588" s="32"/>
      <c r="C588" s="32"/>
      <c r="D588" s="32"/>
      <c r="E588" s="32"/>
      <c r="F588" s="32"/>
      <c r="G588" s="32"/>
      <c r="H588" s="32"/>
      <c r="K588" s="32"/>
    </row>
    <row r="589" ht="15.75" customHeight="1">
      <c r="A589" s="32"/>
      <c r="C589" s="32"/>
      <c r="D589" s="32"/>
      <c r="E589" s="32"/>
      <c r="F589" s="32"/>
      <c r="G589" s="32"/>
      <c r="H589" s="32"/>
      <c r="K589" s="32"/>
    </row>
    <row r="590" ht="15.75" customHeight="1">
      <c r="A590" s="32"/>
      <c r="C590" s="32"/>
      <c r="D590" s="32"/>
      <c r="E590" s="32"/>
      <c r="F590" s="32"/>
      <c r="G590" s="32"/>
      <c r="H590" s="32"/>
      <c r="K590" s="32"/>
    </row>
    <row r="591" ht="15.75" customHeight="1">
      <c r="A591" s="32"/>
      <c r="C591" s="32"/>
      <c r="D591" s="32"/>
      <c r="E591" s="32"/>
      <c r="F591" s="32"/>
      <c r="G591" s="32"/>
      <c r="H591" s="32"/>
      <c r="K591" s="32"/>
    </row>
    <row r="592" ht="15.75" customHeight="1">
      <c r="A592" s="32"/>
      <c r="C592" s="32"/>
      <c r="D592" s="32"/>
      <c r="E592" s="32"/>
      <c r="F592" s="32"/>
      <c r="G592" s="32"/>
      <c r="H592" s="32"/>
      <c r="K592" s="32"/>
    </row>
    <row r="593" ht="15.75" customHeight="1">
      <c r="A593" s="32"/>
      <c r="C593" s="32"/>
      <c r="D593" s="32"/>
      <c r="E593" s="32"/>
      <c r="F593" s="32"/>
      <c r="G593" s="32"/>
      <c r="H593" s="32"/>
      <c r="K593" s="32"/>
    </row>
    <row r="594" ht="15.75" customHeight="1">
      <c r="A594" s="32"/>
      <c r="C594" s="32"/>
      <c r="D594" s="32"/>
      <c r="E594" s="32"/>
      <c r="F594" s="32"/>
      <c r="G594" s="32"/>
      <c r="H594" s="32"/>
      <c r="K594" s="32"/>
    </row>
    <row r="595" ht="15.75" customHeight="1">
      <c r="A595" s="32"/>
      <c r="C595" s="32"/>
      <c r="D595" s="32"/>
      <c r="E595" s="32"/>
      <c r="F595" s="32"/>
      <c r="G595" s="32"/>
      <c r="H595" s="32"/>
      <c r="K595" s="32"/>
    </row>
    <row r="596" ht="15.75" customHeight="1">
      <c r="A596" s="32"/>
      <c r="C596" s="32"/>
      <c r="D596" s="32"/>
      <c r="E596" s="32"/>
      <c r="F596" s="32"/>
      <c r="G596" s="32"/>
      <c r="H596" s="32"/>
      <c r="K596" s="32"/>
    </row>
    <row r="597" ht="15.75" customHeight="1">
      <c r="A597" s="32"/>
      <c r="C597" s="32"/>
      <c r="D597" s="32"/>
      <c r="E597" s="32"/>
      <c r="F597" s="32"/>
      <c r="G597" s="32"/>
      <c r="H597" s="32"/>
      <c r="K597" s="32"/>
    </row>
    <row r="598" ht="15.75" customHeight="1">
      <c r="A598" s="32"/>
      <c r="C598" s="32"/>
      <c r="D598" s="32"/>
      <c r="E598" s="32"/>
      <c r="F598" s="32"/>
      <c r="G598" s="32"/>
      <c r="H598" s="32"/>
      <c r="K598" s="32"/>
    </row>
    <row r="599" ht="15.75" customHeight="1">
      <c r="A599" s="32"/>
      <c r="C599" s="32"/>
      <c r="D599" s="32"/>
      <c r="E599" s="32"/>
      <c r="F599" s="32"/>
      <c r="G599" s="32"/>
      <c r="H599" s="32"/>
      <c r="K599" s="32"/>
    </row>
    <row r="600" ht="15.75" customHeight="1">
      <c r="A600" s="32"/>
      <c r="C600" s="32"/>
      <c r="D600" s="32"/>
      <c r="E600" s="32"/>
      <c r="F600" s="32"/>
      <c r="G600" s="32"/>
      <c r="H600" s="32"/>
      <c r="K600" s="32"/>
    </row>
    <row r="601" ht="15.75" customHeight="1">
      <c r="A601" s="32"/>
      <c r="C601" s="32"/>
      <c r="D601" s="32"/>
      <c r="E601" s="32"/>
      <c r="F601" s="32"/>
      <c r="G601" s="32"/>
      <c r="H601" s="32"/>
      <c r="K601" s="32"/>
    </row>
    <row r="602" ht="15.75" customHeight="1">
      <c r="A602" s="32"/>
      <c r="C602" s="32"/>
      <c r="D602" s="32"/>
      <c r="E602" s="32"/>
      <c r="F602" s="32"/>
      <c r="G602" s="32"/>
      <c r="H602" s="32"/>
      <c r="K602" s="32"/>
    </row>
    <row r="603" ht="15.75" customHeight="1">
      <c r="A603" s="32"/>
      <c r="C603" s="32"/>
      <c r="D603" s="32"/>
      <c r="E603" s="32"/>
      <c r="F603" s="32"/>
      <c r="G603" s="32"/>
      <c r="H603" s="32"/>
      <c r="K603" s="32"/>
    </row>
    <row r="604" ht="15.75" customHeight="1">
      <c r="A604" s="32"/>
      <c r="C604" s="32"/>
      <c r="D604" s="32"/>
      <c r="E604" s="32"/>
      <c r="F604" s="32"/>
      <c r="G604" s="32"/>
      <c r="H604" s="32"/>
      <c r="K604" s="32"/>
    </row>
    <row r="605" ht="15.75" customHeight="1">
      <c r="A605" s="32"/>
      <c r="C605" s="32"/>
      <c r="D605" s="32"/>
      <c r="E605" s="32"/>
      <c r="F605" s="32"/>
      <c r="G605" s="32"/>
      <c r="H605" s="32"/>
      <c r="K605" s="32"/>
    </row>
    <row r="606" ht="15.75" customHeight="1">
      <c r="A606" s="32"/>
      <c r="C606" s="32"/>
      <c r="D606" s="32"/>
      <c r="E606" s="32"/>
      <c r="F606" s="32"/>
      <c r="G606" s="32"/>
      <c r="H606" s="32"/>
      <c r="K606" s="32"/>
    </row>
    <row r="607" ht="15.75" customHeight="1">
      <c r="A607" s="32"/>
      <c r="C607" s="32"/>
      <c r="D607" s="32"/>
      <c r="E607" s="32"/>
      <c r="F607" s="32"/>
      <c r="G607" s="32"/>
      <c r="H607" s="32"/>
      <c r="K607" s="32"/>
    </row>
    <row r="608" ht="15.75" customHeight="1">
      <c r="A608" s="32"/>
      <c r="C608" s="32"/>
      <c r="D608" s="32"/>
      <c r="E608" s="32"/>
      <c r="F608" s="32"/>
      <c r="G608" s="32"/>
      <c r="H608" s="32"/>
      <c r="K608" s="32"/>
    </row>
    <row r="609" ht="15.75" customHeight="1">
      <c r="A609" s="32"/>
      <c r="C609" s="32"/>
      <c r="D609" s="32"/>
      <c r="E609" s="32"/>
      <c r="F609" s="32"/>
      <c r="G609" s="32"/>
      <c r="H609" s="32"/>
      <c r="K609" s="32"/>
    </row>
    <row r="610" ht="15.75" customHeight="1">
      <c r="A610" s="32"/>
      <c r="C610" s="32"/>
      <c r="D610" s="32"/>
      <c r="E610" s="32"/>
      <c r="F610" s="32"/>
      <c r="G610" s="32"/>
      <c r="H610" s="32"/>
      <c r="K610" s="32"/>
    </row>
    <row r="611" ht="15.75" customHeight="1">
      <c r="A611" s="32"/>
      <c r="C611" s="32"/>
      <c r="D611" s="32"/>
      <c r="E611" s="32"/>
      <c r="F611" s="32"/>
      <c r="G611" s="32"/>
      <c r="H611" s="32"/>
      <c r="K611" s="32"/>
    </row>
    <row r="612" ht="15.75" customHeight="1">
      <c r="A612" s="32"/>
      <c r="C612" s="32"/>
      <c r="D612" s="32"/>
      <c r="E612" s="32"/>
      <c r="F612" s="32"/>
      <c r="G612" s="32"/>
      <c r="H612" s="32"/>
      <c r="K612" s="32"/>
    </row>
    <row r="613" ht="15.75" customHeight="1">
      <c r="A613" s="32"/>
      <c r="C613" s="32"/>
      <c r="D613" s="32"/>
      <c r="E613" s="32"/>
      <c r="F613" s="32"/>
      <c r="G613" s="32"/>
      <c r="H613" s="32"/>
      <c r="K613" s="32"/>
    </row>
    <row r="614" ht="15.75" customHeight="1">
      <c r="A614" s="32"/>
      <c r="C614" s="32"/>
      <c r="D614" s="32"/>
      <c r="E614" s="32"/>
      <c r="F614" s="32"/>
      <c r="G614" s="32"/>
      <c r="H614" s="32"/>
      <c r="K614" s="32"/>
    </row>
    <row r="615" ht="15.75" customHeight="1">
      <c r="A615" s="32"/>
      <c r="C615" s="32"/>
      <c r="D615" s="32"/>
      <c r="E615" s="32"/>
      <c r="F615" s="32"/>
      <c r="G615" s="32"/>
      <c r="H615" s="32"/>
      <c r="K615" s="32"/>
    </row>
    <row r="616" ht="15.75" customHeight="1">
      <c r="A616" s="32"/>
      <c r="C616" s="32"/>
      <c r="D616" s="32"/>
      <c r="E616" s="32"/>
      <c r="F616" s="32"/>
      <c r="G616" s="32"/>
      <c r="H616" s="32"/>
      <c r="K616" s="32"/>
    </row>
    <row r="617" ht="15.75" customHeight="1">
      <c r="A617" s="32"/>
      <c r="C617" s="32"/>
      <c r="D617" s="32"/>
      <c r="E617" s="32"/>
      <c r="F617" s="32"/>
      <c r="G617" s="32"/>
      <c r="H617" s="32"/>
      <c r="K617" s="32"/>
    </row>
    <row r="618" ht="15.75" customHeight="1">
      <c r="A618" s="32"/>
      <c r="C618" s="32"/>
      <c r="D618" s="32"/>
      <c r="E618" s="32"/>
      <c r="F618" s="32"/>
      <c r="G618" s="32"/>
      <c r="H618" s="32"/>
      <c r="K618" s="32"/>
    </row>
    <row r="619" ht="15.75" customHeight="1">
      <c r="A619" s="32"/>
      <c r="C619" s="32"/>
      <c r="D619" s="32"/>
      <c r="E619" s="32"/>
      <c r="F619" s="32"/>
      <c r="G619" s="32"/>
      <c r="H619" s="32"/>
      <c r="K619" s="32"/>
    </row>
    <row r="620" ht="15.75" customHeight="1">
      <c r="A620" s="32"/>
      <c r="C620" s="32"/>
      <c r="D620" s="32"/>
      <c r="E620" s="32"/>
      <c r="F620" s="32"/>
      <c r="G620" s="32"/>
      <c r="H620" s="32"/>
      <c r="K620" s="32"/>
    </row>
    <row r="621" ht="15.75" customHeight="1">
      <c r="A621" s="32"/>
      <c r="C621" s="32"/>
      <c r="D621" s="32"/>
      <c r="E621" s="32"/>
      <c r="F621" s="32"/>
      <c r="G621" s="32"/>
      <c r="H621" s="32"/>
      <c r="K621" s="32"/>
    </row>
    <row r="622" ht="15.75" customHeight="1">
      <c r="A622" s="32"/>
      <c r="C622" s="32"/>
      <c r="D622" s="32"/>
      <c r="E622" s="32"/>
      <c r="F622" s="32"/>
      <c r="G622" s="32"/>
      <c r="H622" s="32"/>
      <c r="K622" s="32"/>
    </row>
    <row r="623" ht="15.75" customHeight="1">
      <c r="A623" s="32"/>
      <c r="C623" s="32"/>
      <c r="D623" s="32"/>
      <c r="E623" s="32"/>
      <c r="F623" s="32"/>
      <c r="G623" s="32"/>
      <c r="H623" s="32"/>
      <c r="K623" s="32"/>
    </row>
    <row r="624" ht="15.75" customHeight="1">
      <c r="A624" s="32"/>
      <c r="C624" s="32"/>
      <c r="D624" s="32"/>
      <c r="E624" s="32"/>
      <c r="F624" s="32"/>
      <c r="G624" s="32"/>
      <c r="H624" s="32"/>
      <c r="K624" s="32"/>
    </row>
    <row r="625" ht="15.75" customHeight="1">
      <c r="A625" s="32"/>
      <c r="C625" s="32"/>
      <c r="D625" s="32"/>
      <c r="E625" s="32"/>
      <c r="F625" s="32"/>
      <c r="G625" s="32"/>
      <c r="H625" s="32"/>
      <c r="K625" s="32"/>
    </row>
    <row r="626" ht="15.75" customHeight="1">
      <c r="A626" s="32"/>
      <c r="C626" s="32"/>
      <c r="D626" s="32"/>
      <c r="E626" s="32"/>
      <c r="F626" s="32"/>
      <c r="G626" s="32"/>
      <c r="H626" s="32"/>
      <c r="K626" s="32"/>
    </row>
    <row r="627" ht="15.75" customHeight="1">
      <c r="A627" s="32"/>
      <c r="C627" s="32"/>
      <c r="D627" s="32"/>
      <c r="E627" s="32"/>
      <c r="F627" s="32"/>
      <c r="G627" s="32"/>
      <c r="H627" s="32"/>
      <c r="K627" s="32"/>
    </row>
    <row r="628" ht="15.75" customHeight="1">
      <c r="A628" s="32"/>
      <c r="C628" s="32"/>
      <c r="D628" s="32"/>
      <c r="E628" s="32"/>
      <c r="F628" s="32"/>
      <c r="G628" s="32"/>
      <c r="H628" s="32"/>
      <c r="K628" s="32"/>
    </row>
    <row r="629" ht="15.75" customHeight="1">
      <c r="A629" s="32"/>
      <c r="C629" s="32"/>
      <c r="D629" s="32"/>
      <c r="E629" s="32"/>
      <c r="F629" s="32"/>
      <c r="G629" s="32"/>
      <c r="H629" s="32"/>
      <c r="K629" s="32"/>
    </row>
    <row r="630" ht="15.75" customHeight="1">
      <c r="A630" s="32"/>
      <c r="C630" s="32"/>
      <c r="D630" s="32"/>
      <c r="E630" s="32"/>
      <c r="F630" s="32"/>
      <c r="G630" s="32"/>
      <c r="H630" s="32"/>
      <c r="K630" s="32"/>
    </row>
    <row r="631" ht="15.75" customHeight="1">
      <c r="A631" s="32"/>
      <c r="C631" s="32"/>
      <c r="D631" s="32"/>
      <c r="E631" s="32"/>
      <c r="F631" s="32"/>
      <c r="G631" s="32"/>
      <c r="H631" s="32"/>
      <c r="K631" s="32"/>
    </row>
    <row r="632" ht="15.75" customHeight="1">
      <c r="A632" s="32"/>
      <c r="C632" s="32"/>
      <c r="D632" s="32"/>
      <c r="E632" s="32"/>
      <c r="F632" s="32"/>
      <c r="G632" s="32"/>
      <c r="H632" s="32"/>
      <c r="K632" s="32"/>
    </row>
    <row r="633" ht="15.75" customHeight="1">
      <c r="A633" s="32"/>
      <c r="C633" s="32"/>
      <c r="D633" s="32"/>
      <c r="E633" s="32"/>
      <c r="F633" s="32"/>
      <c r="G633" s="32"/>
      <c r="H633" s="32"/>
      <c r="K633" s="32"/>
    </row>
    <row r="634" ht="15.75" customHeight="1">
      <c r="A634" s="32"/>
      <c r="C634" s="32"/>
      <c r="D634" s="32"/>
      <c r="E634" s="32"/>
      <c r="F634" s="32"/>
      <c r="G634" s="32"/>
      <c r="H634" s="32"/>
      <c r="K634" s="32"/>
    </row>
    <row r="635" ht="15.75" customHeight="1">
      <c r="A635" s="32"/>
      <c r="C635" s="32"/>
      <c r="D635" s="32"/>
      <c r="E635" s="32"/>
      <c r="F635" s="32"/>
      <c r="G635" s="32"/>
      <c r="H635" s="32"/>
      <c r="K635" s="32"/>
    </row>
    <row r="636" ht="15.75" customHeight="1">
      <c r="A636" s="32"/>
      <c r="C636" s="32"/>
      <c r="D636" s="32"/>
      <c r="E636" s="32"/>
      <c r="F636" s="32"/>
      <c r="G636" s="32"/>
      <c r="H636" s="32"/>
      <c r="K636" s="32"/>
    </row>
    <row r="637" ht="15.75" customHeight="1">
      <c r="A637" s="32"/>
      <c r="C637" s="32"/>
      <c r="D637" s="32"/>
      <c r="E637" s="32"/>
      <c r="F637" s="32"/>
      <c r="G637" s="32"/>
      <c r="H637" s="32"/>
      <c r="K637" s="32"/>
    </row>
    <row r="638" ht="15.75" customHeight="1">
      <c r="A638" s="32"/>
      <c r="C638" s="32"/>
      <c r="D638" s="32"/>
      <c r="E638" s="32"/>
      <c r="F638" s="32"/>
      <c r="G638" s="32"/>
      <c r="H638" s="32"/>
      <c r="K638" s="32"/>
    </row>
    <row r="639" ht="15.75" customHeight="1">
      <c r="A639" s="32"/>
      <c r="C639" s="32"/>
      <c r="D639" s="32"/>
      <c r="E639" s="32"/>
      <c r="F639" s="32"/>
      <c r="G639" s="32"/>
      <c r="H639" s="32"/>
      <c r="K639" s="32"/>
    </row>
    <row r="640" ht="15.75" customHeight="1">
      <c r="A640" s="32"/>
      <c r="C640" s="32"/>
      <c r="D640" s="32"/>
      <c r="E640" s="32"/>
      <c r="F640" s="32"/>
      <c r="G640" s="32"/>
      <c r="H640" s="32"/>
      <c r="K640" s="32"/>
    </row>
    <row r="641" ht="15.75" customHeight="1">
      <c r="A641" s="32"/>
      <c r="C641" s="32"/>
      <c r="D641" s="32"/>
      <c r="E641" s="32"/>
      <c r="F641" s="32"/>
      <c r="G641" s="32"/>
      <c r="H641" s="32"/>
      <c r="K641" s="32"/>
    </row>
    <row r="642" ht="15.75" customHeight="1">
      <c r="A642" s="32"/>
      <c r="C642" s="32"/>
      <c r="D642" s="32"/>
      <c r="E642" s="32"/>
      <c r="F642" s="32"/>
      <c r="G642" s="32"/>
      <c r="H642" s="32"/>
      <c r="K642" s="32"/>
    </row>
    <row r="643" ht="15.75" customHeight="1">
      <c r="A643" s="32"/>
      <c r="C643" s="32"/>
      <c r="D643" s="32"/>
      <c r="E643" s="32"/>
      <c r="F643" s="32"/>
      <c r="G643" s="32"/>
      <c r="H643" s="32"/>
      <c r="K643" s="32"/>
    </row>
    <row r="644" ht="15.75" customHeight="1">
      <c r="A644" s="32"/>
      <c r="C644" s="32"/>
      <c r="D644" s="32"/>
      <c r="E644" s="32"/>
      <c r="F644" s="32"/>
      <c r="G644" s="32"/>
      <c r="H644" s="32"/>
      <c r="K644" s="32"/>
    </row>
    <row r="645" ht="15.75" customHeight="1">
      <c r="A645" s="32"/>
      <c r="C645" s="32"/>
      <c r="D645" s="32"/>
      <c r="E645" s="32"/>
      <c r="F645" s="32"/>
      <c r="G645" s="32"/>
      <c r="H645" s="32"/>
      <c r="K645" s="32"/>
    </row>
    <row r="646" ht="15.75" customHeight="1">
      <c r="A646" s="32"/>
      <c r="C646" s="32"/>
      <c r="D646" s="32"/>
      <c r="E646" s="32"/>
      <c r="F646" s="32"/>
      <c r="G646" s="32"/>
      <c r="H646" s="32"/>
      <c r="K646" s="32"/>
    </row>
    <row r="647" ht="15.75" customHeight="1">
      <c r="A647" s="32"/>
      <c r="C647" s="32"/>
      <c r="D647" s="32"/>
      <c r="E647" s="32"/>
      <c r="F647" s="32"/>
      <c r="G647" s="32"/>
      <c r="H647" s="32"/>
      <c r="K647" s="32"/>
    </row>
    <row r="648" ht="15.75" customHeight="1">
      <c r="A648" s="32"/>
      <c r="C648" s="32"/>
      <c r="D648" s="32"/>
      <c r="E648" s="32"/>
      <c r="F648" s="32"/>
      <c r="G648" s="32"/>
      <c r="H648" s="32"/>
      <c r="K648" s="32"/>
    </row>
    <row r="649" ht="15.75" customHeight="1">
      <c r="A649" s="32"/>
      <c r="C649" s="32"/>
      <c r="D649" s="32"/>
      <c r="E649" s="32"/>
      <c r="F649" s="32"/>
      <c r="G649" s="32"/>
      <c r="H649" s="32"/>
      <c r="K649" s="32"/>
    </row>
    <row r="650" ht="15.75" customHeight="1">
      <c r="A650" s="32"/>
      <c r="C650" s="32"/>
      <c r="D650" s="32"/>
      <c r="E650" s="32"/>
      <c r="F650" s="32"/>
      <c r="G650" s="32"/>
      <c r="H650" s="32"/>
      <c r="K650" s="32"/>
    </row>
    <row r="651" ht="15.75" customHeight="1">
      <c r="A651" s="32"/>
      <c r="C651" s="32"/>
      <c r="D651" s="32"/>
      <c r="E651" s="32"/>
      <c r="F651" s="32"/>
      <c r="G651" s="32"/>
      <c r="H651" s="32"/>
      <c r="K651" s="32"/>
    </row>
    <row r="652" ht="15.75" customHeight="1">
      <c r="A652" s="32"/>
      <c r="C652" s="32"/>
      <c r="D652" s="32"/>
      <c r="E652" s="32"/>
      <c r="F652" s="32"/>
      <c r="G652" s="32"/>
      <c r="H652" s="32"/>
      <c r="K652" s="32"/>
    </row>
    <row r="653" ht="15.75" customHeight="1">
      <c r="A653" s="32"/>
      <c r="C653" s="32"/>
      <c r="D653" s="32"/>
      <c r="E653" s="32"/>
      <c r="F653" s="32"/>
      <c r="G653" s="32"/>
      <c r="H653" s="32"/>
      <c r="K653" s="32"/>
    </row>
    <row r="654" ht="15.75" customHeight="1">
      <c r="A654" s="32"/>
      <c r="C654" s="32"/>
      <c r="D654" s="32"/>
      <c r="E654" s="32"/>
      <c r="F654" s="32"/>
      <c r="G654" s="32"/>
      <c r="H654" s="32"/>
      <c r="K654" s="32"/>
    </row>
    <row r="655" ht="15.75" customHeight="1">
      <c r="A655" s="32"/>
      <c r="C655" s="32"/>
      <c r="D655" s="32"/>
      <c r="E655" s="32"/>
      <c r="F655" s="32"/>
      <c r="G655" s="32"/>
      <c r="H655" s="32"/>
      <c r="K655" s="32"/>
    </row>
    <row r="656" ht="15.75" customHeight="1">
      <c r="A656" s="32"/>
      <c r="C656" s="32"/>
      <c r="D656" s="32"/>
      <c r="E656" s="32"/>
      <c r="F656" s="32"/>
      <c r="G656" s="32"/>
      <c r="H656" s="32"/>
      <c r="K656" s="32"/>
    </row>
    <row r="657" ht="15.75" customHeight="1">
      <c r="A657" s="32"/>
      <c r="C657" s="32"/>
      <c r="D657" s="32"/>
      <c r="E657" s="32"/>
      <c r="F657" s="32"/>
      <c r="G657" s="32"/>
      <c r="H657" s="32"/>
      <c r="K657" s="32"/>
    </row>
    <row r="658" ht="15.75" customHeight="1">
      <c r="A658" s="32"/>
      <c r="C658" s="32"/>
      <c r="D658" s="32"/>
      <c r="E658" s="32"/>
      <c r="F658" s="32"/>
      <c r="G658" s="32"/>
      <c r="H658" s="32"/>
      <c r="K658" s="32"/>
    </row>
    <row r="659" ht="15.75" customHeight="1">
      <c r="A659" s="32"/>
      <c r="C659" s="32"/>
      <c r="D659" s="32"/>
      <c r="E659" s="32"/>
      <c r="F659" s="32"/>
      <c r="G659" s="32"/>
      <c r="H659" s="32"/>
      <c r="K659" s="32"/>
    </row>
    <row r="660" ht="15.75" customHeight="1">
      <c r="A660" s="32"/>
      <c r="C660" s="32"/>
      <c r="D660" s="32"/>
      <c r="E660" s="32"/>
      <c r="F660" s="32"/>
      <c r="G660" s="32"/>
      <c r="H660" s="32"/>
      <c r="K660" s="32"/>
    </row>
    <row r="661" ht="15.75" customHeight="1">
      <c r="A661" s="32"/>
      <c r="C661" s="32"/>
      <c r="D661" s="32"/>
      <c r="E661" s="32"/>
      <c r="F661" s="32"/>
      <c r="G661" s="32"/>
      <c r="H661" s="32"/>
      <c r="K661" s="32"/>
    </row>
    <row r="662" ht="15.75" customHeight="1">
      <c r="A662" s="32"/>
      <c r="C662" s="32"/>
      <c r="D662" s="32"/>
      <c r="E662" s="32"/>
      <c r="F662" s="32"/>
      <c r="G662" s="32"/>
      <c r="H662" s="32"/>
      <c r="K662" s="32"/>
    </row>
    <row r="663" ht="15.75" customHeight="1">
      <c r="A663" s="32"/>
      <c r="C663" s="32"/>
      <c r="D663" s="32"/>
      <c r="E663" s="32"/>
      <c r="F663" s="32"/>
      <c r="G663" s="32"/>
      <c r="H663" s="32"/>
      <c r="K663" s="32"/>
    </row>
    <row r="664" ht="15.75" customHeight="1">
      <c r="A664" s="32"/>
      <c r="C664" s="32"/>
      <c r="D664" s="32"/>
      <c r="E664" s="32"/>
      <c r="F664" s="32"/>
      <c r="G664" s="32"/>
      <c r="H664" s="32"/>
      <c r="K664" s="32"/>
    </row>
    <row r="665" ht="15.75" customHeight="1">
      <c r="A665" s="32"/>
      <c r="C665" s="32"/>
      <c r="D665" s="32"/>
      <c r="E665" s="32"/>
      <c r="F665" s="32"/>
      <c r="G665" s="32"/>
      <c r="H665" s="32"/>
      <c r="K665" s="32"/>
    </row>
    <row r="666" ht="15.75" customHeight="1">
      <c r="A666" s="32"/>
      <c r="C666" s="32"/>
      <c r="D666" s="32"/>
      <c r="E666" s="32"/>
      <c r="F666" s="32"/>
      <c r="G666" s="32"/>
      <c r="H666" s="32"/>
      <c r="K666" s="32"/>
    </row>
    <row r="667" ht="15.75" customHeight="1">
      <c r="A667" s="32"/>
      <c r="C667" s="32"/>
      <c r="D667" s="32"/>
      <c r="E667" s="32"/>
      <c r="F667" s="32"/>
      <c r="G667" s="32"/>
      <c r="H667" s="32"/>
      <c r="K667" s="32"/>
    </row>
    <row r="668" ht="15.75" customHeight="1">
      <c r="A668" s="32"/>
      <c r="C668" s="32"/>
      <c r="D668" s="32"/>
      <c r="E668" s="32"/>
      <c r="F668" s="32"/>
      <c r="G668" s="32"/>
      <c r="H668" s="32"/>
      <c r="K668" s="32"/>
    </row>
    <row r="669" ht="15.75" customHeight="1">
      <c r="A669" s="32"/>
      <c r="C669" s="32"/>
      <c r="D669" s="32"/>
      <c r="E669" s="32"/>
      <c r="F669" s="32"/>
      <c r="G669" s="32"/>
      <c r="H669" s="32"/>
      <c r="K669" s="32"/>
    </row>
    <row r="670" ht="15.75" customHeight="1">
      <c r="A670" s="32"/>
      <c r="C670" s="32"/>
      <c r="D670" s="32"/>
      <c r="E670" s="32"/>
      <c r="F670" s="32"/>
      <c r="G670" s="32"/>
      <c r="H670" s="32"/>
      <c r="K670" s="32"/>
    </row>
    <row r="671" ht="15.75" customHeight="1">
      <c r="A671" s="32"/>
      <c r="C671" s="32"/>
      <c r="D671" s="32"/>
      <c r="E671" s="32"/>
      <c r="F671" s="32"/>
      <c r="G671" s="32"/>
      <c r="H671" s="32"/>
      <c r="K671" s="32"/>
    </row>
    <row r="672" ht="15.75" customHeight="1">
      <c r="A672" s="32"/>
      <c r="C672" s="32"/>
      <c r="D672" s="32"/>
      <c r="E672" s="32"/>
      <c r="F672" s="32"/>
      <c r="G672" s="32"/>
      <c r="H672" s="32"/>
      <c r="K672" s="32"/>
    </row>
    <row r="673" ht="15.75" customHeight="1">
      <c r="A673" s="32"/>
      <c r="C673" s="32"/>
      <c r="D673" s="32"/>
      <c r="E673" s="32"/>
      <c r="F673" s="32"/>
      <c r="G673" s="32"/>
      <c r="H673" s="32"/>
      <c r="K673" s="32"/>
    </row>
    <row r="674" ht="15.75" customHeight="1">
      <c r="A674" s="32"/>
      <c r="C674" s="32"/>
      <c r="D674" s="32"/>
      <c r="E674" s="32"/>
      <c r="F674" s="32"/>
      <c r="G674" s="32"/>
      <c r="H674" s="32"/>
      <c r="K674" s="32"/>
    </row>
    <row r="675" ht="15.75" customHeight="1">
      <c r="A675" s="32"/>
      <c r="C675" s="32"/>
      <c r="D675" s="32"/>
      <c r="E675" s="32"/>
      <c r="F675" s="32"/>
      <c r="G675" s="32"/>
      <c r="H675" s="32"/>
      <c r="K675" s="32"/>
    </row>
    <row r="676" ht="15.75" customHeight="1">
      <c r="A676" s="32"/>
      <c r="C676" s="32"/>
      <c r="D676" s="32"/>
      <c r="E676" s="32"/>
      <c r="F676" s="32"/>
      <c r="G676" s="32"/>
      <c r="H676" s="32"/>
      <c r="K676" s="32"/>
    </row>
    <row r="677" ht="15.75" customHeight="1">
      <c r="A677" s="32"/>
      <c r="C677" s="32"/>
      <c r="D677" s="32"/>
      <c r="E677" s="32"/>
      <c r="F677" s="32"/>
      <c r="G677" s="32"/>
      <c r="H677" s="32"/>
      <c r="K677" s="32"/>
    </row>
    <row r="678" ht="15.75" customHeight="1">
      <c r="A678" s="32"/>
      <c r="C678" s="32"/>
      <c r="D678" s="32"/>
      <c r="E678" s="32"/>
      <c r="F678" s="32"/>
      <c r="G678" s="32"/>
      <c r="H678" s="32"/>
      <c r="K678" s="32"/>
    </row>
    <row r="679" ht="15.75" customHeight="1">
      <c r="A679" s="32"/>
      <c r="C679" s="32"/>
      <c r="D679" s="32"/>
      <c r="E679" s="32"/>
      <c r="F679" s="32"/>
      <c r="G679" s="32"/>
      <c r="H679" s="32"/>
      <c r="K679" s="32"/>
    </row>
    <row r="680" ht="15.75" customHeight="1">
      <c r="A680" s="32"/>
      <c r="C680" s="32"/>
      <c r="D680" s="32"/>
      <c r="E680" s="32"/>
      <c r="F680" s="32"/>
      <c r="G680" s="32"/>
      <c r="H680" s="32"/>
      <c r="K680" s="32"/>
    </row>
    <row r="681" ht="15.75" customHeight="1">
      <c r="A681" s="32"/>
      <c r="C681" s="32"/>
      <c r="D681" s="32"/>
      <c r="E681" s="32"/>
      <c r="F681" s="32"/>
      <c r="G681" s="32"/>
      <c r="H681" s="32"/>
      <c r="K681" s="32"/>
    </row>
    <row r="682" ht="15.75" customHeight="1">
      <c r="A682" s="32"/>
      <c r="C682" s="32"/>
      <c r="D682" s="32"/>
      <c r="E682" s="32"/>
      <c r="F682" s="32"/>
      <c r="G682" s="32"/>
      <c r="H682" s="32"/>
      <c r="K682" s="32"/>
    </row>
    <row r="683" ht="15.75" customHeight="1">
      <c r="A683" s="32"/>
      <c r="C683" s="32"/>
      <c r="D683" s="32"/>
      <c r="E683" s="32"/>
      <c r="F683" s="32"/>
      <c r="G683" s="32"/>
      <c r="H683" s="32"/>
      <c r="K683" s="32"/>
    </row>
    <row r="684" ht="15.75" customHeight="1">
      <c r="A684" s="32"/>
      <c r="C684" s="32"/>
      <c r="D684" s="32"/>
      <c r="E684" s="32"/>
      <c r="F684" s="32"/>
      <c r="G684" s="32"/>
      <c r="H684" s="32"/>
      <c r="K684" s="32"/>
    </row>
    <row r="685" ht="15.75" customHeight="1">
      <c r="A685" s="32"/>
      <c r="C685" s="32"/>
      <c r="D685" s="32"/>
      <c r="E685" s="32"/>
      <c r="F685" s="32"/>
      <c r="G685" s="32"/>
      <c r="H685" s="32"/>
      <c r="K685" s="32"/>
    </row>
    <row r="686" ht="15.75" customHeight="1">
      <c r="A686" s="32"/>
      <c r="C686" s="32"/>
      <c r="D686" s="32"/>
      <c r="E686" s="32"/>
      <c r="F686" s="32"/>
      <c r="G686" s="32"/>
      <c r="H686" s="32"/>
      <c r="K686" s="32"/>
    </row>
    <row r="687" ht="15.75" customHeight="1">
      <c r="A687" s="32"/>
      <c r="C687" s="32"/>
      <c r="D687" s="32"/>
      <c r="E687" s="32"/>
      <c r="F687" s="32"/>
      <c r="G687" s="32"/>
      <c r="H687" s="32"/>
      <c r="K687" s="32"/>
    </row>
    <row r="688" ht="15.75" customHeight="1">
      <c r="A688" s="32"/>
      <c r="C688" s="32"/>
      <c r="D688" s="32"/>
      <c r="E688" s="32"/>
      <c r="F688" s="32"/>
      <c r="G688" s="32"/>
      <c r="H688" s="32"/>
      <c r="K688" s="32"/>
    </row>
    <row r="689" ht="15.75" customHeight="1">
      <c r="A689" s="32"/>
      <c r="C689" s="32"/>
      <c r="D689" s="32"/>
      <c r="E689" s="32"/>
      <c r="F689" s="32"/>
      <c r="G689" s="32"/>
      <c r="H689" s="32"/>
      <c r="K689" s="32"/>
    </row>
    <row r="690" ht="15.75" customHeight="1">
      <c r="A690" s="32"/>
      <c r="C690" s="32"/>
      <c r="D690" s="32"/>
      <c r="E690" s="32"/>
      <c r="F690" s="32"/>
      <c r="G690" s="32"/>
      <c r="H690" s="32"/>
      <c r="K690" s="32"/>
    </row>
    <row r="691" ht="15.75" customHeight="1">
      <c r="A691" s="32"/>
      <c r="C691" s="32"/>
      <c r="D691" s="32"/>
      <c r="E691" s="32"/>
      <c r="F691" s="32"/>
      <c r="G691" s="32"/>
      <c r="H691" s="32"/>
      <c r="K691" s="32"/>
    </row>
    <row r="692" ht="15.75" customHeight="1">
      <c r="A692" s="32"/>
      <c r="C692" s="32"/>
      <c r="D692" s="32"/>
      <c r="E692" s="32"/>
      <c r="F692" s="32"/>
      <c r="G692" s="32"/>
      <c r="H692" s="32"/>
      <c r="K692" s="32"/>
    </row>
    <row r="693" ht="15.75" customHeight="1">
      <c r="A693" s="32"/>
      <c r="C693" s="32"/>
      <c r="D693" s="32"/>
      <c r="E693" s="32"/>
      <c r="F693" s="32"/>
      <c r="G693" s="32"/>
      <c r="H693" s="32"/>
      <c r="K693" s="32"/>
    </row>
    <row r="694" ht="15.75" customHeight="1">
      <c r="A694" s="32"/>
      <c r="C694" s="32"/>
      <c r="D694" s="32"/>
      <c r="E694" s="32"/>
      <c r="F694" s="32"/>
      <c r="G694" s="32"/>
      <c r="H694" s="32"/>
      <c r="K694" s="32"/>
    </row>
    <row r="695" ht="15.75" customHeight="1">
      <c r="A695" s="32"/>
      <c r="C695" s="32"/>
      <c r="D695" s="32"/>
      <c r="E695" s="32"/>
      <c r="F695" s="32"/>
      <c r="G695" s="32"/>
      <c r="H695" s="32"/>
      <c r="K695" s="32"/>
    </row>
    <row r="696" ht="15.75" customHeight="1">
      <c r="A696" s="32"/>
      <c r="C696" s="32"/>
      <c r="D696" s="32"/>
      <c r="E696" s="32"/>
      <c r="F696" s="32"/>
      <c r="G696" s="32"/>
      <c r="H696" s="32"/>
      <c r="K696" s="32"/>
    </row>
    <row r="697" ht="15.75" customHeight="1">
      <c r="A697" s="32"/>
      <c r="C697" s="32"/>
      <c r="D697" s="32"/>
      <c r="E697" s="32"/>
      <c r="F697" s="32"/>
      <c r="G697" s="32"/>
      <c r="H697" s="32"/>
      <c r="K697" s="32"/>
    </row>
    <row r="698" ht="15.75" customHeight="1">
      <c r="A698" s="32"/>
      <c r="C698" s="32"/>
      <c r="D698" s="32"/>
      <c r="E698" s="32"/>
      <c r="F698" s="32"/>
      <c r="G698" s="32"/>
      <c r="H698" s="32"/>
      <c r="K698" s="32"/>
    </row>
    <row r="699" ht="15.75" customHeight="1">
      <c r="A699" s="32"/>
      <c r="C699" s="32"/>
      <c r="D699" s="32"/>
      <c r="E699" s="32"/>
      <c r="F699" s="32"/>
      <c r="G699" s="32"/>
      <c r="H699" s="32"/>
      <c r="K699" s="32"/>
    </row>
    <row r="700" ht="15.75" customHeight="1">
      <c r="A700" s="32"/>
      <c r="C700" s="32"/>
      <c r="D700" s="32"/>
      <c r="E700" s="32"/>
      <c r="F700" s="32"/>
      <c r="G700" s="32"/>
      <c r="H700" s="32"/>
      <c r="K700" s="32"/>
    </row>
    <row r="701" ht="15.75" customHeight="1">
      <c r="A701" s="32"/>
      <c r="C701" s="32"/>
      <c r="D701" s="32"/>
      <c r="E701" s="32"/>
      <c r="F701" s="32"/>
      <c r="G701" s="32"/>
      <c r="H701" s="32"/>
      <c r="K701" s="32"/>
    </row>
    <row r="702" ht="15.75" customHeight="1">
      <c r="A702" s="32"/>
      <c r="C702" s="32"/>
      <c r="D702" s="32"/>
      <c r="E702" s="32"/>
      <c r="F702" s="32"/>
      <c r="G702" s="32"/>
      <c r="H702" s="32"/>
      <c r="K702" s="32"/>
    </row>
    <row r="703" ht="15.75" customHeight="1">
      <c r="A703" s="32"/>
      <c r="C703" s="32"/>
      <c r="D703" s="32"/>
      <c r="E703" s="32"/>
      <c r="F703" s="32"/>
      <c r="G703" s="32"/>
      <c r="H703" s="32"/>
      <c r="K703" s="32"/>
    </row>
    <row r="704" ht="15.75" customHeight="1">
      <c r="A704" s="32"/>
      <c r="C704" s="32"/>
      <c r="D704" s="32"/>
      <c r="E704" s="32"/>
      <c r="F704" s="32"/>
      <c r="G704" s="32"/>
      <c r="H704" s="32"/>
      <c r="K704" s="32"/>
    </row>
    <row r="705" ht="15.75" customHeight="1">
      <c r="A705" s="32"/>
      <c r="C705" s="32"/>
      <c r="D705" s="32"/>
      <c r="E705" s="32"/>
      <c r="F705" s="32"/>
      <c r="G705" s="32"/>
      <c r="H705" s="32"/>
      <c r="K705" s="32"/>
    </row>
    <row r="706" ht="15.75" customHeight="1">
      <c r="A706" s="32"/>
      <c r="C706" s="32"/>
      <c r="D706" s="32"/>
      <c r="E706" s="32"/>
      <c r="F706" s="32"/>
      <c r="G706" s="32"/>
      <c r="H706" s="32"/>
      <c r="K706" s="32"/>
    </row>
    <row r="707" ht="15.75" customHeight="1">
      <c r="A707" s="32"/>
      <c r="C707" s="32"/>
      <c r="D707" s="32"/>
      <c r="E707" s="32"/>
      <c r="F707" s="32"/>
      <c r="G707" s="32"/>
      <c r="H707" s="32"/>
      <c r="K707" s="32"/>
    </row>
    <row r="708" ht="15.75" customHeight="1">
      <c r="A708" s="32"/>
      <c r="C708" s="32"/>
      <c r="D708" s="32"/>
      <c r="E708" s="32"/>
      <c r="F708" s="32"/>
      <c r="G708" s="32"/>
      <c r="H708" s="32"/>
      <c r="K708" s="32"/>
    </row>
    <row r="709" ht="15.75" customHeight="1">
      <c r="A709" s="32"/>
      <c r="C709" s="32"/>
      <c r="D709" s="32"/>
      <c r="E709" s="32"/>
      <c r="F709" s="32"/>
      <c r="G709" s="32"/>
      <c r="H709" s="32"/>
      <c r="K709" s="32"/>
    </row>
    <row r="710" ht="15.75" customHeight="1">
      <c r="A710" s="32"/>
      <c r="C710" s="32"/>
      <c r="D710" s="32"/>
      <c r="E710" s="32"/>
      <c r="F710" s="32"/>
      <c r="G710" s="32"/>
      <c r="H710" s="32"/>
      <c r="K710" s="32"/>
    </row>
    <row r="711" ht="15.75" customHeight="1">
      <c r="A711" s="32"/>
      <c r="C711" s="32"/>
      <c r="D711" s="32"/>
      <c r="E711" s="32"/>
      <c r="F711" s="32"/>
      <c r="G711" s="32"/>
      <c r="H711" s="32"/>
      <c r="K711" s="32"/>
    </row>
    <row r="712" ht="15.75" customHeight="1">
      <c r="A712" s="32"/>
      <c r="C712" s="32"/>
      <c r="D712" s="32"/>
      <c r="E712" s="32"/>
      <c r="F712" s="32"/>
      <c r="G712" s="32"/>
      <c r="H712" s="32"/>
      <c r="K712" s="32"/>
    </row>
    <row r="713" ht="15.75" customHeight="1">
      <c r="A713" s="32"/>
      <c r="C713" s="32"/>
      <c r="D713" s="32"/>
      <c r="E713" s="32"/>
      <c r="F713" s="32"/>
      <c r="G713" s="32"/>
      <c r="H713" s="32"/>
      <c r="K713" s="32"/>
    </row>
    <row r="714" ht="15.75" customHeight="1">
      <c r="A714" s="32"/>
      <c r="C714" s="32"/>
      <c r="D714" s="32"/>
      <c r="E714" s="32"/>
      <c r="F714" s="32"/>
      <c r="G714" s="32"/>
      <c r="H714" s="32"/>
      <c r="K714" s="32"/>
    </row>
    <row r="715" ht="15.75" customHeight="1">
      <c r="A715" s="32"/>
      <c r="C715" s="32"/>
      <c r="D715" s="32"/>
      <c r="E715" s="32"/>
      <c r="F715" s="32"/>
      <c r="G715" s="32"/>
      <c r="H715" s="32"/>
      <c r="K715" s="32"/>
    </row>
    <row r="716" ht="15.75" customHeight="1">
      <c r="A716" s="32"/>
      <c r="C716" s="32"/>
      <c r="D716" s="32"/>
      <c r="E716" s="32"/>
      <c r="F716" s="32"/>
      <c r="G716" s="32"/>
      <c r="H716" s="32"/>
      <c r="K716" s="32"/>
    </row>
    <row r="717" ht="15.75" customHeight="1">
      <c r="A717" s="32"/>
      <c r="C717" s="32"/>
      <c r="D717" s="32"/>
      <c r="E717" s="32"/>
      <c r="F717" s="32"/>
      <c r="G717" s="32"/>
      <c r="H717" s="32"/>
      <c r="K717" s="32"/>
    </row>
    <row r="718" ht="15.75" customHeight="1">
      <c r="A718" s="32"/>
      <c r="C718" s="32"/>
      <c r="D718" s="32"/>
      <c r="E718" s="32"/>
      <c r="F718" s="32"/>
      <c r="G718" s="32"/>
      <c r="H718" s="32"/>
      <c r="K718" s="32"/>
    </row>
    <row r="719" ht="15.75" customHeight="1">
      <c r="A719" s="32"/>
      <c r="C719" s="32"/>
      <c r="D719" s="32"/>
      <c r="E719" s="32"/>
      <c r="F719" s="32"/>
      <c r="G719" s="32"/>
      <c r="H719" s="32"/>
      <c r="K719" s="32"/>
    </row>
    <row r="720" ht="15.75" customHeight="1">
      <c r="A720" s="32"/>
      <c r="C720" s="32"/>
      <c r="D720" s="32"/>
      <c r="E720" s="32"/>
      <c r="F720" s="32"/>
      <c r="G720" s="32"/>
      <c r="H720" s="32"/>
      <c r="K720" s="32"/>
    </row>
    <row r="721" ht="15.75" customHeight="1">
      <c r="A721" s="32"/>
      <c r="C721" s="32"/>
      <c r="D721" s="32"/>
      <c r="E721" s="32"/>
      <c r="F721" s="32"/>
      <c r="G721" s="32"/>
      <c r="H721" s="32"/>
      <c r="K721" s="32"/>
    </row>
    <row r="722" ht="15.75" customHeight="1">
      <c r="A722" s="32"/>
      <c r="C722" s="32"/>
      <c r="D722" s="32"/>
      <c r="E722" s="32"/>
      <c r="F722" s="32"/>
      <c r="G722" s="32"/>
      <c r="H722" s="32"/>
      <c r="K722" s="32"/>
    </row>
    <row r="723" ht="15.75" customHeight="1">
      <c r="A723" s="32"/>
      <c r="C723" s="32"/>
      <c r="D723" s="32"/>
      <c r="E723" s="32"/>
      <c r="F723" s="32"/>
      <c r="G723" s="32"/>
      <c r="H723" s="32"/>
      <c r="K723" s="32"/>
    </row>
    <row r="724" ht="15.75" customHeight="1">
      <c r="A724" s="32"/>
      <c r="C724" s="32"/>
      <c r="D724" s="32"/>
      <c r="E724" s="32"/>
      <c r="F724" s="32"/>
      <c r="G724" s="32"/>
      <c r="H724" s="32"/>
      <c r="K724" s="32"/>
    </row>
    <row r="725" ht="15.75" customHeight="1">
      <c r="A725" s="32"/>
      <c r="C725" s="32"/>
      <c r="D725" s="32"/>
      <c r="E725" s="32"/>
      <c r="F725" s="32"/>
      <c r="G725" s="32"/>
      <c r="H725" s="32"/>
      <c r="K725" s="32"/>
    </row>
    <row r="726" ht="15.75" customHeight="1">
      <c r="A726" s="32"/>
      <c r="C726" s="32"/>
      <c r="D726" s="32"/>
      <c r="E726" s="32"/>
      <c r="F726" s="32"/>
      <c r="G726" s="32"/>
      <c r="H726" s="32"/>
      <c r="K726" s="32"/>
    </row>
    <row r="727" ht="15.75" customHeight="1">
      <c r="A727" s="32"/>
      <c r="C727" s="32"/>
      <c r="D727" s="32"/>
      <c r="E727" s="32"/>
      <c r="F727" s="32"/>
      <c r="G727" s="32"/>
      <c r="H727" s="32"/>
      <c r="K727" s="32"/>
    </row>
    <row r="728" ht="15.75" customHeight="1">
      <c r="A728" s="32"/>
      <c r="C728" s="32"/>
      <c r="D728" s="32"/>
      <c r="E728" s="32"/>
      <c r="F728" s="32"/>
      <c r="G728" s="32"/>
      <c r="H728" s="32"/>
      <c r="K728" s="32"/>
    </row>
    <row r="729" ht="15.75" customHeight="1">
      <c r="A729" s="32"/>
      <c r="C729" s="32"/>
      <c r="D729" s="32"/>
      <c r="E729" s="32"/>
      <c r="F729" s="32"/>
      <c r="G729" s="32"/>
      <c r="H729" s="32"/>
      <c r="K729" s="32"/>
    </row>
    <row r="730" ht="15.75" customHeight="1">
      <c r="A730" s="32"/>
      <c r="C730" s="32"/>
      <c r="D730" s="32"/>
      <c r="E730" s="32"/>
      <c r="F730" s="32"/>
      <c r="G730" s="32"/>
      <c r="H730" s="32"/>
      <c r="K730" s="32"/>
    </row>
    <row r="731" ht="15.75" customHeight="1">
      <c r="A731" s="32"/>
      <c r="C731" s="32"/>
      <c r="D731" s="32"/>
      <c r="E731" s="32"/>
      <c r="F731" s="32"/>
      <c r="G731" s="32"/>
      <c r="H731" s="32"/>
      <c r="K731" s="32"/>
    </row>
    <row r="732" ht="15.75" customHeight="1">
      <c r="A732" s="32"/>
      <c r="C732" s="32"/>
      <c r="D732" s="32"/>
      <c r="E732" s="32"/>
      <c r="F732" s="32"/>
      <c r="G732" s="32"/>
      <c r="H732" s="32"/>
      <c r="K732" s="32"/>
    </row>
    <row r="733" ht="15.75" customHeight="1">
      <c r="A733" s="32"/>
      <c r="C733" s="32"/>
      <c r="D733" s="32"/>
      <c r="E733" s="32"/>
      <c r="F733" s="32"/>
      <c r="G733" s="32"/>
      <c r="H733" s="32"/>
      <c r="K733" s="32"/>
    </row>
    <row r="734" ht="15.75" customHeight="1">
      <c r="A734" s="32"/>
      <c r="C734" s="32"/>
      <c r="D734" s="32"/>
      <c r="E734" s="32"/>
      <c r="F734" s="32"/>
      <c r="G734" s="32"/>
      <c r="H734" s="32"/>
      <c r="K734" s="32"/>
    </row>
    <row r="735" ht="15.75" customHeight="1">
      <c r="A735" s="32"/>
      <c r="C735" s="32"/>
      <c r="D735" s="32"/>
      <c r="E735" s="32"/>
      <c r="F735" s="32"/>
      <c r="G735" s="32"/>
      <c r="H735" s="32"/>
      <c r="K735" s="32"/>
    </row>
    <row r="736" ht="15.75" customHeight="1">
      <c r="A736" s="32"/>
      <c r="C736" s="32"/>
      <c r="D736" s="32"/>
      <c r="E736" s="32"/>
      <c r="F736" s="32"/>
      <c r="G736" s="32"/>
      <c r="H736" s="32"/>
      <c r="K736" s="32"/>
    </row>
    <row r="737" ht="15.75" customHeight="1">
      <c r="A737" s="32"/>
      <c r="C737" s="32"/>
      <c r="D737" s="32"/>
      <c r="E737" s="32"/>
      <c r="F737" s="32"/>
      <c r="G737" s="32"/>
      <c r="H737" s="32"/>
      <c r="K737" s="32"/>
    </row>
    <row r="738" ht="15.75" customHeight="1">
      <c r="A738" s="32"/>
      <c r="C738" s="32"/>
      <c r="D738" s="32"/>
      <c r="E738" s="32"/>
      <c r="F738" s="32"/>
      <c r="G738" s="32"/>
      <c r="H738" s="32"/>
      <c r="K738" s="32"/>
    </row>
    <row r="739" ht="15.75" customHeight="1">
      <c r="A739" s="32"/>
      <c r="C739" s="32"/>
      <c r="D739" s="32"/>
      <c r="E739" s="32"/>
      <c r="F739" s="32"/>
      <c r="G739" s="32"/>
      <c r="H739" s="32"/>
      <c r="K739" s="32"/>
    </row>
    <row r="740" ht="15.75" customHeight="1">
      <c r="A740" s="32"/>
      <c r="C740" s="32"/>
      <c r="D740" s="32"/>
      <c r="E740" s="32"/>
      <c r="F740" s="32"/>
      <c r="G740" s="32"/>
      <c r="H740" s="32"/>
      <c r="K740" s="32"/>
    </row>
    <row r="741" ht="15.75" customHeight="1">
      <c r="A741" s="32"/>
      <c r="C741" s="32"/>
      <c r="D741" s="32"/>
      <c r="E741" s="32"/>
      <c r="F741" s="32"/>
      <c r="G741" s="32"/>
      <c r="H741" s="32"/>
      <c r="K741" s="32"/>
    </row>
    <row r="742" ht="15.75" customHeight="1">
      <c r="A742" s="32"/>
      <c r="C742" s="32"/>
      <c r="D742" s="32"/>
      <c r="E742" s="32"/>
      <c r="F742" s="32"/>
      <c r="G742" s="32"/>
      <c r="H742" s="32"/>
      <c r="K742" s="32"/>
    </row>
    <row r="743" ht="15.75" customHeight="1">
      <c r="A743" s="32"/>
      <c r="C743" s="32"/>
      <c r="D743" s="32"/>
      <c r="E743" s="32"/>
      <c r="F743" s="32"/>
      <c r="G743" s="32"/>
      <c r="H743" s="32"/>
      <c r="K743" s="32"/>
    </row>
    <row r="744" ht="15.75" customHeight="1">
      <c r="A744" s="32"/>
      <c r="C744" s="32"/>
      <c r="D744" s="32"/>
      <c r="E744" s="32"/>
      <c r="F744" s="32"/>
      <c r="G744" s="32"/>
      <c r="H744" s="32"/>
      <c r="K744" s="32"/>
    </row>
    <row r="745" ht="15.75" customHeight="1">
      <c r="A745" s="32"/>
      <c r="C745" s="32"/>
      <c r="D745" s="32"/>
      <c r="E745" s="32"/>
      <c r="F745" s="32"/>
      <c r="G745" s="32"/>
      <c r="H745" s="32"/>
      <c r="K745" s="32"/>
    </row>
    <row r="746" ht="15.75" customHeight="1">
      <c r="A746" s="32"/>
      <c r="C746" s="32"/>
      <c r="D746" s="32"/>
      <c r="E746" s="32"/>
      <c r="F746" s="32"/>
      <c r="G746" s="32"/>
      <c r="H746" s="32"/>
      <c r="K746" s="32"/>
    </row>
    <row r="747" ht="15.75" customHeight="1">
      <c r="A747" s="32"/>
      <c r="C747" s="32"/>
      <c r="D747" s="32"/>
      <c r="E747" s="32"/>
      <c r="F747" s="32"/>
      <c r="G747" s="32"/>
      <c r="H747" s="32"/>
      <c r="K747" s="32"/>
    </row>
    <row r="748" ht="15.75" customHeight="1">
      <c r="A748" s="32"/>
      <c r="C748" s="32"/>
      <c r="D748" s="32"/>
      <c r="E748" s="32"/>
      <c r="F748" s="32"/>
      <c r="G748" s="32"/>
      <c r="H748" s="32"/>
      <c r="K748" s="32"/>
    </row>
    <row r="749" ht="15.75" customHeight="1">
      <c r="A749" s="32"/>
      <c r="C749" s="32"/>
      <c r="D749" s="32"/>
      <c r="E749" s="32"/>
      <c r="F749" s="32"/>
      <c r="G749" s="32"/>
      <c r="H749" s="32"/>
      <c r="K749" s="32"/>
    </row>
    <row r="750" ht="15.75" customHeight="1">
      <c r="A750" s="32"/>
      <c r="C750" s="32"/>
      <c r="D750" s="32"/>
      <c r="E750" s="32"/>
      <c r="F750" s="32"/>
      <c r="G750" s="32"/>
      <c r="H750" s="32"/>
      <c r="K750" s="32"/>
    </row>
    <row r="751" ht="15.75" customHeight="1">
      <c r="A751" s="32"/>
      <c r="C751" s="32"/>
      <c r="D751" s="32"/>
      <c r="E751" s="32"/>
      <c r="F751" s="32"/>
      <c r="G751" s="32"/>
      <c r="H751" s="32"/>
      <c r="K751" s="32"/>
    </row>
    <row r="752" ht="15.75" customHeight="1">
      <c r="A752" s="32"/>
      <c r="C752" s="32"/>
      <c r="D752" s="32"/>
      <c r="E752" s="32"/>
      <c r="F752" s="32"/>
      <c r="G752" s="32"/>
      <c r="H752" s="32"/>
      <c r="K752" s="32"/>
    </row>
    <row r="753" ht="15.75" customHeight="1">
      <c r="A753" s="32"/>
      <c r="C753" s="32"/>
      <c r="D753" s="32"/>
      <c r="E753" s="32"/>
      <c r="F753" s="32"/>
      <c r="G753" s="32"/>
      <c r="H753" s="32"/>
      <c r="K753" s="32"/>
    </row>
    <row r="754" ht="15.75" customHeight="1">
      <c r="A754" s="32"/>
      <c r="C754" s="32"/>
      <c r="D754" s="32"/>
      <c r="E754" s="32"/>
      <c r="F754" s="32"/>
      <c r="G754" s="32"/>
      <c r="H754" s="32"/>
      <c r="K754" s="32"/>
    </row>
    <row r="755" ht="15.75" customHeight="1">
      <c r="A755" s="32"/>
      <c r="C755" s="32"/>
      <c r="D755" s="32"/>
      <c r="E755" s="32"/>
      <c r="F755" s="32"/>
      <c r="G755" s="32"/>
      <c r="H755" s="32"/>
      <c r="K755" s="32"/>
    </row>
    <row r="756" ht="15.75" customHeight="1">
      <c r="A756" s="32"/>
      <c r="C756" s="32"/>
      <c r="D756" s="32"/>
      <c r="E756" s="32"/>
      <c r="F756" s="32"/>
      <c r="G756" s="32"/>
      <c r="H756" s="32"/>
      <c r="K756" s="32"/>
    </row>
    <row r="757" ht="15.75" customHeight="1">
      <c r="A757" s="32"/>
      <c r="C757" s="32"/>
      <c r="D757" s="32"/>
      <c r="E757" s="32"/>
      <c r="F757" s="32"/>
      <c r="G757" s="32"/>
      <c r="H757" s="32"/>
      <c r="K757" s="32"/>
    </row>
    <row r="758" ht="15.75" customHeight="1">
      <c r="A758" s="32"/>
      <c r="C758" s="32"/>
      <c r="D758" s="32"/>
      <c r="E758" s="32"/>
      <c r="F758" s="32"/>
      <c r="G758" s="32"/>
      <c r="H758" s="32"/>
      <c r="K758" s="32"/>
    </row>
    <row r="759" ht="15.75" customHeight="1">
      <c r="A759" s="32"/>
      <c r="C759" s="32"/>
      <c r="D759" s="32"/>
      <c r="E759" s="32"/>
      <c r="F759" s="32"/>
      <c r="G759" s="32"/>
      <c r="H759" s="32"/>
      <c r="K759" s="32"/>
    </row>
    <row r="760" ht="15.75" customHeight="1">
      <c r="A760" s="32"/>
      <c r="C760" s="32"/>
      <c r="D760" s="32"/>
      <c r="E760" s="32"/>
      <c r="F760" s="32"/>
      <c r="G760" s="32"/>
      <c r="H760" s="32"/>
      <c r="K760" s="32"/>
    </row>
    <row r="761" ht="15.75" customHeight="1">
      <c r="A761" s="32"/>
      <c r="C761" s="32"/>
      <c r="D761" s="32"/>
      <c r="E761" s="32"/>
      <c r="F761" s="32"/>
      <c r="G761" s="32"/>
      <c r="H761" s="32"/>
      <c r="K761" s="32"/>
    </row>
    <row r="762" ht="15.75" customHeight="1">
      <c r="A762" s="32"/>
      <c r="C762" s="32"/>
      <c r="D762" s="32"/>
      <c r="E762" s="32"/>
      <c r="F762" s="32"/>
      <c r="G762" s="32"/>
      <c r="H762" s="32"/>
      <c r="K762" s="32"/>
    </row>
    <row r="763" ht="15.75" customHeight="1">
      <c r="A763" s="32"/>
      <c r="C763" s="32"/>
      <c r="D763" s="32"/>
      <c r="E763" s="32"/>
      <c r="F763" s="32"/>
      <c r="G763" s="32"/>
      <c r="H763" s="32"/>
      <c r="K763" s="32"/>
    </row>
    <row r="764" ht="15.75" customHeight="1">
      <c r="A764" s="32"/>
      <c r="C764" s="32"/>
      <c r="D764" s="32"/>
      <c r="E764" s="32"/>
      <c r="F764" s="32"/>
      <c r="G764" s="32"/>
      <c r="H764" s="32"/>
      <c r="K764" s="32"/>
    </row>
    <row r="765" ht="15.75" customHeight="1">
      <c r="A765" s="32"/>
      <c r="C765" s="32"/>
      <c r="D765" s="32"/>
      <c r="E765" s="32"/>
      <c r="F765" s="32"/>
      <c r="G765" s="32"/>
      <c r="H765" s="32"/>
      <c r="K765" s="32"/>
    </row>
    <row r="766" ht="15.75" customHeight="1">
      <c r="A766" s="32"/>
      <c r="C766" s="32"/>
      <c r="D766" s="32"/>
      <c r="E766" s="32"/>
      <c r="F766" s="32"/>
      <c r="G766" s="32"/>
      <c r="H766" s="32"/>
      <c r="K766" s="32"/>
    </row>
    <row r="767" ht="15.75" customHeight="1">
      <c r="A767" s="32"/>
      <c r="C767" s="32"/>
      <c r="D767" s="32"/>
      <c r="E767" s="32"/>
      <c r="F767" s="32"/>
      <c r="G767" s="32"/>
      <c r="H767" s="32"/>
      <c r="K767" s="32"/>
    </row>
    <row r="768" ht="15.75" customHeight="1">
      <c r="A768" s="32"/>
      <c r="C768" s="32"/>
      <c r="D768" s="32"/>
      <c r="E768" s="32"/>
      <c r="F768" s="32"/>
      <c r="G768" s="32"/>
      <c r="H768" s="32"/>
      <c r="K768" s="32"/>
    </row>
    <row r="769" ht="15.75" customHeight="1">
      <c r="A769" s="32"/>
      <c r="C769" s="32"/>
      <c r="D769" s="32"/>
      <c r="E769" s="32"/>
      <c r="F769" s="32"/>
      <c r="G769" s="32"/>
      <c r="H769" s="32"/>
      <c r="K769" s="32"/>
    </row>
    <row r="770" ht="15.75" customHeight="1">
      <c r="A770" s="32"/>
      <c r="C770" s="32"/>
      <c r="D770" s="32"/>
      <c r="E770" s="32"/>
      <c r="F770" s="32"/>
      <c r="G770" s="32"/>
      <c r="H770" s="32"/>
      <c r="K770" s="32"/>
    </row>
    <row r="771" ht="15.75" customHeight="1">
      <c r="A771" s="32"/>
      <c r="C771" s="32"/>
      <c r="D771" s="32"/>
      <c r="E771" s="32"/>
      <c r="F771" s="32"/>
      <c r="G771" s="32"/>
      <c r="H771" s="32"/>
      <c r="K771" s="32"/>
    </row>
    <row r="772" ht="15.75" customHeight="1">
      <c r="A772" s="32"/>
      <c r="C772" s="32"/>
      <c r="D772" s="32"/>
      <c r="E772" s="32"/>
      <c r="F772" s="32"/>
      <c r="G772" s="32"/>
      <c r="H772" s="32"/>
      <c r="K772" s="32"/>
    </row>
    <row r="773" ht="15.75" customHeight="1">
      <c r="A773" s="32"/>
      <c r="C773" s="32"/>
      <c r="D773" s="32"/>
      <c r="E773" s="32"/>
      <c r="F773" s="32"/>
      <c r="G773" s="32"/>
      <c r="H773" s="32"/>
      <c r="K773" s="32"/>
    </row>
    <row r="774" ht="15.75" customHeight="1">
      <c r="A774" s="32"/>
      <c r="C774" s="32"/>
      <c r="D774" s="32"/>
      <c r="E774" s="32"/>
      <c r="F774" s="32"/>
      <c r="G774" s="32"/>
      <c r="H774" s="32"/>
      <c r="K774" s="32"/>
    </row>
    <row r="775" ht="15.75" customHeight="1">
      <c r="A775" s="32"/>
      <c r="C775" s="32"/>
      <c r="D775" s="32"/>
      <c r="E775" s="32"/>
      <c r="F775" s="32"/>
      <c r="G775" s="32"/>
      <c r="H775" s="32"/>
      <c r="K775" s="32"/>
    </row>
    <row r="776" ht="15.75" customHeight="1">
      <c r="A776" s="32"/>
      <c r="C776" s="32"/>
      <c r="D776" s="32"/>
      <c r="E776" s="32"/>
      <c r="F776" s="32"/>
      <c r="G776" s="32"/>
      <c r="H776" s="32"/>
      <c r="K776" s="32"/>
    </row>
    <row r="777" ht="15.75" customHeight="1">
      <c r="A777" s="32"/>
      <c r="C777" s="32"/>
      <c r="D777" s="32"/>
      <c r="E777" s="32"/>
      <c r="F777" s="32"/>
      <c r="G777" s="32"/>
      <c r="H777" s="32"/>
      <c r="K777" s="32"/>
    </row>
    <row r="778" ht="15.75" customHeight="1">
      <c r="A778" s="32"/>
      <c r="C778" s="32"/>
      <c r="D778" s="32"/>
      <c r="E778" s="32"/>
      <c r="F778" s="32"/>
      <c r="G778" s="32"/>
      <c r="H778" s="32"/>
      <c r="K778" s="32"/>
    </row>
    <row r="779" ht="15.75" customHeight="1">
      <c r="A779" s="32"/>
      <c r="C779" s="32"/>
      <c r="D779" s="32"/>
      <c r="E779" s="32"/>
      <c r="F779" s="32"/>
      <c r="G779" s="32"/>
      <c r="H779" s="32"/>
      <c r="K779" s="32"/>
    </row>
    <row r="780" ht="15.75" customHeight="1">
      <c r="A780" s="32"/>
      <c r="C780" s="32"/>
      <c r="D780" s="32"/>
      <c r="E780" s="32"/>
      <c r="F780" s="32"/>
      <c r="G780" s="32"/>
      <c r="H780" s="32"/>
      <c r="K780" s="32"/>
    </row>
    <row r="781" ht="15.75" customHeight="1">
      <c r="A781" s="32"/>
      <c r="C781" s="32"/>
      <c r="D781" s="32"/>
      <c r="E781" s="32"/>
      <c r="F781" s="32"/>
      <c r="G781" s="32"/>
      <c r="H781" s="32"/>
      <c r="K781" s="32"/>
    </row>
    <row r="782" ht="15.75" customHeight="1">
      <c r="A782" s="32"/>
      <c r="C782" s="32"/>
      <c r="D782" s="32"/>
      <c r="E782" s="32"/>
      <c r="F782" s="32"/>
      <c r="G782" s="32"/>
      <c r="H782" s="32"/>
      <c r="K782" s="32"/>
    </row>
    <row r="783" ht="15.75" customHeight="1">
      <c r="A783" s="32"/>
      <c r="C783" s="32"/>
      <c r="D783" s="32"/>
      <c r="E783" s="32"/>
      <c r="F783" s="32"/>
      <c r="G783" s="32"/>
      <c r="H783" s="32"/>
      <c r="K783" s="32"/>
    </row>
    <row r="784" ht="15.75" customHeight="1">
      <c r="A784" s="32"/>
      <c r="C784" s="32"/>
      <c r="D784" s="32"/>
      <c r="E784" s="32"/>
      <c r="F784" s="32"/>
      <c r="G784" s="32"/>
      <c r="H784" s="32"/>
      <c r="K784" s="32"/>
    </row>
    <row r="785" ht="15.75" customHeight="1">
      <c r="A785" s="32"/>
      <c r="C785" s="32"/>
      <c r="D785" s="32"/>
      <c r="E785" s="32"/>
      <c r="F785" s="32"/>
      <c r="G785" s="32"/>
      <c r="H785" s="32"/>
      <c r="K785" s="32"/>
    </row>
    <row r="786" ht="15.75" customHeight="1">
      <c r="A786" s="32"/>
      <c r="C786" s="32"/>
      <c r="D786" s="32"/>
      <c r="E786" s="32"/>
      <c r="F786" s="32"/>
      <c r="G786" s="32"/>
      <c r="H786" s="32"/>
      <c r="K786" s="32"/>
    </row>
    <row r="787" ht="15.75" customHeight="1">
      <c r="A787" s="32"/>
      <c r="C787" s="32"/>
      <c r="D787" s="32"/>
      <c r="E787" s="32"/>
      <c r="F787" s="32"/>
      <c r="G787" s="32"/>
      <c r="H787" s="32"/>
      <c r="K787" s="32"/>
    </row>
    <row r="788" ht="15.75" customHeight="1">
      <c r="A788" s="32"/>
      <c r="C788" s="32"/>
      <c r="D788" s="32"/>
      <c r="E788" s="32"/>
      <c r="F788" s="32"/>
      <c r="G788" s="32"/>
      <c r="H788" s="32"/>
      <c r="K788" s="32"/>
    </row>
    <row r="789" ht="15.75" customHeight="1">
      <c r="A789" s="32"/>
      <c r="C789" s="32"/>
      <c r="D789" s="32"/>
      <c r="E789" s="32"/>
      <c r="F789" s="32"/>
      <c r="G789" s="32"/>
      <c r="H789" s="32"/>
      <c r="K789" s="32"/>
    </row>
    <row r="790" ht="15.75" customHeight="1">
      <c r="A790" s="32"/>
      <c r="C790" s="32"/>
      <c r="D790" s="32"/>
      <c r="E790" s="32"/>
      <c r="F790" s="32"/>
      <c r="G790" s="32"/>
      <c r="H790" s="32"/>
      <c r="K790" s="32"/>
    </row>
    <row r="791" ht="15.75" customHeight="1">
      <c r="A791" s="32"/>
      <c r="C791" s="32"/>
      <c r="D791" s="32"/>
      <c r="E791" s="32"/>
      <c r="F791" s="32"/>
      <c r="G791" s="32"/>
      <c r="H791" s="32"/>
      <c r="K791" s="32"/>
    </row>
    <row r="792" ht="15.75" customHeight="1">
      <c r="A792" s="32"/>
      <c r="C792" s="32"/>
      <c r="D792" s="32"/>
      <c r="E792" s="32"/>
      <c r="F792" s="32"/>
      <c r="G792" s="32"/>
      <c r="H792" s="32"/>
      <c r="K792" s="32"/>
    </row>
    <row r="793" ht="15.75" customHeight="1">
      <c r="A793" s="32"/>
      <c r="C793" s="32"/>
      <c r="D793" s="32"/>
      <c r="E793" s="32"/>
      <c r="F793" s="32"/>
      <c r="G793" s="32"/>
      <c r="H793" s="32"/>
      <c r="K793" s="32"/>
    </row>
    <row r="794" ht="15.75" customHeight="1">
      <c r="A794" s="32"/>
      <c r="C794" s="32"/>
      <c r="D794" s="32"/>
      <c r="E794" s="32"/>
      <c r="F794" s="32"/>
      <c r="G794" s="32"/>
      <c r="H794" s="32"/>
      <c r="K794" s="32"/>
    </row>
    <row r="795" ht="15.75" customHeight="1">
      <c r="A795" s="32"/>
      <c r="C795" s="32"/>
      <c r="D795" s="32"/>
      <c r="E795" s="32"/>
      <c r="F795" s="32"/>
      <c r="G795" s="32"/>
      <c r="H795" s="32"/>
      <c r="K795" s="32"/>
    </row>
    <row r="796" ht="15.75" customHeight="1">
      <c r="A796" s="32"/>
      <c r="C796" s="32"/>
      <c r="D796" s="32"/>
      <c r="E796" s="32"/>
      <c r="F796" s="32"/>
      <c r="G796" s="32"/>
      <c r="H796" s="32"/>
      <c r="K796" s="32"/>
    </row>
    <row r="797" ht="15.75" customHeight="1">
      <c r="A797" s="32"/>
      <c r="C797" s="32"/>
      <c r="D797" s="32"/>
      <c r="E797" s="32"/>
      <c r="F797" s="32"/>
      <c r="G797" s="32"/>
      <c r="H797" s="32"/>
      <c r="K797" s="32"/>
    </row>
    <row r="798" ht="15.75" customHeight="1">
      <c r="A798" s="32"/>
      <c r="C798" s="32"/>
      <c r="D798" s="32"/>
      <c r="E798" s="32"/>
      <c r="F798" s="32"/>
      <c r="G798" s="32"/>
      <c r="H798" s="32"/>
      <c r="K798" s="32"/>
    </row>
    <row r="799" ht="15.75" customHeight="1">
      <c r="A799" s="32"/>
      <c r="C799" s="32"/>
      <c r="D799" s="32"/>
      <c r="E799" s="32"/>
      <c r="F799" s="32"/>
      <c r="G799" s="32"/>
      <c r="H799" s="32"/>
      <c r="K799" s="32"/>
    </row>
    <row r="800" ht="15.75" customHeight="1">
      <c r="A800" s="32"/>
      <c r="C800" s="32"/>
      <c r="D800" s="32"/>
      <c r="E800" s="32"/>
      <c r="F800" s="32"/>
      <c r="G800" s="32"/>
      <c r="H800" s="32"/>
      <c r="K800" s="32"/>
    </row>
    <row r="801" ht="15.75" customHeight="1">
      <c r="A801" s="32"/>
      <c r="C801" s="32"/>
      <c r="D801" s="32"/>
      <c r="E801" s="32"/>
      <c r="F801" s="32"/>
      <c r="G801" s="32"/>
      <c r="H801" s="32"/>
      <c r="K801" s="32"/>
    </row>
    <row r="802" ht="15.75" customHeight="1">
      <c r="A802" s="32"/>
      <c r="C802" s="32"/>
      <c r="D802" s="32"/>
      <c r="E802" s="32"/>
      <c r="F802" s="32"/>
      <c r="G802" s="32"/>
      <c r="H802" s="32"/>
      <c r="K802" s="32"/>
    </row>
    <row r="803" ht="15.75" customHeight="1">
      <c r="A803" s="32"/>
      <c r="C803" s="32"/>
      <c r="D803" s="32"/>
      <c r="E803" s="32"/>
      <c r="F803" s="32"/>
      <c r="G803" s="32"/>
      <c r="H803" s="32"/>
      <c r="K803" s="32"/>
    </row>
    <row r="804" ht="15.75" customHeight="1">
      <c r="A804" s="32"/>
      <c r="C804" s="32"/>
      <c r="D804" s="32"/>
      <c r="E804" s="32"/>
      <c r="F804" s="32"/>
      <c r="G804" s="32"/>
      <c r="H804" s="32"/>
      <c r="K804" s="32"/>
    </row>
    <row r="805" ht="15.75" customHeight="1">
      <c r="A805" s="32"/>
      <c r="C805" s="32"/>
      <c r="D805" s="32"/>
      <c r="E805" s="32"/>
      <c r="F805" s="32"/>
      <c r="G805" s="32"/>
      <c r="H805" s="32"/>
      <c r="K805" s="32"/>
    </row>
    <row r="806" ht="15.75" customHeight="1">
      <c r="A806" s="32"/>
      <c r="C806" s="32"/>
      <c r="D806" s="32"/>
      <c r="E806" s="32"/>
      <c r="F806" s="32"/>
      <c r="G806" s="32"/>
      <c r="H806" s="32"/>
      <c r="K806" s="32"/>
    </row>
    <row r="807" ht="15.75" customHeight="1">
      <c r="A807" s="32"/>
      <c r="C807" s="32"/>
      <c r="D807" s="32"/>
      <c r="E807" s="32"/>
      <c r="F807" s="32"/>
      <c r="G807" s="32"/>
      <c r="H807" s="32"/>
      <c r="K807" s="32"/>
    </row>
    <row r="808" ht="15.75" customHeight="1">
      <c r="A808" s="32"/>
      <c r="C808" s="32"/>
      <c r="D808" s="32"/>
      <c r="E808" s="32"/>
      <c r="F808" s="32"/>
      <c r="G808" s="32"/>
      <c r="H808" s="32"/>
      <c r="K808" s="32"/>
    </row>
    <row r="809" ht="15.75" customHeight="1">
      <c r="A809" s="32"/>
      <c r="C809" s="32"/>
      <c r="D809" s="32"/>
      <c r="E809" s="32"/>
      <c r="F809" s="32"/>
      <c r="G809" s="32"/>
      <c r="H809" s="32"/>
      <c r="K809" s="32"/>
    </row>
    <row r="810" ht="15.75" customHeight="1">
      <c r="A810" s="32"/>
      <c r="C810" s="32"/>
      <c r="D810" s="32"/>
      <c r="E810" s="32"/>
      <c r="F810" s="32"/>
      <c r="G810" s="32"/>
      <c r="H810" s="32"/>
      <c r="K810" s="32"/>
    </row>
    <row r="811" ht="15.75" customHeight="1">
      <c r="A811" s="32"/>
      <c r="C811" s="32"/>
      <c r="D811" s="32"/>
      <c r="E811" s="32"/>
      <c r="F811" s="32"/>
      <c r="G811" s="32"/>
      <c r="H811" s="32"/>
      <c r="K811" s="32"/>
    </row>
    <row r="812" ht="15.75" customHeight="1">
      <c r="A812" s="32"/>
      <c r="C812" s="32"/>
      <c r="D812" s="32"/>
      <c r="E812" s="32"/>
      <c r="F812" s="32"/>
      <c r="G812" s="32"/>
      <c r="H812" s="32"/>
      <c r="K812" s="32"/>
    </row>
    <row r="813" ht="15.75" customHeight="1">
      <c r="A813" s="32"/>
      <c r="C813" s="32"/>
      <c r="D813" s="32"/>
      <c r="E813" s="32"/>
      <c r="F813" s="32"/>
      <c r="G813" s="32"/>
      <c r="H813" s="32"/>
      <c r="K813" s="32"/>
    </row>
    <row r="814" ht="15.75" customHeight="1">
      <c r="A814" s="32"/>
      <c r="C814" s="32"/>
      <c r="D814" s="32"/>
      <c r="E814" s="32"/>
      <c r="F814" s="32"/>
      <c r="G814" s="32"/>
      <c r="H814" s="32"/>
      <c r="K814" s="32"/>
    </row>
    <row r="815" ht="15.75" customHeight="1">
      <c r="A815" s="32"/>
      <c r="C815" s="32"/>
      <c r="D815" s="32"/>
      <c r="E815" s="32"/>
      <c r="F815" s="32"/>
      <c r="G815" s="32"/>
      <c r="H815" s="32"/>
      <c r="K815" s="32"/>
    </row>
    <row r="816" ht="15.75" customHeight="1">
      <c r="A816" s="32"/>
      <c r="C816" s="32"/>
      <c r="D816" s="32"/>
      <c r="E816" s="32"/>
      <c r="F816" s="32"/>
      <c r="G816" s="32"/>
      <c r="H816" s="32"/>
      <c r="K816" s="32"/>
    </row>
    <row r="817" ht="15.75" customHeight="1">
      <c r="A817" s="32"/>
      <c r="C817" s="32"/>
      <c r="D817" s="32"/>
      <c r="E817" s="32"/>
      <c r="F817" s="32"/>
      <c r="G817" s="32"/>
      <c r="H817" s="32"/>
      <c r="K817" s="32"/>
    </row>
    <row r="818" ht="15.75" customHeight="1">
      <c r="A818" s="32"/>
      <c r="C818" s="32"/>
      <c r="D818" s="32"/>
      <c r="E818" s="32"/>
      <c r="F818" s="32"/>
      <c r="G818" s="32"/>
      <c r="H818" s="32"/>
      <c r="K818" s="32"/>
    </row>
    <row r="819" ht="15.75" customHeight="1">
      <c r="A819" s="32"/>
      <c r="C819" s="32"/>
      <c r="D819" s="32"/>
      <c r="E819" s="32"/>
      <c r="F819" s="32"/>
      <c r="G819" s="32"/>
      <c r="H819" s="32"/>
      <c r="K819" s="32"/>
    </row>
    <row r="820" ht="15.75" customHeight="1">
      <c r="A820" s="32"/>
      <c r="C820" s="32"/>
      <c r="D820" s="32"/>
      <c r="E820" s="32"/>
      <c r="F820" s="32"/>
      <c r="G820" s="32"/>
      <c r="H820" s="32"/>
      <c r="K820" s="32"/>
    </row>
    <row r="821" ht="15.75" customHeight="1">
      <c r="A821" s="32"/>
      <c r="C821" s="32"/>
      <c r="D821" s="32"/>
      <c r="E821" s="32"/>
      <c r="F821" s="32"/>
      <c r="G821" s="32"/>
      <c r="H821" s="32"/>
      <c r="K821" s="32"/>
    </row>
    <row r="822" ht="15.75" customHeight="1">
      <c r="A822" s="32"/>
      <c r="C822" s="32"/>
      <c r="D822" s="32"/>
      <c r="E822" s="32"/>
      <c r="F822" s="32"/>
      <c r="G822" s="32"/>
      <c r="H822" s="32"/>
      <c r="K822" s="32"/>
    </row>
    <row r="823" ht="15.75" customHeight="1">
      <c r="A823" s="32"/>
      <c r="C823" s="32"/>
      <c r="D823" s="32"/>
      <c r="E823" s="32"/>
      <c r="F823" s="32"/>
      <c r="G823" s="32"/>
      <c r="H823" s="32"/>
      <c r="K823" s="32"/>
    </row>
    <row r="824" ht="15.75" customHeight="1">
      <c r="A824" s="32"/>
      <c r="C824" s="32"/>
      <c r="D824" s="32"/>
      <c r="E824" s="32"/>
      <c r="F824" s="32"/>
      <c r="G824" s="32"/>
      <c r="H824" s="32"/>
      <c r="K824" s="32"/>
    </row>
    <row r="825" ht="15.75" customHeight="1">
      <c r="A825" s="32"/>
      <c r="C825" s="32"/>
      <c r="D825" s="32"/>
      <c r="E825" s="32"/>
      <c r="F825" s="32"/>
      <c r="G825" s="32"/>
      <c r="H825" s="32"/>
      <c r="K825" s="32"/>
    </row>
    <row r="826" ht="15.75" customHeight="1">
      <c r="A826" s="32"/>
      <c r="C826" s="32"/>
      <c r="D826" s="32"/>
      <c r="E826" s="32"/>
      <c r="F826" s="32"/>
      <c r="G826" s="32"/>
      <c r="H826" s="32"/>
      <c r="K826" s="32"/>
    </row>
    <row r="827" ht="15.75" customHeight="1">
      <c r="A827" s="32"/>
      <c r="C827" s="32"/>
      <c r="D827" s="32"/>
      <c r="E827" s="32"/>
      <c r="F827" s="32"/>
      <c r="G827" s="32"/>
      <c r="H827" s="32"/>
      <c r="K827" s="32"/>
    </row>
    <row r="828" ht="15.75" customHeight="1">
      <c r="A828" s="32"/>
      <c r="C828" s="32"/>
      <c r="D828" s="32"/>
      <c r="E828" s="32"/>
      <c r="F828" s="32"/>
      <c r="G828" s="32"/>
      <c r="H828" s="32"/>
      <c r="K828" s="32"/>
    </row>
    <row r="829" ht="15.75" customHeight="1">
      <c r="A829" s="32"/>
      <c r="C829" s="32"/>
      <c r="D829" s="32"/>
      <c r="E829" s="32"/>
      <c r="F829" s="32"/>
      <c r="G829" s="32"/>
      <c r="H829" s="32"/>
      <c r="K829" s="32"/>
    </row>
    <row r="830" ht="15.75" customHeight="1">
      <c r="A830" s="32"/>
      <c r="C830" s="32"/>
      <c r="D830" s="32"/>
      <c r="E830" s="32"/>
      <c r="F830" s="32"/>
      <c r="G830" s="32"/>
      <c r="H830" s="32"/>
      <c r="K830" s="32"/>
    </row>
    <row r="831" ht="15.75" customHeight="1">
      <c r="A831" s="32"/>
      <c r="C831" s="32"/>
      <c r="D831" s="32"/>
      <c r="E831" s="32"/>
      <c r="F831" s="32"/>
      <c r="G831" s="32"/>
      <c r="H831" s="32"/>
      <c r="K831" s="32"/>
    </row>
    <row r="832" ht="15.75" customHeight="1">
      <c r="A832" s="32"/>
      <c r="C832" s="32"/>
      <c r="D832" s="32"/>
      <c r="E832" s="32"/>
      <c r="F832" s="32"/>
      <c r="G832" s="32"/>
      <c r="H832" s="32"/>
      <c r="K832" s="32"/>
    </row>
    <row r="833" ht="15.75" customHeight="1">
      <c r="A833" s="32"/>
      <c r="C833" s="32"/>
      <c r="D833" s="32"/>
      <c r="E833" s="32"/>
      <c r="F833" s="32"/>
      <c r="G833" s="32"/>
      <c r="H833" s="32"/>
      <c r="K833" s="32"/>
    </row>
    <row r="834" ht="15.75" customHeight="1">
      <c r="A834" s="32"/>
      <c r="C834" s="32"/>
      <c r="D834" s="32"/>
      <c r="E834" s="32"/>
      <c r="F834" s="32"/>
      <c r="G834" s="32"/>
      <c r="H834" s="32"/>
      <c r="K834" s="32"/>
    </row>
    <row r="835" ht="15.75" customHeight="1">
      <c r="A835" s="32"/>
      <c r="C835" s="32"/>
      <c r="D835" s="32"/>
      <c r="E835" s="32"/>
      <c r="F835" s="32"/>
      <c r="G835" s="32"/>
      <c r="H835" s="32"/>
      <c r="K835" s="32"/>
    </row>
    <row r="836" ht="15.75" customHeight="1">
      <c r="A836" s="32"/>
      <c r="C836" s="32"/>
      <c r="D836" s="32"/>
      <c r="E836" s="32"/>
      <c r="F836" s="32"/>
      <c r="G836" s="32"/>
      <c r="H836" s="32"/>
      <c r="K836" s="32"/>
    </row>
    <row r="837" ht="15.75" customHeight="1">
      <c r="A837" s="32"/>
      <c r="C837" s="32"/>
      <c r="D837" s="32"/>
      <c r="E837" s="32"/>
      <c r="F837" s="32"/>
      <c r="G837" s="32"/>
      <c r="H837" s="32"/>
      <c r="K837" s="32"/>
    </row>
    <row r="838" ht="15.75" customHeight="1">
      <c r="A838" s="32"/>
      <c r="C838" s="32"/>
      <c r="D838" s="32"/>
      <c r="E838" s="32"/>
      <c r="F838" s="32"/>
      <c r="G838" s="32"/>
      <c r="H838" s="32"/>
      <c r="K838" s="32"/>
    </row>
    <row r="839" ht="15.75" customHeight="1">
      <c r="A839" s="32"/>
      <c r="C839" s="32"/>
      <c r="D839" s="32"/>
      <c r="E839" s="32"/>
      <c r="F839" s="32"/>
      <c r="G839" s="32"/>
      <c r="H839" s="32"/>
      <c r="K839" s="32"/>
    </row>
    <row r="840" ht="15.75" customHeight="1">
      <c r="A840" s="32"/>
      <c r="C840" s="32"/>
      <c r="D840" s="32"/>
      <c r="E840" s="32"/>
      <c r="F840" s="32"/>
      <c r="G840" s="32"/>
      <c r="H840" s="32"/>
      <c r="K840" s="32"/>
    </row>
    <row r="841" ht="15.75" customHeight="1">
      <c r="A841" s="32"/>
      <c r="C841" s="32"/>
      <c r="D841" s="32"/>
      <c r="E841" s="32"/>
      <c r="F841" s="32"/>
      <c r="G841" s="32"/>
      <c r="H841" s="32"/>
      <c r="K841" s="32"/>
    </row>
    <row r="842" ht="15.75" customHeight="1">
      <c r="A842" s="32"/>
      <c r="C842" s="32"/>
      <c r="D842" s="32"/>
      <c r="E842" s="32"/>
      <c r="F842" s="32"/>
      <c r="G842" s="32"/>
      <c r="H842" s="32"/>
      <c r="K842" s="32"/>
    </row>
    <row r="843" ht="15.75" customHeight="1">
      <c r="A843" s="32"/>
      <c r="C843" s="32"/>
      <c r="D843" s="32"/>
      <c r="E843" s="32"/>
      <c r="F843" s="32"/>
      <c r="G843" s="32"/>
      <c r="H843" s="32"/>
      <c r="K843" s="32"/>
    </row>
    <row r="844" ht="15.75" customHeight="1">
      <c r="A844" s="32"/>
      <c r="C844" s="32"/>
      <c r="D844" s="32"/>
      <c r="E844" s="32"/>
      <c r="F844" s="32"/>
      <c r="G844" s="32"/>
      <c r="H844" s="32"/>
      <c r="K844" s="32"/>
    </row>
    <row r="845" ht="15.75" customHeight="1">
      <c r="A845" s="32"/>
      <c r="C845" s="32"/>
      <c r="D845" s="32"/>
      <c r="E845" s="32"/>
      <c r="F845" s="32"/>
      <c r="G845" s="32"/>
      <c r="H845" s="32"/>
      <c r="K845" s="32"/>
    </row>
    <row r="846" ht="15.75" customHeight="1">
      <c r="A846" s="32"/>
      <c r="C846" s="32"/>
      <c r="D846" s="32"/>
      <c r="E846" s="32"/>
      <c r="F846" s="32"/>
      <c r="G846" s="32"/>
      <c r="H846" s="32"/>
      <c r="K846" s="32"/>
    </row>
    <row r="847" ht="15.75" customHeight="1">
      <c r="A847" s="32"/>
      <c r="C847" s="32"/>
      <c r="D847" s="32"/>
      <c r="E847" s="32"/>
      <c r="F847" s="32"/>
      <c r="G847" s="32"/>
      <c r="H847" s="32"/>
      <c r="K847" s="32"/>
    </row>
    <row r="848" ht="15.75" customHeight="1">
      <c r="A848" s="32"/>
      <c r="C848" s="32"/>
      <c r="D848" s="32"/>
      <c r="E848" s="32"/>
      <c r="F848" s="32"/>
      <c r="G848" s="32"/>
      <c r="H848" s="32"/>
      <c r="K848" s="32"/>
    </row>
    <row r="849" ht="15.75" customHeight="1">
      <c r="A849" s="32"/>
      <c r="C849" s="32"/>
      <c r="D849" s="32"/>
      <c r="E849" s="32"/>
      <c r="F849" s="32"/>
      <c r="G849" s="32"/>
      <c r="H849" s="32"/>
      <c r="K849" s="32"/>
    </row>
    <row r="850" ht="15.75" customHeight="1">
      <c r="A850" s="32"/>
      <c r="C850" s="32"/>
      <c r="D850" s="32"/>
      <c r="E850" s="32"/>
      <c r="F850" s="32"/>
      <c r="G850" s="32"/>
      <c r="H850" s="32"/>
      <c r="K850" s="32"/>
    </row>
    <row r="851" ht="15.75" customHeight="1">
      <c r="A851" s="32"/>
      <c r="C851" s="32"/>
      <c r="D851" s="32"/>
      <c r="E851" s="32"/>
      <c r="F851" s="32"/>
      <c r="G851" s="32"/>
      <c r="H851" s="32"/>
      <c r="K851" s="32"/>
    </row>
    <row r="852" ht="15.75" customHeight="1">
      <c r="A852" s="32"/>
      <c r="C852" s="32"/>
      <c r="D852" s="32"/>
      <c r="E852" s="32"/>
      <c r="F852" s="32"/>
      <c r="G852" s="32"/>
      <c r="H852" s="32"/>
      <c r="K852" s="32"/>
    </row>
    <row r="853" ht="15.75" customHeight="1">
      <c r="A853" s="32"/>
      <c r="C853" s="32"/>
      <c r="D853" s="32"/>
      <c r="E853" s="32"/>
      <c r="F853" s="32"/>
      <c r="G853" s="32"/>
      <c r="H853" s="32"/>
      <c r="K853" s="32"/>
    </row>
    <row r="854" ht="15.75" customHeight="1">
      <c r="A854" s="32"/>
      <c r="C854" s="32"/>
      <c r="D854" s="32"/>
      <c r="E854" s="32"/>
      <c r="F854" s="32"/>
      <c r="G854" s="32"/>
      <c r="H854" s="32"/>
      <c r="K854" s="32"/>
    </row>
    <row r="855" ht="15.75" customHeight="1">
      <c r="A855" s="32"/>
      <c r="C855" s="32"/>
      <c r="D855" s="32"/>
      <c r="E855" s="32"/>
      <c r="F855" s="32"/>
      <c r="G855" s="32"/>
      <c r="H855" s="32"/>
      <c r="K855" s="32"/>
    </row>
    <row r="856" ht="15.75" customHeight="1">
      <c r="A856" s="32"/>
      <c r="C856" s="32"/>
      <c r="D856" s="32"/>
      <c r="E856" s="32"/>
      <c r="F856" s="32"/>
      <c r="G856" s="32"/>
      <c r="H856" s="32"/>
      <c r="K856" s="32"/>
    </row>
    <row r="857" ht="15.75" customHeight="1">
      <c r="A857" s="32"/>
      <c r="C857" s="32"/>
      <c r="D857" s="32"/>
      <c r="E857" s="32"/>
      <c r="F857" s="32"/>
      <c r="G857" s="32"/>
      <c r="H857" s="32"/>
      <c r="K857" s="32"/>
    </row>
    <row r="858" ht="15.75" customHeight="1">
      <c r="A858" s="32"/>
      <c r="C858" s="32"/>
      <c r="D858" s="32"/>
      <c r="E858" s="32"/>
      <c r="F858" s="32"/>
      <c r="G858" s="32"/>
      <c r="H858" s="32"/>
      <c r="K858" s="32"/>
    </row>
    <row r="859" ht="15.75" customHeight="1">
      <c r="A859" s="32"/>
      <c r="C859" s="32"/>
      <c r="D859" s="32"/>
      <c r="E859" s="32"/>
      <c r="F859" s="32"/>
      <c r="G859" s="32"/>
      <c r="H859" s="32"/>
      <c r="K859" s="32"/>
    </row>
    <row r="860" ht="15.75" customHeight="1">
      <c r="A860" s="32"/>
      <c r="C860" s="32"/>
      <c r="D860" s="32"/>
      <c r="E860" s="32"/>
      <c r="F860" s="32"/>
      <c r="G860" s="32"/>
      <c r="H860" s="32"/>
      <c r="K860" s="32"/>
    </row>
    <row r="861" ht="15.75" customHeight="1">
      <c r="A861" s="32"/>
      <c r="C861" s="32"/>
      <c r="D861" s="32"/>
      <c r="E861" s="32"/>
      <c r="F861" s="32"/>
      <c r="G861" s="32"/>
      <c r="H861" s="32"/>
      <c r="K861" s="32"/>
    </row>
    <row r="862" ht="15.75" customHeight="1">
      <c r="A862" s="32"/>
      <c r="C862" s="32"/>
      <c r="D862" s="32"/>
      <c r="E862" s="32"/>
      <c r="F862" s="32"/>
      <c r="G862" s="32"/>
      <c r="H862" s="32"/>
      <c r="K862" s="32"/>
    </row>
    <row r="863" ht="15.75" customHeight="1">
      <c r="A863" s="32"/>
      <c r="C863" s="32"/>
      <c r="D863" s="32"/>
      <c r="E863" s="32"/>
      <c r="F863" s="32"/>
      <c r="G863" s="32"/>
      <c r="H863" s="32"/>
      <c r="K863" s="32"/>
    </row>
    <row r="864" ht="15.75" customHeight="1">
      <c r="A864" s="32"/>
      <c r="C864" s="32"/>
      <c r="D864" s="32"/>
      <c r="E864" s="32"/>
      <c r="F864" s="32"/>
      <c r="G864" s="32"/>
      <c r="H864" s="32"/>
      <c r="K864" s="32"/>
    </row>
    <row r="865" ht="15.75" customHeight="1">
      <c r="A865" s="32"/>
      <c r="C865" s="32"/>
      <c r="D865" s="32"/>
      <c r="E865" s="32"/>
      <c r="F865" s="32"/>
      <c r="G865" s="32"/>
      <c r="H865" s="32"/>
      <c r="K865" s="32"/>
    </row>
    <row r="866" ht="15.75" customHeight="1">
      <c r="A866" s="32"/>
      <c r="C866" s="32"/>
      <c r="D866" s="32"/>
      <c r="E866" s="32"/>
      <c r="F866" s="32"/>
      <c r="G866" s="32"/>
      <c r="H866" s="32"/>
      <c r="K866" s="32"/>
    </row>
    <row r="867" ht="15.75" customHeight="1">
      <c r="A867" s="32"/>
      <c r="C867" s="32"/>
      <c r="D867" s="32"/>
      <c r="E867" s="32"/>
      <c r="F867" s="32"/>
      <c r="G867" s="32"/>
      <c r="H867" s="32"/>
      <c r="K867" s="32"/>
    </row>
    <row r="868" ht="15.75" customHeight="1">
      <c r="A868" s="32"/>
      <c r="C868" s="32"/>
      <c r="D868" s="32"/>
      <c r="E868" s="32"/>
      <c r="F868" s="32"/>
      <c r="G868" s="32"/>
      <c r="H868" s="32"/>
      <c r="K868" s="32"/>
    </row>
    <row r="869" ht="15.75" customHeight="1">
      <c r="A869" s="32"/>
      <c r="C869" s="32"/>
      <c r="D869" s="32"/>
      <c r="E869" s="32"/>
      <c r="F869" s="32"/>
      <c r="G869" s="32"/>
      <c r="H869" s="32"/>
      <c r="K869" s="32"/>
    </row>
    <row r="870" ht="15.75" customHeight="1">
      <c r="A870" s="32"/>
      <c r="C870" s="32"/>
      <c r="D870" s="32"/>
      <c r="E870" s="32"/>
      <c r="F870" s="32"/>
      <c r="G870" s="32"/>
      <c r="H870" s="32"/>
      <c r="K870" s="32"/>
    </row>
    <row r="871" ht="15.75" customHeight="1">
      <c r="A871" s="32"/>
      <c r="C871" s="32"/>
      <c r="D871" s="32"/>
      <c r="E871" s="32"/>
      <c r="F871" s="32"/>
      <c r="G871" s="32"/>
      <c r="H871" s="32"/>
      <c r="K871" s="32"/>
    </row>
    <row r="872" ht="15.75" customHeight="1">
      <c r="A872" s="32"/>
      <c r="C872" s="32"/>
      <c r="D872" s="32"/>
      <c r="E872" s="32"/>
      <c r="F872" s="32"/>
      <c r="G872" s="32"/>
      <c r="H872" s="32"/>
      <c r="K872" s="32"/>
    </row>
    <row r="873" ht="15.75" customHeight="1">
      <c r="A873" s="32"/>
      <c r="C873" s="32"/>
      <c r="D873" s="32"/>
      <c r="E873" s="32"/>
      <c r="F873" s="32"/>
      <c r="G873" s="32"/>
      <c r="H873" s="32"/>
      <c r="K873" s="32"/>
    </row>
    <row r="874" ht="15.75" customHeight="1">
      <c r="A874" s="32"/>
      <c r="C874" s="32"/>
      <c r="D874" s="32"/>
      <c r="E874" s="32"/>
      <c r="F874" s="32"/>
      <c r="G874" s="32"/>
      <c r="H874" s="32"/>
      <c r="K874" s="32"/>
    </row>
    <row r="875" ht="15.75" customHeight="1">
      <c r="A875" s="32"/>
      <c r="C875" s="32"/>
      <c r="D875" s="32"/>
      <c r="E875" s="32"/>
      <c r="F875" s="32"/>
      <c r="G875" s="32"/>
      <c r="H875" s="32"/>
      <c r="K875" s="32"/>
    </row>
    <row r="876" ht="15.75" customHeight="1">
      <c r="A876" s="32"/>
      <c r="C876" s="32"/>
      <c r="D876" s="32"/>
      <c r="E876" s="32"/>
      <c r="F876" s="32"/>
      <c r="G876" s="32"/>
      <c r="H876" s="32"/>
      <c r="K876" s="32"/>
    </row>
    <row r="877" ht="15.75" customHeight="1">
      <c r="A877" s="32"/>
      <c r="C877" s="32"/>
      <c r="D877" s="32"/>
      <c r="E877" s="32"/>
      <c r="F877" s="32"/>
      <c r="G877" s="32"/>
      <c r="H877" s="32"/>
      <c r="K877" s="32"/>
    </row>
    <row r="878" ht="15.75" customHeight="1">
      <c r="A878" s="32"/>
      <c r="C878" s="32"/>
      <c r="D878" s="32"/>
      <c r="E878" s="32"/>
      <c r="F878" s="32"/>
      <c r="G878" s="32"/>
      <c r="H878" s="32"/>
      <c r="K878" s="32"/>
    </row>
    <row r="879" ht="15.75" customHeight="1">
      <c r="A879" s="32"/>
      <c r="C879" s="32"/>
      <c r="D879" s="32"/>
      <c r="E879" s="32"/>
      <c r="F879" s="32"/>
      <c r="G879" s="32"/>
      <c r="H879" s="32"/>
      <c r="K879" s="32"/>
    </row>
    <row r="880" ht="15.75" customHeight="1">
      <c r="A880" s="32"/>
      <c r="C880" s="32"/>
      <c r="D880" s="32"/>
      <c r="E880" s="32"/>
      <c r="F880" s="32"/>
      <c r="G880" s="32"/>
      <c r="H880" s="32"/>
      <c r="K880" s="32"/>
    </row>
    <row r="881" ht="15.75" customHeight="1">
      <c r="A881" s="32"/>
      <c r="C881" s="32"/>
      <c r="D881" s="32"/>
      <c r="E881" s="32"/>
      <c r="F881" s="32"/>
      <c r="G881" s="32"/>
      <c r="H881" s="32"/>
      <c r="K881" s="32"/>
    </row>
    <row r="882" ht="15.75" customHeight="1">
      <c r="A882" s="32"/>
      <c r="C882" s="32"/>
      <c r="D882" s="32"/>
      <c r="E882" s="32"/>
      <c r="F882" s="32"/>
      <c r="G882" s="32"/>
      <c r="H882" s="32"/>
      <c r="K882" s="32"/>
    </row>
    <row r="883" ht="15.75" customHeight="1">
      <c r="A883" s="32"/>
      <c r="C883" s="32"/>
      <c r="D883" s="32"/>
      <c r="E883" s="32"/>
      <c r="F883" s="32"/>
      <c r="G883" s="32"/>
      <c r="H883" s="32"/>
      <c r="K883" s="32"/>
    </row>
    <row r="884" ht="15.75" customHeight="1">
      <c r="A884" s="32"/>
      <c r="C884" s="32"/>
      <c r="D884" s="32"/>
      <c r="E884" s="32"/>
      <c r="F884" s="32"/>
      <c r="G884" s="32"/>
      <c r="H884" s="32"/>
      <c r="K884" s="32"/>
    </row>
    <row r="885" ht="15.75" customHeight="1">
      <c r="A885" s="32"/>
      <c r="C885" s="32"/>
      <c r="D885" s="32"/>
      <c r="E885" s="32"/>
      <c r="F885" s="32"/>
      <c r="G885" s="32"/>
      <c r="H885" s="32"/>
      <c r="K885" s="32"/>
    </row>
    <row r="886" ht="15.75" customHeight="1">
      <c r="A886" s="32"/>
      <c r="C886" s="32"/>
      <c r="D886" s="32"/>
      <c r="E886" s="32"/>
      <c r="F886" s="32"/>
      <c r="G886" s="32"/>
      <c r="H886" s="32"/>
      <c r="K886" s="32"/>
    </row>
    <row r="887" ht="15.75" customHeight="1">
      <c r="A887" s="32"/>
      <c r="C887" s="32"/>
      <c r="D887" s="32"/>
      <c r="E887" s="32"/>
      <c r="F887" s="32"/>
      <c r="G887" s="32"/>
      <c r="H887" s="32"/>
      <c r="K887" s="32"/>
    </row>
    <row r="888" ht="15.75" customHeight="1">
      <c r="A888" s="32"/>
      <c r="C888" s="32"/>
      <c r="D888" s="32"/>
      <c r="E888" s="32"/>
      <c r="F888" s="32"/>
      <c r="G888" s="32"/>
      <c r="H888" s="32"/>
      <c r="K888" s="32"/>
    </row>
    <row r="889" ht="15.75" customHeight="1">
      <c r="A889" s="32"/>
      <c r="C889" s="32"/>
      <c r="D889" s="32"/>
      <c r="E889" s="32"/>
      <c r="F889" s="32"/>
      <c r="G889" s="32"/>
      <c r="H889" s="32"/>
      <c r="K889" s="32"/>
    </row>
    <row r="890" ht="15.75" customHeight="1">
      <c r="A890" s="32"/>
      <c r="C890" s="32"/>
      <c r="D890" s="32"/>
      <c r="E890" s="32"/>
      <c r="F890" s="32"/>
      <c r="G890" s="32"/>
      <c r="H890" s="32"/>
      <c r="K890" s="32"/>
    </row>
    <row r="891" ht="15.75" customHeight="1">
      <c r="A891" s="32"/>
      <c r="C891" s="32"/>
      <c r="D891" s="32"/>
      <c r="E891" s="32"/>
      <c r="F891" s="32"/>
      <c r="G891" s="32"/>
      <c r="H891" s="32"/>
      <c r="K891" s="32"/>
    </row>
    <row r="892" ht="15.75" customHeight="1">
      <c r="A892" s="32"/>
      <c r="C892" s="32"/>
      <c r="D892" s="32"/>
      <c r="E892" s="32"/>
      <c r="F892" s="32"/>
      <c r="G892" s="32"/>
      <c r="H892" s="32"/>
      <c r="K892" s="32"/>
    </row>
    <row r="893" ht="15.75" customHeight="1">
      <c r="A893" s="32"/>
      <c r="C893" s="32"/>
      <c r="D893" s="32"/>
      <c r="E893" s="32"/>
      <c r="F893" s="32"/>
      <c r="G893" s="32"/>
      <c r="H893" s="32"/>
      <c r="K893" s="32"/>
    </row>
    <row r="894" ht="15.75" customHeight="1">
      <c r="A894" s="32"/>
      <c r="C894" s="32"/>
      <c r="D894" s="32"/>
      <c r="E894" s="32"/>
      <c r="F894" s="32"/>
      <c r="G894" s="32"/>
      <c r="H894" s="32"/>
      <c r="K894" s="32"/>
    </row>
    <row r="895" ht="15.75" customHeight="1">
      <c r="A895" s="32"/>
      <c r="C895" s="32"/>
      <c r="D895" s="32"/>
      <c r="E895" s="32"/>
      <c r="F895" s="32"/>
      <c r="G895" s="32"/>
      <c r="H895" s="32"/>
      <c r="K895" s="32"/>
    </row>
    <row r="896" ht="15.75" customHeight="1">
      <c r="A896" s="32"/>
      <c r="C896" s="32"/>
      <c r="D896" s="32"/>
      <c r="E896" s="32"/>
      <c r="F896" s="32"/>
      <c r="G896" s="32"/>
      <c r="H896" s="32"/>
      <c r="K896" s="32"/>
    </row>
    <row r="897" ht="15.75" customHeight="1">
      <c r="A897" s="32"/>
      <c r="C897" s="32"/>
      <c r="D897" s="32"/>
      <c r="E897" s="32"/>
      <c r="F897" s="32"/>
      <c r="G897" s="32"/>
      <c r="H897" s="32"/>
      <c r="K897" s="32"/>
    </row>
    <row r="898" ht="15.75" customHeight="1">
      <c r="A898" s="32"/>
      <c r="C898" s="32"/>
      <c r="D898" s="32"/>
      <c r="E898" s="32"/>
      <c r="F898" s="32"/>
      <c r="G898" s="32"/>
      <c r="H898" s="32"/>
      <c r="K898" s="32"/>
    </row>
    <row r="899" ht="15.75" customHeight="1">
      <c r="A899" s="32"/>
      <c r="C899" s="32"/>
      <c r="D899" s="32"/>
      <c r="E899" s="32"/>
      <c r="F899" s="32"/>
      <c r="G899" s="32"/>
      <c r="H899" s="32"/>
      <c r="K899" s="32"/>
    </row>
    <row r="900" ht="15.75" customHeight="1">
      <c r="A900" s="32"/>
      <c r="C900" s="32"/>
      <c r="D900" s="32"/>
      <c r="E900" s="32"/>
      <c r="F900" s="32"/>
      <c r="G900" s="32"/>
      <c r="H900" s="32"/>
      <c r="K900" s="32"/>
    </row>
    <row r="901" ht="15.75" customHeight="1">
      <c r="A901" s="32"/>
      <c r="C901" s="32"/>
      <c r="D901" s="32"/>
      <c r="E901" s="32"/>
      <c r="F901" s="32"/>
      <c r="G901" s="32"/>
      <c r="H901" s="32"/>
      <c r="K901" s="32"/>
    </row>
    <row r="902" ht="15.75" customHeight="1">
      <c r="A902" s="32"/>
      <c r="C902" s="32"/>
      <c r="D902" s="32"/>
      <c r="E902" s="32"/>
      <c r="F902" s="32"/>
      <c r="G902" s="32"/>
      <c r="H902" s="32"/>
      <c r="K902" s="32"/>
    </row>
    <row r="903" ht="15.75" customHeight="1">
      <c r="A903" s="32"/>
      <c r="C903" s="32"/>
      <c r="D903" s="32"/>
      <c r="E903" s="32"/>
      <c r="F903" s="32"/>
      <c r="G903" s="32"/>
      <c r="H903" s="32"/>
      <c r="K903" s="32"/>
    </row>
    <row r="904" ht="15.75" customHeight="1">
      <c r="A904" s="32"/>
      <c r="C904" s="32"/>
      <c r="D904" s="32"/>
      <c r="E904" s="32"/>
      <c r="F904" s="32"/>
      <c r="G904" s="32"/>
      <c r="H904" s="32"/>
      <c r="K904" s="32"/>
    </row>
    <row r="905" ht="15.75" customHeight="1">
      <c r="A905" s="32"/>
      <c r="C905" s="32"/>
      <c r="D905" s="32"/>
      <c r="E905" s="32"/>
      <c r="F905" s="32"/>
      <c r="G905" s="32"/>
      <c r="H905" s="32"/>
      <c r="K905" s="32"/>
    </row>
    <row r="906" ht="15.75" customHeight="1">
      <c r="A906" s="32"/>
      <c r="C906" s="32"/>
      <c r="D906" s="32"/>
      <c r="E906" s="32"/>
      <c r="F906" s="32"/>
      <c r="G906" s="32"/>
      <c r="H906" s="32"/>
      <c r="K906" s="32"/>
    </row>
    <row r="907" ht="15.75" customHeight="1">
      <c r="A907" s="32"/>
      <c r="C907" s="32"/>
      <c r="D907" s="32"/>
      <c r="E907" s="32"/>
      <c r="F907" s="32"/>
      <c r="G907" s="32"/>
      <c r="H907" s="32"/>
      <c r="K907" s="32"/>
    </row>
    <row r="908" ht="15.75" customHeight="1">
      <c r="A908" s="32"/>
      <c r="C908" s="32"/>
      <c r="D908" s="32"/>
      <c r="E908" s="32"/>
      <c r="F908" s="32"/>
      <c r="G908" s="32"/>
      <c r="H908" s="32"/>
      <c r="K908" s="32"/>
    </row>
    <row r="909" ht="15.75" customHeight="1">
      <c r="A909" s="32"/>
      <c r="C909" s="32"/>
      <c r="D909" s="32"/>
      <c r="E909" s="32"/>
      <c r="F909" s="32"/>
      <c r="G909" s="32"/>
      <c r="H909" s="32"/>
      <c r="K909" s="32"/>
    </row>
    <row r="910" ht="15.75" customHeight="1">
      <c r="A910" s="32"/>
      <c r="C910" s="32"/>
      <c r="D910" s="32"/>
      <c r="E910" s="32"/>
      <c r="F910" s="32"/>
      <c r="G910" s="32"/>
      <c r="H910" s="32"/>
      <c r="K910" s="32"/>
    </row>
    <row r="911" ht="15.75" customHeight="1">
      <c r="A911" s="32"/>
      <c r="C911" s="32"/>
      <c r="D911" s="32"/>
      <c r="E911" s="32"/>
      <c r="F911" s="32"/>
      <c r="G911" s="32"/>
      <c r="H911" s="32"/>
      <c r="K911" s="32"/>
    </row>
    <row r="912" ht="15.75" customHeight="1">
      <c r="A912" s="32"/>
      <c r="C912" s="32"/>
      <c r="D912" s="32"/>
      <c r="E912" s="32"/>
      <c r="F912" s="32"/>
      <c r="G912" s="32"/>
      <c r="H912" s="32"/>
      <c r="K912" s="32"/>
    </row>
    <row r="913" ht="15.75" customHeight="1">
      <c r="A913" s="32"/>
      <c r="C913" s="32"/>
      <c r="D913" s="32"/>
      <c r="E913" s="32"/>
      <c r="F913" s="32"/>
      <c r="G913" s="32"/>
      <c r="H913" s="32"/>
      <c r="K913" s="32"/>
    </row>
    <row r="914" ht="15.75" customHeight="1">
      <c r="A914" s="32"/>
      <c r="C914" s="32"/>
      <c r="D914" s="32"/>
      <c r="E914" s="32"/>
      <c r="F914" s="32"/>
      <c r="G914" s="32"/>
      <c r="H914" s="32"/>
      <c r="K914" s="32"/>
    </row>
    <row r="915" ht="15.75" customHeight="1">
      <c r="A915" s="32"/>
      <c r="C915" s="32"/>
      <c r="D915" s="32"/>
      <c r="E915" s="32"/>
      <c r="F915" s="32"/>
      <c r="G915" s="32"/>
      <c r="H915" s="32"/>
      <c r="K915" s="32"/>
    </row>
    <row r="916" ht="15.75" customHeight="1">
      <c r="A916" s="32"/>
      <c r="C916" s="32"/>
      <c r="D916" s="32"/>
      <c r="E916" s="32"/>
      <c r="F916" s="32"/>
      <c r="G916" s="32"/>
      <c r="H916" s="32"/>
      <c r="K916" s="32"/>
    </row>
    <row r="917" ht="15.75" customHeight="1">
      <c r="A917" s="32"/>
      <c r="C917" s="32"/>
      <c r="D917" s="32"/>
      <c r="E917" s="32"/>
      <c r="F917" s="32"/>
      <c r="G917" s="32"/>
      <c r="H917" s="32"/>
      <c r="K917" s="32"/>
    </row>
    <row r="918" ht="15.75" customHeight="1">
      <c r="A918" s="32"/>
      <c r="C918" s="32"/>
      <c r="D918" s="32"/>
      <c r="E918" s="32"/>
      <c r="F918" s="32"/>
      <c r="G918" s="32"/>
      <c r="H918" s="32"/>
      <c r="K918" s="32"/>
    </row>
    <row r="919" ht="15.75" customHeight="1">
      <c r="A919" s="32"/>
      <c r="C919" s="32"/>
      <c r="D919" s="32"/>
      <c r="E919" s="32"/>
      <c r="F919" s="32"/>
      <c r="G919" s="32"/>
      <c r="H919" s="32"/>
      <c r="K919" s="32"/>
    </row>
    <row r="920" ht="15.75" customHeight="1">
      <c r="A920" s="32"/>
      <c r="C920" s="32"/>
      <c r="D920" s="32"/>
      <c r="E920" s="32"/>
      <c r="F920" s="32"/>
      <c r="G920" s="32"/>
      <c r="H920" s="32"/>
      <c r="K920" s="32"/>
    </row>
    <row r="921" ht="15.75" customHeight="1">
      <c r="A921" s="32"/>
      <c r="C921" s="32"/>
      <c r="D921" s="32"/>
      <c r="E921" s="32"/>
      <c r="F921" s="32"/>
      <c r="G921" s="32"/>
      <c r="H921" s="32"/>
      <c r="K921" s="32"/>
    </row>
    <row r="922" ht="15.75" customHeight="1">
      <c r="A922" s="32"/>
      <c r="C922" s="32"/>
      <c r="D922" s="32"/>
      <c r="E922" s="32"/>
      <c r="F922" s="32"/>
      <c r="G922" s="32"/>
      <c r="H922" s="32"/>
      <c r="K922" s="32"/>
    </row>
    <row r="923" ht="15.75" customHeight="1">
      <c r="A923" s="32"/>
      <c r="C923" s="32"/>
      <c r="D923" s="32"/>
      <c r="E923" s="32"/>
      <c r="F923" s="32"/>
      <c r="G923" s="32"/>
      <c r="H923" s="32"/>
      <c r="K923" s="32"/>
    </row>
    <row r="924" ht="15.75" customHeight="1">
      <c r="A924" s="32"/>
      <c r="C924" s="32"/>
      <c r="D924" s="32"/>
      <c r="E924" s="32"/>
      <c r="F924" s="32"/>
      <c r="G924" s="32"/>
      <c r="H924" s="32"/>
      <c r="K924" s="32"/>
    </row>
    <row r="925" ht="15.75" customHeight="1">
      <c r="A925" s="32"/>
      <c r="C925" s="32"/>
      <c r="D925" s="32"/>
      <c r="E925" s="32"/>
      <c r="F925" s="32"/>
      <c r="G925" s="32"/>
      <c r="H925" s="32"/>
      <c r="K925" s="32"/>
    </row>
    <row r="926" ht="15.75" customHeight="1">
      <c r="A926" s="32"/>
      <c r="C926" s="32"/>
      <c r="D926" s="32"/>
      <c r="E926" s="32"/>
      <c r="F926" s="32"/>
      <c r="G926" s="32"/>
      <c r="H926" s="32"/>
      <c r="K926" s="32"/>
    </row>
    <row r="927" ht="15.75" customHeight="1">
      <c r="A927" s="32"/>
      <c r="C927" s="32"/>
      <c r="D927" s="32"/>
      <c r="E927" s="32"/>
      <c r="F927" s="32"/>
      <c r="G927" s="32"/>
      <c r="H927" s="32"/>
      <c r="K927" s="32"/>
    </row>
    <row r="928" ht="15.75" customHeight="1">
      <c r="A928" s="32"/>
      <c r="C928" s="32"/>
      <c r="D928" s="32"/>
      <c r="E928" s="32"/>
      <c r="F928" s="32"/>
      <c r="G928" s="32"/>
      <c r="H928" s="32"/>
      <c r="K928" s="32"/>
    </row>
    <row r="929" ht="15.75" customHeight="1">
      <c r="A929" s="32"/>
      <c r="C929" s="32"/>
      <c r="D929" s="32"/>
      <c r="E929" s="32"/>
      <c r="F929" s="32"/>
      <c r="G929" s="32"/>
      <c r="H929" s="32"/>
      <c r="K929" s="32"/>
    </row>
    <row r="930" ht="15.75" customHeight="1">
      <c r="A930" s="32"/>
      <c r="C930" s="32"/>
      <c r="D930" s="32"/>
      <c r="E930" s="32"/>
      <c r="F930" s="32"/>
      <c r="G930" s="32"/>
      <c r="H930" s="32"/>
      <c r="K930" s="32"/>
    </row>
    <row r="931" ht="15.75" customHeight="1">
      <c r="A931" s="32"/>
      <c r="C931" s="32"/>
      <c r="D931" s="32"/>
      <c r="E931" s="32"/>
      <c r="F931" s="32"/>
      <c r="G931" s="32"/>
      <c r="H931" s="32"/>
      <c r="K931" s="32"/>
    </row>
    <row r="932" ht="15.75" customHeight="1">
      <c r="A932" s="32"/>
      <c r="C932" s="32"/>
      <c r="D932" s="32"/>
      <c r="E932" s="32"/>
      <c r="F932" s="32"/>
      <c r="G932" s="32"/>
      <c r="H932" s="32"/>
      <c r="K932" s="32"/>
    </row>
    <row r="933" ht="15.75" customHeight="1">
      <c r="A933" s="32"/>
      <c r="C933" s="32"/>
      <c r="D933" s="32"/>
      <c r="E933" s="32"/>
      <c r="F933" s="32"/>
      <c r="G933" s="32"/>
      <c r="H933" s="32"/>
      <c r="K933" s="32"/>
    </row>
    <row r="934" ht="15.75" customHeight="1">
      <c r="A934" s="32"/>
      <c r="C934" s="32"/>
      <c r="D934" s="32"/>
      <c r="E934" s="32"/>
      <c r="F934" s="32"/>
      <c r="G934" s="32"/>
      <c r="H934" s="32"/>
      <c r="K934" s="32"/>
    </row>
    <row r="935" ht="15.75" customHeight="1">
      <c r="A935" s="32"/>
      <c r="C935" s="32"/>
      <c r="D935" s="32"/>
      <c r="E935" s="32"/>
      <c r="F935" s="32"/>
      <c r="G935" s="32"/>
      <c r="H935" s="32"/>
      <c r="K935" s="32"/>
    </row>
    <row r="936" ht="15.75" customHeight="1">
      <c r="A936" s="32"/>
      <c r="C936" s="32"/>
      <c r="D936" s="32"/>
      <c r="E936" s="32"/>
      <c r="F936" s="32"/>
      <c r="G936" s="32"/>
      <c r="H936" s="32"/>
      <c r="K936" s="32"/>
    </row>
    <row r="937" ht="15.75" customHeight="1">
      <c r="A937" s="32"/>
      <c r="C937" s="32"/>
      <c r="D937" s="32"/>
      <c r="E937" s="32"/>
      <c r="F937" s="32"/>
      <c r="G937" s="32"/>
      <c r="H937" s="32"/>
      <c r="K937" s="32"/>
    </row>
    <row r="938" ht="15.75" customHeight="1">
      <c r="A938" s="32"/>
      <c r="C938" s="32"/>
      <c r="D938" s="32"/>
      <c r="E938" s="32"/>
      <c r="F938" s="32"/>
      <c r="G938" s="32"/>
      <c r="H938" s="32"/>
      <c r="K938" s="32"/>
    </row>
    <row r="939" ht="15.75" customHeight="1">
      <c r="A939" s="32"/>
      <c r="C939" s="32"/>
      <c r="D939" s="32"/>
      <c r="E939" s="32"/>
      <c r="F939" s="32"/>
      <c r="G939" s="32"/>
      <c r="H939" s="32"/>
      <c r="K939" s="32"/>
    </row>
    <row r="940" ht="15.75" customHeight="1">
      <c r="A940" s="32"/>
      <c r="C940" s="32"/>
      <c r="D940" s="32"/>
      <c r="E940" s="32"/>
      <c r="F940" s="32"/>
      <c r="G940" s="32"/>
      <c r="H940" s="32"/>
      <c r="K940" s="32"/>
    </row>
    <row r="941" ht="15.75" customHeight="1">
      <c r="A941" s="32"/>
      <c r="C941" s="32"/>
      <c r="D941" s="32"/>
      <c r="E941" s="32"/>
      <c r="F941" s="32"/>
      <c r="G941" s="32"/>
      <c r="H941" s="32"/>
      <c r="K941" s="32"/>
    </row>
    <row r="942" ht="15.75" customHeight="1">
      <c r="A942" s="32"/>
      <c r="C942" s="32"/>
      <c r="D942" s="32"/>
      <c r="E942" s="32"/>
      <c r="F942" s="32"/>
      <c r="G942" s="32"/>
      <c r="H942" s="32"/>
      <c r="K942" s="32"/>
    </row>
    <row r="943" ht="15.75" customHeight="1">
      <c r="A943" s="32"/>
      <c r="C943" s="32"/>
      <c r="D943" s="32"/>
      <c r="E943" s="32"/>
      <c r="F943" s="32"/>
      <c r="G943" s="32"/>
      <c r="H943" s="32"/>
      <c r="K943" s="32"/>
    </row>
    <row r="944" ht="15.75" customHeight="1">
      <c r="A944" s="32"/>
      <c r="C944" s="32"/>
      <c r="D944" s="32"/>
      <c r="E944" s="32"/>
      <c r="F944" s="32"/>
      <c r="G944" s="32"/>
      <c r="H944" s="32"/>
      <c r="K944" s="32"/>
    </row>
    <row r="945" ht="15.75" customHeight="1">
      <c r="A945" s="32"/>
      <c r="C945" s="32"/>
      <c r="D945" s="32"/>
      <c r="E945" s="32"/>
      <c r="F945" s="32"/>
      <c r="G945" s="32"/>
      <c r="H945" s="32"/>
      <c r="K945" s="32"/>
    </row>
    <row r="946" ht="15.75" customHeight="1">
      <c r="A946" s="32"/>
      <c r="C946" s="32"/>
      <c r="D946" s="32"/>
      <c r="E946" s="32"/>
      <c r="F946" s="32"/>
      <c r="G946" s="32"/>
      <c r="H946" s="32"/>
      <c r="K946" s="32"/>
    </row>
    <row r="947" ht="15.75" customHeight="1">
      <c r="A947" s="32"/>
      <c r="C947" s="32"/>
      <c r="D947" s="32"/>
      <c r="E947" s="32"/>
      <c r="F947" s="32"/>
      <c r="G947" s="32"/>
      <c r="H947" s="32"/>
      <c r="K947" s="32"/>
    </row>
    <row r="948" ht="15.75" customHeight="1">
      <c r="A948" s="32"/>
      <c r="C948" s="32"/>
      <c r="D948" s="32"/>
      <c r="E948" s="32"/>
      <c r="F948" s="32"/>
      <c r="G948" s="32"/>
      <c r="H948" s="32"/>
      <c r="K948" s="32"/>
    </row>
    <row r="949" ht="15.75" customHeight="1">
      <c r="A949" s="32"/>
      <c r="C949" s="32"/>
      <c r="D949" s="32"/>
      <c r="E949" s="32"/>
      <c r="F949" s="32"/>
      <c r="G949" s="32"/>
      <c r="H949" s="32"/>
      <c r="K949" s="32"/>
    </row>
    <row r="950" ht="15.75" customHeight="1">
      <c r="A950" s="32"/>
      <c r="C950" s="32"/>
      <c r="D950" s="32"/>
      <c r="E950" s="32"/>
      <c r="F950" s="32"/>
      <c r="G950" s="32"/>
      <c r="H950" s="32"/>
      <c r="K950" s="32"/>
    </row>
    <row r="951" ht="15.75" customHeight="1">
      <c r="A951" s="32"/>
      <c r="C951" s="32"/>
      <c r="D951" s="32"/>
      <c r="E951" s="32"/>
      <c r="F951" s="32"/>
      <c r="G951" s="32"/>
      <c r="H951" s="32"/>
      <c r="K951" s="32"/>
    </row>
    <row r="952" ht="15.75" customHeight="1">
      <c r="A952" s="32"/>
      <c r="C952" s="32"/>
      <c r="D952" s="32"/>
      <c r="E952" s="32"/>
      <c r="F952" s="32"/>
      <c r="G952" s="32"/>
      <c r="H952" s="32"/>
      <c r="K952" s="32"/>
    </row>
    <row r="953" ht="15.75" customHeight="1">
      <c r="A953" s="32"/>
      <c r="C953" s="32"/>
      <c r="D953" s="32"/>
      <c r="E953" s="32"/>
      <c r="F953" s="32"/>
      <c r="G953" s="32"/>
      <c r="H953" s="32"/>
      <c r="K953" s="32"/>
    </row>
    <row r="954" ht="15.75" customHeight="1">
      <c r="A954" s="32"/>
      <c r="C954" s="32"/>
      <c r="D954" s="32"/>
      <c r="E954" s="32"/>
      <c r="F954" s="32"/>
      <c r="G954" s="32"/>
      <c r="H954" s="32"/>
      <c r="K954" s="32"/>
    </row>
    <row r="955" ht="15.75" customHeight="1">
      <c r="A955" s="32"/>
      <c r="C955" s="32"/>
      <c r="D955" s="32"/>
      <c r="E955" s="32"/>
      <c r="F955" s="32"/>
      <c r="G955" s="32"/>
      <c r="H955" s="32"/>
      <c r="K955" s="32"/>
    </row>
    <row r="956" ht="15.75" customHeight="1">
      <c r="A956" s="32"/>
      <c r="C956" s="32"/>
      <c r="D956" s="32"/>
      <c r="E956" s="32"/>
      <c r="F956" s="32"/>
      <c r="G956" s="32"/>
      <c r="H956" s="32"/>
      <c r="K956" s="32"/>
    </row>
    <row r="957" ht="15.75" customHeight="1">
      <c r="A957" s="32"/>
      <c r="C957" s="32"/>
      <c r="D957" s="32"/>
      <c r="E957" s="32"/>
      <c r="F957" s="32"/>
      <c r="G957" s="32"/>
      <c r="H957" s="32"/>
      <c r="K957" s="32"/>
    </row>
    <row r="958" ht="15.75" customHeight="1">
      <c r="A958" s="32"/>
      <c r="C958" s="32"/>
      <c r="D958" s="32"/>
      <c r="E958" s="32"/>
      <c r="F958" s="32"/>
      <c r="G958" s="32"/>
      <c r="H958" s="32"/>
      <c r="K958" s="32"/>
    </row>
    <row r="959" ht="15.75" customHeight="1">
      <c r="A959" s="32"/>
      <c r="C959" s="32"/>
      <c r="D959" s="32"/>
      <c r="E959" s="32"/>
      <c r="F959" s="32"/>
      <c r="G959" s="32"/>
      <c r="H959" s="32"/>
      <c r="K959" s="32"/>
    </row>
    <row r="960" ht="15.75" customHeight="1">
      <c r="A960" s="32"/>
      <c r="C960" s="32"/>
      <c r="D960" s="32"/>
      <c r="E960" s="32"/>
      <c r="F960" s="32"/>
      <c r="G960" s="32"/>
      <c r="H960" s="32"/>
      <c r="K960" s="32"/>
    </row>
    <row r="961" ht="15.75" customHeight="1">
      <c r="A961" s="32"/>
      <c r="C961" s="32"/>
      <c r="D961" s="32"/>
      <c r="E961" s="32"/>
      <c r="F961" s="32"/>
      <c r="G961" s="32"/>
      <c r="H961" s="32"/>
      <c r="K961" s="32"/>
    </row>
    <row r="962" ht="15.75" customHeight="1">
      <c r="A962" s="32"/>
      <c r="C962" s="32"/>
      <c r="D962" s="32"/>
      <c r="E962" s="32"/>
      <c r="F962" s="32"/>
      <c r="G962" s="32"/>
      <c r="H962" s="32"/>
      <c r="K962" s="32"/>
    </row>
    <row r="963" ht="15.75" customHeight="1">
      <c r="A963" s="32"/>
      <c r="C963" s="32"/>
      <c r="D963" s="32"/>
      <c r="E963" s="32"/>
      <c r="F963" s="32"/>
      <c r="G963" s="32"/>
      <c r="H963" s="32"/>
      <c r="K963" s="32"/>
    </row>
    <row r="964" ht="15.75" customHeight="1">
      <c r="A964" s="32"/>
      <c r="C964" s="32"/>
      <c r="D964" s="32"/>
      <c r="E964" s="32"/>
      <c r="F964" s="32"/>
      <c r="G964" s="32"/>
      <c r="H964" s="32"/>
      <c r="K964" s="32"/>
    </row>
    <row r="965" ht="15.75" customHeight="1">
      <c r="A965" s="32"/>
      <c r="C965" s="32"/>
      <c r="D965" s="32"/>
      <c r="E965" s="32"/>
      <c r="F965" s="32"/>
      <c r="G965" s="32"/>
      <c r="H965" s="32"/>
      <c r="K965" s="32"/>
    </row>
    <row r="966" ht="15.75" customHeight="1">
      <c r="A966" s="32"/>
      <c r="C966" s="32"/>
      <c r="D966" s="32"/>
      <c r="E966" s="32"/>
      <c r="F966" s="32"/>
      <c r="G966" s="32"/>
      <c r="H966" s="32"/>
      <c r="K966" s="32"/>
    </row>
    <row r="967" ht="15.75" customHeight="1">
      <c r="A967" s="32"/>
      <c r="C967" s="32"/>
      <c r="D967" s="32"/>
      <c r="E967" s="32"/>
      <c r="F967" s="32"/>
      <c r="G967" s="32"/>
      <c r="H967" s="32"/>
      <c r="K967" s="32"/>
    </row>
    <row r="968" ht="15.75" customHeight="1">
      <c r="A968" s="32"/>
      <c r="C968" s="32"/>
      <c r="D968" s="32"/>
      <c r="E968" s="32"/>
      <c r="F968" s="32"/>
      <c r="G968" s="32"/>
      <c r="H968" s="32"/>
      <c r="K968" s="32"/>
    </row>
    <row r="969" ht="15.75" customHeight="1">
      <c r="A969" s="32"/>
      <c r="C969" s="32"/>
      <c r="D969" s="32"/>
      <c r="E969" s="32"/>
      <c r="F969" s="32"/>
      <c r="G969" s="32"/>
      <c r="H969" s="32"/>
      <c r="K969" s="32"/>
    </row>
    <row r="970" ht="15.75" customHeight="1">
      <c r="A970" s="32"/>
      <c r="C970" s="32"/>
      <c r="D970" s="32"/>
      <c r="E970" s="32"/>
      <c r="F970" s="32"/>
      <c r="G970" s="32"/>
      <c r="H970" s="32"/>
      <c r="K970" s="32"/>
    </row>
    <row r="971" ht="15.75" customHeight="1">
      <c r="A971" s="32"/>
      <c r="C971" s="32"/>
      <c r="D971" s="32"/>
      <c r="E971" s="32"/>
      <c r="F971" s="32"/>
      <c r="G971" s="32"/>
      <c r="H971" s="32"/>
      <c r="K971" s="32"/>
    </row>
    <row r="972" ht="15.75" customHeight="1">
      <c r="A972" s="32"/>
      <c r="C972" s="32"/>
      <c r="D972" s="32"/>
      <c r="E972" s="32"/>
      <c r="F972" s="32"/>
      <c r="G972" s="32"/>
      <c r="H972" s="32"/>
      <c r="K972" s="32"/>
    </row>
    <row r="973" ht="15.75" customHeight="1">
      <c r="A973" s="32"/>
      <c r="C973" s="32"/>
      <c r="D973" s="32"/>
      <c r="E973" s="32"/>
      <c r="F973" s="32"/>
      <c r="G973" s="32"/>
      <c r="H973" s="32"/>
      <c r="K973" s="32"/>
    </row>
    <row r="974" ht="15.75" customHeight="1">
      <c r="A974" s="32"/>
      <c r="C974" s="32"/>
      <c r="D974" s="32"/>
      <c r="E974" s="32"/>
      <c r="F974" s="32"/>
      <c r="G974" s="32"/>
      <c r="H974" s="32"/>
      <c r="K974" s="32"/>
    </row>
    <row r="975" ht="15.75" customHeight="1">
      <c r="A975" s="32"/>
      <c r="C975" s="32"/>
      <c r="D975" s="32"/>
      <c r="E975" s="32"/>
      <c r="F975" s="32"/>
      <c r="G975" s="32"/>
      <c r="H975" s="32"/>
      <c r="K975" s="32"/>
    </row>
    <row r="976" ht="15.75" customHeight="1">
      <c r="A976" s="32"/>
      <c r="C976" s="32"/>
      <c r="D976" s="32"/>
      <c r="E976" s="32"/>
      <c r="F976" s="32"/>
      <c r="G976" s="32"/>
      <c r="H976" s="32"/>
      <c r="K976" s="32"/>
    </row>
    <row r="977" ht="15.75" customHeight="1">
      <c r="A977" s="32"/>
      <c r="C977" s="32"/>
      <c r="D977" s="32"/>
      <c r="E977" s="32"/>
      <c r="F977" s="32"/>
      <c r="G977" s="32"/>
      <c r="H977" s="32"/>
      <c r="K977" s="32"/>
    </row>
    <row r="978" ht="15.75" customHeight="1">
      <c r="A978" s="32"/>
      <c r="C978" s="32"/>
      <c r="D978" s="32"/>
      <c r="E978" s="32"/>
      <c r="F978" s="32"/>
      <c r="G978" s="32"/>
      <c r="H978" s="32"/>
      <c r="K978" s="32"/>
    </row>
    <row r="979" ht="15.75" customHeight="1">
      <c r="A979" s="32"/>
      <c r="C979" s="32"/>
      <c r="D979" s="32"/>
      <c r="E979" s="32"/>
      <c r="F979" s="32"/>
      <c r="G979" s="32"/>
      <c r="H979" s="32"/>
      <c r="K979" s="32"/>
    </row>
    <row r="980" ht="15.75" customHeight="1">
      <c r="A980" s="32"/>
      <c r="C980" s="32"/>
      <c r="D980" s="32"/>
      <c r="E980" s="32"/>
      <c r="F980" s="32"/>
      <c r="G980" s="32"/>
      <c r="H980" s="32"/>
      <c r="K980" s="32"/>
    </row>
    <row r="981" ht="15.75" customHeight="1">
      <c r="A981" s="32"/>
      <c r="C981" s="32"/>
      <c r="D981" s="32"/>
      <c r="E981" s="32"/>
      <c r="F981" s="32"/>
      <c r="G981" s="32"/>
      <c r="H981" s="32"/>
      <c r="K981" s="32"/>
    </row>
    <row r="982" ht="15.75" customHeight="1">
      <c r="A982" s="32"/>
      <c r="C982" s="32"/>
      <c r="D982" s="32"/>
      <c r="E982" s="32"/>
      <c r="F982" s="32"/>
      <c r="G982" s="32"/>
      <c r="H982" s="32"/>
      <c r="K982" s="32"/>
    </row>
    <row r="983" ht="15.75" customHeight="1">
      <c r="A983" s="32"/>
      <c r="C983" s="32"/>
      <c r="D983" s="32"/>
      <c r="E983" s="32"/>
      <c r="F983" s="32"/>
      <c r="G983" s="32"/>
      <c r="H983" s="32"/>
      <c r="K983" s="32"/>
    </row>
    <row r="984" ht="15.75" customHeight="1">
      <c r="A984" s="32"/>
      <c r="C984" s="32"/>
      <c r="D984" s="32"/>
      <c r="E984" s="32"/>
      <c r="F984" s="32"/>
      <c r="G984" s="32"/>
      <c r="H984" s="32"/>
      <c r="K984" s="32"/>
    </row>
    <row r="985" ht="15.75" customHeight="1">
      <c r="A985" s="32"/>
      <c r="C985" s="32"/>
      <c r="D985" s="32"/>
      <c r="E985" s="32"/>
      <c r="F985" s="32"/>
      <c r="G985" s="32"/>
      <c r="H985" s="32"/>
      <c r="K985" s="32"/>
    </row>
    <row r="986" ht="15.75" customHeight="1">
      <c r="A986" s="32"/>
      <c r="C986" s="32"/>
      <c r="D986" s="32"/>
      <c r="E986" s="32"/>
      <c r="F986" s="32"/>
      <c r="G986" s="32"/>
      <c r="H986" s="32"/>
      <c r="K986" s="32"/>
    </row>
    <row r="987" ht="15.75" customHeight="1">
      <c r="A987" s="32"/>
      <c r="C987" s="32"/>
      <c r="D987" s="32"/>
      <c r="E987" s="32"/>
      <c r="F987" s="32"/>
      <c r="G987" s="32"/>
      <c r="H987" s="32"/>
      <c r="K987" s="32"/>
    </row>
    <row r="988" ht="15.75" customHeight="1">
      <c r="A988" s="32"/>
      <c r="C988" s="32"/>
      <c r="D988" s="32"/>
      <c r="E988" s="32"/>
      <c r="F988" s="32"/>
      <c r="G988" s="32"/>
      <c r="H988" s="32"/>
      <c r="K988" s="32"/>
    </row>
    <row r="989" ht="15.75" customHeight="1">
      <c r="A989" s="32"/>
      <c r="C989" s="32"/>
      <c r="D989" s="32"/>
      <c r="E989" s="32"/>
      <c r="F989" s="32"/>
      <c r="G989" s="32"/>
      <c r="H989" s="32"/>
      <c r="K989" s="32"/>
    </row>
    <row r="990" ht="15.75" customHeight="1">
      <c r="A990" s="32"/>
      <c r="C990" s="32"/>
      <c r="D990" s="32"/>
      <c r="E990" s="32"/>
      <c r="F990" s="32"/>
      <c r="G990" s="32"/>
      <c r="H990" s="32"/>
      <c r="K990" s="32"/>
    </row>
    <row r="991" ht="15.75" customHeight="1">
      <c r="A991" s="32"/>
      <c r="C991" s="32"/>
      <c r="D991" s="32"/>
      <c r="E991" s="32"/>
      <c r="F991" s="32"/>
      <c r="G991" s="32"/>
      <c r="H991" s="32"/>
      <c r="K991" s="32"/>
    </row>
    <row r="992" ht="15.75" customHeight="1">
      <c r="A992" s="32"/>
      <c r="C992" s="32"/>
      <c r="D992" s="32"/>
      <c r="E992" s="32"/>
      <c r="F992" s="32"/>
      <c r="G992" s="32"/>
      <c r="H992" s="32"/>
      <c r="K992" s="32"/>
    </row>
    <row r="993" ht="15.75" customHeight="1">
      <c r="A993" s="32"/>
      <c r="C993" s="32"/>
      <c r="D993" s="32"/>
      <c r="E993" s="32"/>
      <c r="F993" s="32"/>
      <c r="G993" s="32"/>
      <c r="H993" s="32"/>
      <c r="K993" s="32"/>
    </row>
    <row r="994" ht="15.75" customHeight="1">
      <c r="A994" s="32"/>
      <c r="C994" s="32"/>
      <c r="D994" s="32"/>
      <c r="E994" s="32"/>
      <c r="F994" s="32"/>
      <c r="G994" s="32"/>
      <c r="H994" s="32"/>
      <c r="K994" s="32"/>
    </row>
    <row r="995" ht="15.75" customHeight="1">
      <c r="A995" s="32"/>
      <c r="C995" s="32"/>
      <c r="D995" s="32"/>
      <c r="E995" s="32"/>
      <c r="F995" s="32"/>
      <c r="G995" s="32"/>
      <c r="H995" s="32"/>
      <c r="K995" s="32"/>
    </row>
    <row r="996" ht="15.75" customHeight="1">
      <c r="A996" s="32"/>
      <c r="C996" s="32"/>
      <c r="D996" s="32"/>
      <c r="E996" s="32"/>
      <c r="F996" s="32"/>
      <c r="G996" s="32"/>
      <c r="H996" s="32"/>
      <c r="K996" s="32"/>
    </row>
    <row r="997" ht="15.75" customHeight="1">
      <c r="A997" s="32"/>
      <c r="C997" s="32"/>
      <c r="D997" s="32"/>
      <c r="E997" s="32"/>
      <c r="F997" s="32"/>
      <c r="G997" s="32"/>
      <c r="H997" s="32"/>
      <c r="K997" s="32"/>
    </row>
    <row r="998" ht="15.75" customHeight="1">
      <c r="A998" s="32"/>
      <c r="C998" s="32"/>
      <c r="D998" s="32"/>
      <c r="E998" s="32"/>
      <c r="F998" s="32"/>
      <c r="G998" s="32"/>
      <c r="H998" s="32"/>
      <c r="K998" s="32"/>
    </row>
    <row r="999" ht="15.75" customHeight="1">
      <c r="A999" s="32"/>
      <c r="C999" s="32"/>
      <c r="D999" s="32"/>
      <c r="E999" s="32"/>
      <c r="F999" s="32"/>
      <c r="G999" s="32"/>
      <c r="H999" s="32"/>
      <c r="K999" s="32"/>
    </row>
    <row r="1000" ht="15.75" customHeight="1">
      <c r="A1000" s="32"/>
      <c r="C1000" s="32"/>
      <c r="D1000" s="32"/>
      <c r="E1000" s="32"/>
      <c r="F1000" s="32"/>
      <c r="G1000" s="32"/>
      <c r="H1000" s="32"/>
      <c r="K1000" s="32"/>
    </row>
  </sheetData>
  <mergeCells count="6">
    <mergeCell ref="D1:H1"/>
    <mergeCell ref="A3:A15"/>
    <mergeCell ref="A17:A29"/>
    <mergeCell ref="A31:A43"/>
    <mergeCell ref="A45:A57"/>
    <mergeCell ref="A59:A7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2.63"/>
    <col customWidth="1" min="3" max="3" width="1.88"/>
    <col customWidth="1" min="4" max="8" width="26.38"/>
  </cols>
  <sheetData>
    <row r="1" ht="15.75" customHeight="1">
      <c r="A1" s="129"/>
      <c r="B1" s="130"/>
      <c r="C1" s="131"/>
      <c r="D1" s="132" t="s">
        <v>9</v>
      </c>
      <c r="E1" s="8"/>
      <c r="F1" s="8"/>
      <c r="G1" s="8"/>
      <c r="H1" s="10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5.75" customHeight="1">
      <c r="A2" s="99" t="s">
        <v>20</v>
      </c>
      <c r="B2" s="140" t="s">
        <v>23</v>
      </c>
      <c r="C2" s="131"/>
      <c r="D2" s="99" t="s">
        <v>34</v>
      </c>
      <c r="E2" s="99" t="s">
        <v>36</v>
      </c>
      <c r="F2" s="99" t="s">
        <v>39</v>
      </c>
      <c r="G2" s="99" t="s">
        <v>42</v>
      </c>
      <c r="H2" s="99" t="s">
        <v>43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5.75" customHeight="1">
      <c r="A3" s="134" t="s">
        <v>78</v>
      </c>
      <c r="B3" s="24" t="s">
        <v>79</v>
      </c>
      <c r="C3" s="131"/>
      <c r="D3" s="12" t="str">
        <f>'Horário - Graduação'!I3</f>
        <v>Anatomia e Morfologia Vegetal (Jerffson Lucas) (3/7)</v>
      </c>
      <c r="E3" s="12" t="str">
        <f>'Horário - Graduação'!J3</f>
        <v/>
      </c>
      <c r="F3" s="12" t="str">
        <f>'Horário - Graduação'!K3</f>
        <v>Patologia Florestal (Giovanni) (3/8)</v>
      </c>
      <c r="G3" s="12" t="str">
        <f>'Horário - Graduação'!L3</f>
        <v>Política e Legislação Florestal  (Jane Bruna) (3/9)</v>
      </c>
      <c r="H3" s="12" t="str">
        <f>'Horário - Graduação'!M3</f>
        <v>Gestão Ambiental (optativa) (Élcio José) (3/10)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ht="15.75" customHeight="1">
      <c r="A4" s="36"/>
      <c r="B4" s="24" t="s">
        <v>109</v>
      </c>
      <c r="C4" s="131"/>
      <c r="D4" s="12" t="str">
        <f>'Horário - Graduação'!I4</f>
        <v>Anatomia e Morfologia Vegetal (Jerffson Lucas) (3/7)</v>
      </c>
      <c r="E4" s="12" t="str">
        <f>'Horário - Graduação'!J4</f>
        <v/>
      </c>
      <c r="F4" s="12" t="str">
        <f>'Horário - Graduação'!K4</f>
        <v>Patologia Florestal (Giovanni) (3/8)</v>
      </c>
      <c r="G4" s="12" t="str">
        <f>'Horário - Graduação'!L4</f>
        <v>Política e Legislação Florestal  (Jane Bruna) (3/9)</v>
      </c>
      <c r="H4" s="12" t="str">
        <f>'Horário - Graduação'!M4</f>
        <v>Gestão Ambiental (optativa) (Élcio José) (3/10)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ht="15.75" customHeight="1">
      <c r="A5" s="36"/>
      <c r="B5" s="40" t="s">
        <v>111</v>
      </c>
      <c r="C5" s="131"/>
      <c r="D5" s="143"/>
      <c r="E5" s="143"/>
      <c r="F5" s="143"/>
      <c r="G5" s="143"/>
      <c r="H5" s="14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ht="15.75" customHeight="1">
      <c r="A6" s="36"/>
      <c r="B6" s="24" t="s">
        <v>113</v>
      </c>
      <c r="C6" s="131"/>
      <c r="D6" s="12" t="str">
        <f>'Horário - Graduação'!I6</f>
        <v>Métodos e Técnicas de Estudo e Pesquisa (Jane Bruna) (3/7)</v>
      </c>
      <c r="E6" s="12" t="str">
        <f>'Horário - Graduação'!J6</f>
        <v>Gênese e Morfologia do Solo (Élcio José) (3/8)</v>
      </c>
      <c r="F6" s="12" t="str">
        <f>'Horário - Graduação'!K6</f>
        <v>Estrutura Anatômica e Composição da Madeira  (Wagner) (Lab. de Madeira)</v>
      </c>
      <c r="G6" s="12" t="str">
        <f>'Horário - Graduação'!L6</f>
        <v>Melhoramento Florestal (Giovanni) (3/9)</v>
      </c>
      <c r="H6" s="12" t="str">
        <f>'Horário - Graduação'!M6</f>
        <v/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5.75" customHeight="1">
      <c r="A7" s="36"/>
      <c r="B7" s="24" t="s">
        <v>120</v>
      </c>
      <c r="C7" s="131"/>
      <c r="D7" s="12" t="str">
        <f>'Horário - Graduação'!I7</f>
        <v>Métodos e Técnicas de Estudo e Pesquisa (Jane Bruna) (3/7)</v>
      </c>
      <c r="E7" s="12" t="str">
        <f>'Horário - Graduação'!J7</f>
        <v>Gênese e Morfologia do Solo (Élcio José) (3/8)</v>
      </c>
      <c r="F7" s="12" t="str">
        <f>'Horário - Graduação'!K7</f>
        <v>Estrutura Anatômica e Composição da Madeira  (Wagner) (Lab. de Madeira)</v>
      </c>
      <c r="G7" s="12" t="str">
        <f>'Horário - Graduação'!L7</f>
        <v>Melhoramento Florestal (Giovanni) (3/9)</v>
      </c>
      <c r="H7" s="12" t="str">
        <f>'Horário - Graduação'!M7</f>
        <v/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5.75" customHeight="1">
      <c r="A8" s="36"/>
      <c r="B8" s="24" t="s">
        <v>121</v>
      </c>
      <c r="C8" s="131"/>
      <c r="D8" s="12" t="str">
        <f>'Horário - Graduação'!I8</f>
        <v/>
      </c>
      <c r="E8" s="12" t="str">
        <f>'Horário - Graduação'!J8</f>
        <v/>
      </c>
      <c r="F8" s="12" t="str">
        <f>'Horário - Graduação'!K8</f>
        <v/>
      </c>
      <c r="G8" s="12" t="str">
        <f>'Horário - Graduação'!L8</f>
        <v/>
      </c>
      <c r="H8" s="12" t="str">
        <f>'Horário - Graduação'!M8</f>
        <v/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5.75" customHeight="1">
      <c r="A9" s="36"/>
      <c r="B9" s="40" t="s">
        <v>124</v>
      </c>
      <c r="C9" s="131"/>
      <c r="D9" s="143"/>
      <c r="E9" s="143"/>
      <c r="F9" s="143"/>
      <c r="G9" s="143"/>
      <c r="H9" s="14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5.75" customHeight="1">
      <c r="A10" s="36"/>
      <c r="B10" s="24" t="s">
        <v>126</v>
      </c>
      <c r="C10" s="131"/>
      <c r="D10" s="12" t="str">
        <f>'Horário - Graduação'!I10</f>
        <v>QUÍMICA ORGÂNICA (Elza)  (1/13)</v>
      </c>
      <c r="E10" s="12" t="str">
        <f>'Horário - Graduação'!J10</f>
        <v>Entomologia Básica (Tatianne) (3/8)</v>
      </c>
      <c r="F10" s="12" t="str">
        <f>'Horário - Graduação'!K10</f>
        <v>Hidráulica e Irrigação Aplicada (Marcelo Rossi) (3/7)</v>
      </c>
      <c r="G10" s="12" t="str">
        <f>'Horário - Graduação'!L10</f>
        <v>Melhoramento Florestal (Giovanni) (3/9)</v>
      </c>
      <c r="H10" s="12" t="str">
        <f>'Horário - Graduação'!M10</f>
        <v/>
      </c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ht="15.75" customHeight="1">
      <c r="A11" s="36"/>
      <c r="B11" s="24" t="s">
        <v>138</v>
      </c>
      <c r="C11" s="131"/>
      <c r="D11" s="12" t="str">
        <f>'Horário - Graduação'!I11</f>
        <v>QUÍMICA ORGÂNICA (Elza)  (1/13)</v>
      </c>
      <c r="E11" s="12" t="str">
        <f>'Horário - Graduação'!J11</f>
        <v>Entomologia Básica (Tatianne) (3/8)</v>
      </c>
      <c r="F11" s="12" t="str">
        <f>'Horário - Graduação'!K11</f>
        <v>Hidráulica e Irrigação Aplicada (Marcelo Rossi) (3/7)</v>
      </c>
      <c r="G11" s="12" t="str">
        <f>'Horário - Graduação'!L11</f>
        <v>Melhoramento Florestal (Giovanni) (3/9)</v>
      </c>
      <c r="H11" s="12" t="str">
        <f>'Horário - Graduação'!M11</f>
        <v/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5.75" customHeight="1">
      <c r="A12" s="36"/>
      <c r="B12" s="40" t="s">
        <v>111</v>
      </c>
      <c r="C12" s="131"/>
      <c r="D12" s="143"/>
      <c r="E12" s="143"/>
      <c r="F12" s="143"/>
      <c r="G12" s="143"/>
      <c r="H12" s="14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ht="15.75" customHeight="1">
      <c r="A13" s="36"/>
      <c r="B13" s="24" t="s">
        <v>141</v>
      </c>
      <c r="C13" s="131"/>
      <c r="D13" s="12" t="str">
        <f>'Horário - Graduação'!I13</f>
        <v>Introdução à Geologia (Élcio José) (3/7)</v>
      </c>
      <c r="E13" s="12" t="str">
        <f>'Horário - Graduação'!J13</f>
        <v>Entomologia Básica (Tatianne) (3/8)</v>
      </c>
      <c r="F13" s="12" t="str">
        <f>'Horário - Graduação'!K13</f>
        <v>Viveiros Florestais (Giovanni) (3/9)</v>
      </c>
      <c r="G13" s="12" t="str">
        <f>'Horário - Graduação'!L13</f>
        <v>Produtos Florestais (Wagner) (3/10)</v>
      </c>
      <c r="H13" s="12" t="str">
        <f>'Horário - Graduação'!M13</f>
        <v/>
      </c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ht="15.75" customHeight="1">
      <c r="A14" s="36"/>
      <c r="B14" s="24" t="s">
        <v>154</v>
      </c>
      <c r="C14" s="131"/>
      <c r="D14" s="12" t="str">
        <f>'Horário - Graduação'!I14</f>
        <v>Introdução à Geologia (Élcio José) (3/7)</v>
      </c>
      <c r="E14" s="12" t="str">
        <f>'Horário - Graduação'!J14</f>
        <v/>
      </c>
      <c r="F14" s="12" t="str">
        <f>'Horário - Graduação'!K14</f>
        <v>Viveiros Florestais (Giovanni) (3/9)</v>
      </c>
      <c r="G14" s="12" t="str">
        <f>'Horário - Graduação'!L14</f>
        <v>Produtos Florestais (Wagner) (3/10)</v>
      </c>
      <c r="H14" s="12" t="str">
        <f>'Horário - Graduação'!M14</f>
        <v/>
      </c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ht="15.75" customHeight="1">
      <c r="A15" s="66"/>
      <c r="B15" s="24" t="s">
        <v>155</v>
      </c>
      <c r="C15" s="131"/>
      <c r="D15" s="12" t="str">
        <f>'Horário - Graduação'!I15</f>
        <v/>
      </c>
      <c r="E15" s="12" t="str">
        <f>'Horário - Graduação'!J15</f>
        <v/>
      </c>
      <c r="F15" s="12" t="str">
        <f>'Horário - Graduação'!K15</f>
        <v/>
      </c>
      <c r="G15" s="12" t="str">
        <f>'Horário - Graduação'!L15</f>
        <v/>
      </c>
      <c r="H15" s="12" t="str">
        <f>'Horário - Graduação'!M15</f>
        <v/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15.75" customHeight="1">
      <c r="A16" s="99" t="s">
        <v>20</v>
      </c>
      <c r="B16" s="140" t="s">
        <v>23</v>
      </c>
      <c r="C16" s="131"/>
      <c r="D16" s="99" t="s">
        <v>34</v>
      </c>
      <c r="E16" s="99" t="s">
        <v>36</v>
      </c>
      <c r="F16" s="99" t="s">
        <v>39</v>
      </c>
      <c r="G16" s="99" t="s">
        <v>42</v>
      </c>
      <c r="H16" s="99" t="s">
        <v>43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15.75" customHeight="1">
      <c r="A17" s="134" t="s">
        <v>11</v>
      </c>
      <c r="B17" s="24" t="s">
        <v>79</v>
      </c>
      <c r="C17" s="131"/>
      <c r="D17" s="144" t="str">
        <f>'Horário - Graduação'!I24</f>
        <v>Introdução à Geologia (Élcio José) (3/7)</v>
      </c>
      <c r="E17" s="144" t="str">
        <f>'Horário - Graduação'!J24</f>
        <v>Fotogrametria e Fotointerpretação (Rodrigo Nogueira) (Sala de Topografia)</v>
      </c>
      <c r="F17" s="144" t="str">
        <f>'Horário - Graduação'!K24</f>
        <v>Inventário Florestal (Vinícius) (3/8)</v>
      </c>
      <c r="G17" s="144" t="str">
        <f>'Horário - Graduação'!L24</f>
        <v>Produção e Gestão do Conhecimento (Jerffson Lucas) (3/9)</v>
      </c>
      <c r="H17" s="144" t="str">
        <f>'Horário - Graduação'!M24</f>
        <v/>
      </c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15.75" customHeight="1">
      <c r="A18" s="36"/>
      <c r="B18" s="24" t="s">
        <v>109</v>
      </c>
      <c r="C18" s="131"/>
      <c r="D18" s="144" t="str">
        <f>'Horário - Graduação'!I25</f>
        <v>Introdução à Geologia (Élcio José) (3/7)</v>
      </c>
      <c r="E18" s="144" t="str">
        <f>'Horário - Graduação'!J25</f>
        <v>Fotogrametria e Fotointerpretação (Rodrigo Nogueira) (Sala de Topografia)</v>
      </c>
      <c r="F18" s="144" t="str">
        <f>'Horário - Graduação'!K25</f>
        <v>Inventário Florestal (Vinícius) (3/8)</v>
      </c>
      <c r="G18" s="144" t="str">
        <f>'Horário - Graduação'!L25</f>
        <v>Produção e Gestão do Conhecimento (Jerffson Lucas) (3/9)</v>
      </c>
      <c r="H18" s="144" t="str">
        <f>'Horário - Graduação'!M25</f>
        <v/>
      </c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15.75" customHeight="1">
      <c r="A19" s="36"/>
      <c r="B19" s="40" t="s">
        <v>111</v>
      </c>
      <c r="C19" s="131"/>
      <c r="D19" s="143"/>
      <c r="E19" s="143"/>
      <c r="F19" s="143"/>
      <c r="G19" s="143"/>
      <c r="H19" s="14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ht="15.75" customHeight="1">
      <c r="A20" s="36"/>
      <c r="B20" s="24" t="s">
        <v>113</v>
      </c>
      <c r="C20" s="131"/>
      <c r="D20" s="144" t="str">
        <f>'Horário - Graduação'!I27</f>
        <v>Anatomia e Morfologia Vegetal (Jerffson Lucas) (3/7)</v>
      </c>
      <c r="E20" s="144" t="str">
        <f>'Horário - Graduação'!J27</f>
        <v/>
      </c>
      <c r="F20" s="144" t="str">
        <f>'Horário - Graduação'!K27</f>
        <v>Patologia Florestal (Giovanni) (3/9)</v>
      </c>
      <c r="G20" s="144" t="str">
        <f>'Horário - Graduação'!L27</f>
        <v>Colheita e Transporte Florestal (Alessandro) (3/10)</v>
      </c>
      <c r="H20" s="144" t="str">
        <f>'Horário - Graduação'!M27</f>
        <v>Painéis de Madeira, Adesivos e
Adesão - Optativa (Wagner) (3/11)</v>
      </c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5.75" customHeight="1">
      <c r="A21" s="36"/>
      <c r="B21" s="24" t="s">
        <v>120</v>
      </c>
      <c r="C21" s="131"/>
      <c r="D21" s="144" t="str">
        <f>'Horário - Graduação'!I28</f>
        <v>Anatomia e Morfologia Vegetal (Jerffson Lucas) (3/7)</v>
      </c>
      <c r="E21" s="144" t="str">
        <f>'Horário - Graduação'!J28</f>
        <v/>
      </c>
      <c r="F21" s="144" t="str">
        <f>'Horário - Graduação'!K28</f>
        <v>Patologia Florestal (Giovanni) (3/9)</v>
      </c>
      <c r="G21" s="144" t="str">
        <f>'Horário - Graduação'!L28</f>
        <v>Colheita e Transporte Florestal (Alessandro) (3/10)</v>
      </c>
      <c r="H21" s="144" t="str">
        <f>'Horário - Graduação'!M28</f>
        <v>Painéis de Madeira, Adesivos e
Adesão - Optativa (Wagner) (3/11)</v>
      </c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36"/>
      <c r="B22" s="24" t="s">
        <v>121</v>
      </c>
      <c r="C22" s="131"/>
      <c r="D22" s="144" t="str">
        <f>'Horário - Graduação'!I29</f>
        <v/>
      </c>
      <c r="E22" s="144" t="str">
        <f>'Horário - Graduação'!J29</f>
        <v/>
      </c>
      <c r="F22" s="144" t="str">
        <f>'Horário - Graduação'!K29</f>
        <v>Sistemas de Informações Geográficas (Rodrigo Nogueira) (Sala de Topografia)</v>
      </c>
      <c r="G22" s="144" t="str">
        <f>'Horário - Graduação'!L29</f>
        <v/>
      </c>
      <c r="H22" s="144" t="str">
        <f>'Horário - Graduação'!M29</f>
        <v/>
      </c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36"/>
      <c r="B23" s="40" t="s">
        <v>124</v>
      </c>
      <c r="C23" s="131"/>
      <c r="D23" s="143"/>
      <c r="E23" s="143"/>
      <c r="F23" s="143"/>
      <c r="G23" s="143"/>
      <c r="H23" s="14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36"/>
      <c r="B24" s="24" t="s">
        <v>126</v>
      </c>
      <c r="C24" s="131"/>
      <c r="D24" s="144" t="str">
        <f>'Horário - Graduação'!I31</f>
        <v>Sociologia e Extensão RuralSociologia e Extensão Rural (Patrícia Lima) (3/7)</v>
      </c>
      <c r="E24" s="144" t="str">
        <f>'Horário - Graduação'!J31</f>
        <v>Gênese e Morfologia do Solo (Élcio José) (3/8)</v>
      </c>
      <c r="F24" s="144" t="str">
        <f>'Horário - Graduação'!K32</f>
        <v>Sistemas de Informações Geográficas (Rodrigo Nogueira) (Sala de Topografia)</v>
      </c>
      <c r="G24" s="144" t="str">
        <f>'Horário - Graduação'!L31</f>
        <v>Política e Legislação Florestal  (Jane Bruna) (3/9)</v>
      </c>
      <c r="H24" s="144" t="str">
        <f>'Horário - Graduação'!M31</f>
        <v/>
      </c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36"/>
      <c r="B25" s="24" t="s">
        <v>138</v>
      </c>
      <c r="C25" s="131"/>
      <c r="D25" s="144" t="str">
        <f>'Horário - Graduação'!I32</f>
        <v>Sociologia e Extensão RuralSociologia e Extensão Rural (Patrícia Lima) (3/7)</v>
      </c>
      <c r="E25" s="144" t="str">
        <f>'Horário - Graduação'!J32</f>
        <v>Gênese e Morfologia do Solo (Élcio José) (3/8)</v>
      </c>
      <c r="F25" s="144" t="str">
        <f>#REF!</f>
        <v>#REF!</v>
      </c>
      <c r="G25" s="144" t="str">
        <f>'Horário - Graduação'!L32</f>
        <v>Política e Legislação Florestal  (Jane Bruna) (3/9)</v>
      </c>
      <c r="H25" s="144" t="str">
        <f>'Horário - Graduação'!M32</f>
        <v/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36"/>
      <c r="B26" s="40" t="s">
        <v>111</v>
      </c>
      <c r="C26" s="131"/>
      <c r="D26" s="143"/>
      <c r="E26" s="143"/>
      <c r="F26" s="143"/>
      <c r="G26" s="143"/>
      <c r="H26" s="14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36"/>
      <c r="B27" s="24" t="s">
        <v>141</v>
      </c>
      <c r="C27" s="131"/>
      <c r="D27" s="144" t="str">
        <f>'Horário - Graduação'!I34</f>
        <v>QUÍMICA ORGÂNICA (Elza)  (1/13)</v>
      </c>
      <c r="E27" s="144" t="str">
        <f>'Horário - Graduação'!J34</f>
        <v/>
      </c>
      <c r="F27" s="144" t="str">
        <f>'Horário - Graduação'!K34</f>
        <v>UCE II (Jerffson Lucas)   (Sala de Topografia)</v>
      </c>
      <c r="G27" s="144" t="str">
        <f>'Horário - Graduação'!L34</f>
        <v>Construções de Madeira (Alessandro) (3/11)</v>
      </c>
      <c r="H27" s="144" t="str">
        <f>'Horário - Graduação'!M34</f>
        <v>Gestão Ambiental (optativa) (Élcio José) (3/8)</v>
      </c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36"/>
      <c r="B28" s="24" t="s">
        <v>154</v>
      </c>
      <c r="C28" s="131"/>
      <c r="D28" s="144" t="str">
        <f>'Horário - Graduação'!I35</f>
        <v>QUÍMICA ORGÂNICA (Elza)  (1/13)</v>
      </c>
      <c r="E28" s="144" t="str">
        <f>'Horário - Graduação'!J35</f>
        <v/>
      </c>
      <c r="F28" s="144" t="str">
        <f>'Horário - Graduação'!K35</f>
        <v>UCE II (Jerffson Lucas)   (Sala de Topografia)</v>
      </c>
      <c r="G28" s="144" t="str">
        <f>'Horário - Graduação'!L35</f>
        <v>Construções de Madeira (Alessandro) (3/11)</v>
      </c>
      <c r="H28" s="144" t="str">
        <f>'Horário - Graduação'!M35</f>
        <v>Gestão Ambiental (optativa) (Élcio José) (3/8)</v>
      </c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66"/>
      <c r="B29" s="24" t="s">
        <v>155</v>
      </c>
      <c r="C29" s="131"/>
      <c r="D29" s="145" t="str">
        <f>'Horário - Graduação'!I36</f>
        <v/>
      </c>
      <c r="E29" s="145" t="str">
        <f>'Horário - Graduação'!J36</f>
        <v/>
      </c>
      <c r="F29" s="145" t="str">
        <f>'Horário - Graduação'!K36</f>
        <v>UCE II (Jane Bruna)  (Sala de Topografia)</v>
      </c>
      <c r="G29" s="145" t="str">
        <f>'Horário - Graduação'!L36</f>
        <v/>
      </c>
      <c r="H29" s="145" t="str">
        <f>'Horário - Graduação'!M36</f>
        <v/>
      </c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99" t="s">
        <v>20</v>
      </c>
      <c r="B30" s="140" t="s">
        <v>23</v>
      </c>
      <c r="C30" s="131"/>
      <c r="D30" s="99" t="s">
        <v>34</v>
      </c>
      <c r="E30" s="99" t="s">
        <v>36</v>
      </c>
      <c r="F30" s="99" t="s">
        <v>39</v>
      </c>
      <c r="G30" s="99" t="s">
        <v>42</v>
      </c>
      <c r="H30" s="99" t="s">
        <v>43</v>
      </c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4" t="s">
        <v>12</v>
      </c>
      <c r="B31" s="24" t="s">
        <v>79</v>
      </c>
      <c r="C31" s="131"/>
      <c r="D31" s="12" t="str">
        <f>'Horário - Graduação'!I45</f>
        <v>Sociologia e Extensão RuralSociologia e Extensão Rural (Patrícia Lima) (3/7)</v>
      </c>
      <c r="E31" s="12" t="str">
        <f>'Horário - Graduação'!J45</f>
        <v>Química Analítica (Aldo Gomes) (3/8)</v>
      </c>
      <c r="F31" s="12" t="str">
        <f>'Horário - Graduação'!K45</f>
        <v>Inventário Florestal (Vinícius) (3/9)</v>
      </c>
      <c r="G31" s="12" t="str">
        <f>'Horário - Graduação'!L45</f>
        <v>Recuperação de Áreas Degradadas (Alessandro) (3/10)</v>
      </c>
      <c r="H31" s="12" t="str">
        <f>'Horário - Graduação'!M45</f>
        <v/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36"/>
      <c r="B32" s="24" t="s">
        <v>109</v>
      </c>
      <c r="C32" s="131"/>
      <c r="D32" s="12" t="str">
        <f>'Horário - Graduação'!I46</f>
        <v>Sociologia e Extensão RuralSociologia e Extensão Rural (Patrícia Lima) (3/7)</v>
      </c>
      <c r="E32" s="12" t="str">
        <f>'Horário - Graduação'!J46</f>
        <v>Química Analítica (Aldo Gomes) (3/8)</v>
      </c>
      <c r="F32" s="12" t="str">
        <f>'Horário - Graduação'!K46</f>
        <v>Inventário Florestal (Vinícius) (3/9)</v>
      </c>
      <c r="G32" s="12" t="str">
        <f>'Horário - Graduação'!L46</f>
        <v>Recuperação de Áreas Degradadas (Alessandro) (3/10)</v>
      </c>
      <c r="H32" s="12" t="str">
        <f>'Horário - Graduação'!M46</f>
        <v/>
      </c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36"/>
      <c r="B33" s="40" t="s">
        <v>111</v>
      </c>
      <c r="C33" s="131"/>
      <c r="D33" s="146" t="str">
        <f>'Horário - Graduação'!I47</f>
        <v/>
      </c>
      <c r="E33" s="146" t="str">
        <f>'Horário - Graduação'!J47</f>
        <v/>
      </c>
      <c r="F33" s="146" t="str">
        <f>'Horário - Graduação'!K47</f>
        <v/>
      </c>
      <c r="G33" s="146" t="str">
        <f>'Horário - Graduação'!L47</f>
        <v/>
      </c>
      <c r="H33" s="146" t="str">
        <f>'Horário - Graduação'!M47</f>
        <v/>
      </c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36"/>
      <c r="B34" s="24" t="s">
        <v>113</v>
      </c>
      <c r="C34" s="131"/>
      <c r="D34" s="12" t="str">
        <f>'Horário - Graduação'!I48</f>
        <v/>
      </c>
      <c r="E34" s="12" t="str">
        <f>'Horário - Graduação'!J48</f>
        <v>Dendrologia (Vinícius) (3/8)</v>
      </c>
      <c r="F34" s="12" t="str">
        <f>'Horário - Graduação'!K48</f>
        <v>Viveiros Florestais (Giovanni) (3/9)</v>
      </c>
      <c r="G34" s="12" t="str">
        <f>'Horário - Graduação'!L48</f>
        <v>Produtos Florestais (Wagner) (3/10)</v>
      </c>
      <c r="H34" s="12" t="str">
        <f>'Horário - Graduação'!M48</f>
        <v/>
      </c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36"/>
      <c r="B35" s="24" t="s">
        <v>120</v>
      </c>
      <c r="C35" s="131"/>
      <c r="D35" s="12" t="str">
        <f>'Horário - Graduação'!I49</f>
        <v/>
      </c>
      <c r="E35" s="12" t="str">
        <f>'Horário - Graduação'!J49</f>
        <v>Dendrologia (Vinícius) (3/8)</v>
      </c>
      <c r="F35" s="12" t="str">
        <f>'Horário - Graduação'!K49</f>
        <v>Viveiros Florestais (Giovanni) (3/9)</v>
      </c>
      <c r="G35" s="12" t="str">
        <f>'Horário - Graduação'!L49</f>
        <v>Produtos Florestais (Wagner) (3/10)</v>
      </c>
      <c r="H35" s="12" t="str">
        <f>'Horário - Graduação'!M49</f>
        <v/>
      </c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36"/>
      <c r="B36" s="24" t="s">
        <v>121</v>
      </c>
      <c r="C36" s="131"/>
      <c r="D36" s="12" t="str">
        <f>'Horário - Graduação'!I50</f>
        <v/>
      </c>
      <c r="E36" s="12" t="str">
        <f>'Horário - Graduação'!J50</f>
        <v/>
      </c>
      <c r="F36" s="12" t="str">
        <f>'Horário - Graduação'!K50</f>
        <v/>
      </c>
      <c r="G36" s="12" t="str">
        <f>'Horário - Graduação'!L50</f>
        <v/>
      </c>
      <c r="H36" s="12" t="str">
        <f>'Horário - Graduação'!M50</f>
        <v/>
      </c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36"/>
      <c r="B37" s="40" t="s">
        <v>124</v>
      </c>
      <c r="C37" s="131"/>
      <c r="D37" s="146" t="str">
        <f>'Horário - Graduação'!I51</f>
        <v/>
      </c>
      <c r="E37" s="146" t="str">
        <f>'Horário - Graduação'!J51</f>
        <v/>
      </c>
      <c r="F37" s="146" t="str">
        <f>'Horário - Graduação'!K51</f>
        <v/>
      </c>
      <c r="G37" s="146" t="str">
        <f>'Horário - Graduação'!L51</f>
        <v/>
      </c>
      <c r="H37" s="146" t="str">
        <f>'Horário - Graduação'!M51</f>
        <v/>
      </c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36"/>
      <c r="B38" s="24" t="s">
        <v>126</v>
      </c>
      <c r="C38" s="131"/>
      <c r="D38" s="12" t="str">
        <f>'Horário - Graduação'!I52</f>
        <v/>
      </c>
      <c r="E38" s="12" t="str">
        <f>'Horário - Graduação'!J52</f>
        <v>Estatística Experimental (Vinícius) (Lab. 4 - Info)</v>
      </c>
      <c r="F38" s="12" t="str">
        <f>'Horário - Graduação'!K52</f>
        <v>Estrutura Anatômica e Composição da Madeira (Wagner) (3/8)</v>
      </c>
      <c r="G38" s="12" t="str">
        <f>'Horário - Graduação'!L52</f>
        <v>Construções de Madeira (Alessandro) (3/11)</v>
      </c>
      <c r="H38" s="12" t="str">
        <f>'Horário - Graduação'!M52</f>
        <v/>
      </c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36"/>
      <c r="B39" s="24" t="s">
        <v>138</v>
      </c>
      <c r="C39" s="131"/>
      <c r="D39" s="12" t="str">
        <f>'Horário - Graduação'!I53</f>
        <v/>
      </c>
      <c r="E39" s="12" t="str">
        <f>'Horário - Graduação'!J53</f>
        <v>Estatística Experimental (Vinícius) (Lab. 4 - Info)</v>
      </c>
      <c r="F39" s="12" t="str">
        <f>'Horário - Graduação'!K53</f>
        <v>Estrutura Anatômica e Composição da Madeira (Wagner) (3/8)</v>
      </c>
      <c r="G39" s="12" t="str">
        <f>'Horário - Graduação'!L53</f>
        <v>Construções de Madeira (Alessandro) (3/11)</v>
      </c>
      <c r="H39" s="12" t="str">
        <f>'Horário - Graduação'!M53</f>
        <v/>
      </c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36"/>
      <c r="B40" s="40" t="s">
        <v>111</v>
      </c>
      <c r="C40" s="131"/>
      <c r="D40" s="146" t="str">
        <f>'Horário - Graduação'!I54</f>
        <v/>
      </c>
      <c r="E40" s="146" t="str">
        <f>'Horário - Graduação'!J54</f>
        <v/>
      </c>
      <c r="F40" s="146" t="str">
        <f>'Horário - Graduação'!K54</f>
        <v/>
      </c>
      <c r="G40" s="146" t="str">
        <f>'Horário - Graduação'!L54</f>
        <v/>
      </c>
      <c r="H40" s="146" t="str">
        <f>'Horário - Graduação'!M54</f>
        <v/>
      </c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36"/>
      <c r="B41" s="24" t="s">
        <v>141</v>
      </c>
      <c r="C41" s="131"/>
      <c r="D41" s="128" t="str">
        <f>'Horário - Graduação'!I55</f>
        <v/>
      </c>
      <c r="E41" s="128" t="str">
        <f>'Horário - Graduação'!J55</f>
        <v/>
      </c>
      <c r="F41" s="128" t="str">
        <f>'Horário - Graduação'!K55</f>
        <v/>
      </c>
      <c r="G41" s="128" t="str">
        <f>'Horário - Graduação'!L55</f>
        <v/>
      </c>
      <c r="H41" s="128" t="str">
        <f>'Horário - Graduação'!M55</f>
        <v/>
      </c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36"/>
      <c r="B42" s="24" t="s">
        <v>154</v>
      </c>
      <c r="C42" s="131"/>
      <c r="D42" s="128" t="str">
        <f>'Horário - Graduação'!I56</f>
        <v/>
      </c>
      <c r="E42" s="128" t="str">
        <f>'Horário - Graduação'!J56</f>
        <v/>
      </c>
      <c r="F42" s="128" t="str">
        <f>'Horário - Graduação'!K56</f>
        <v/>
      </c>
      <c r="G42" s="128" t="str">
        <f>'Horário - Graduação'!L56</f>
        <v/>
      </c>
      <c r="H42" s="128" t="str">
        <f>'Horário - Graduação'!M56</f>
        <v/>
      </c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66"/>
      <c r="B43" s="24" t="s">
        <v>155</v>
      </c>
      <c r="C43" s="131"/>
      <c r="D43" s="88" t="str">
        <f>'Horário - Graduação'!I57</f>
        <v/>
      </c>
      <c r="E43" s="88" t="str">
        <f>'Horário - Graduação'!J57</f>
        <v/>
      </c>
      <c r="F43" s="88" t="str">
        <f>'Horário - Graduação'!K57</f>
        <v/>
      </c>
      <c r="G43" s="88" t="str">
        <f>'Horário - Graduação'!L57</f>
        <v/>
      </c>
      <c r="H43" s="88" t="str">
        <f>'Horário - Graduação'!M57</f>
        <v/>
      </c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99" t="s">
        <v>20</v>
      </c>
      <c r="B44" s="140" t="s">
        <v>23</v>
      </c>
      <c r="C44" s="131"/>
      <c r="D44" s="99" t="s">
        <v>34</v>
      </c>
      <c r="E44" s="99" t="s">
        <v>36</v>
      </c>
      <c r="F44" s="99" t="s">
        <v>39</v>
      </c>
      <c r="G44" s="99" t="s">
        <v>42</v>
      </c>
      <c r="H44" s="99" t="s">
        <v>43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4" t="s">
        <v>13</v>
      </c>
      <c r="B45" s="24" t="s">
        <v>79</v>
      </c>
      <c r="C45" s="131"/>
      <c r="D45" s="12" t="str">
        <f>'Horário - Graduação'!I66</f>
        <v/>
      </c>
      <c r="E45" s="12" t="str">
        <f>'Horário - Graduação'!J66</f>
        <v>Dendrologia (Vinícius) (3/8)</v>
      </c>
      <c r="F45" s="12" t="str">
        <f>'Horário - Graduação'!K66</f>
        <v/>
      </c>
      <c r="G45" s="12" t="str">
        <f>'Horário - Graduação'!L66</f>
        <v/>
      </c>
      <c r="H45" s="12" t="str">
        <f>'Horário - Graduação'!M66</f>
        <v/>
      </c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36"/>
      <c r="B46" s="24" t="s">
        <v>109</v>
      </c>
      <c r="C46" s="131"/>
      <c r="D46" s="12" t="str">
        <f>'Horário - Graduação'!I67</f>
        <v/>
      </c>
      <c r="E46" s="12" t="str">
        <f>'Horário - Graduação'!J67</f>
        <v>Dendrologia (Vinícius) (3/8)</v>
      </c>
      <c r="F46" s="12" t="str">
        <f>'Horário - Graduação'!K67</f>
        <v/>
      </c>
      <c r="G46" s="12" t="str">
        <f>'Horário - Graduação'!L67</f>
        <v/>
      </c>
      <c r="H46" s="12" t="str">
        <f>'Horário - Graduação'!M67</f>
        <v/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36"/>
      <c r="B47" s="40" t="s">
        <v>111</v>
      </c>
      <c r="C47" s="131"/>
      <c r="D47" s="146" t="str">
        <f>'Horário - Graduação'!I68</f>
        <v/>
      </c>
      <c r="E47" s="146" t="str">
        <f>'Horário - Graduação'!J68</f>
        <v/>
      </c>
      <c r="F47" s="146" t="str">
        <f>'Horário - Graduação'!K68</f>
        <v/>
      </c>
      <c r="G47" s="146" t="str">
        <f>'Horário - Graduação'!L68</f>
        <v/>
      </c>
      <c r="H47" s="146" t="str">
        <f>'Horário - Graduação'!M68</f>
        <v/>
      </c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36"/>
      <c r="B48" s="24" t="s">
        <v>113</v>
      </c>
      <c r="C48" s="131"/>
      <c r="D48" s="12" t="str">
        <f>'Horário - Graduação'!I69</f>
        <v/>
      </c>
      <c r="E48" s="12" t="str">
        <f>'Horário - Graduação'!J69</f>
        <v>Estatística Experimental (Vinícius) (Lab. 4 - Info)</v>
      </c>
      <c r="F48" s="12" t="str">
        <f>'Horário - Graduação'!K69</f>
        <v>Hidráulica e Irrigação Aplicada (Marcelo Rossi) (3/7)</v>
      </c>
      <c r="G48" s="12" t="str">
        <f>'Horário - Graduação'!L69</f>
        <v>Colheita e Transporte Florestal (Alessandro)(3/8)</v>
      </c>
      <c r="H48" s="12" t="str">
        <f>'Horário - Graduação'!M69</f>
        <v/>
      </c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36"/>
      <c r="B49" s="24" t="s">
        <v>120</v>
      </c>
      <c r="C49" s="131"/>
      <c r="D49" s="12" t="str">
        <f>'Horário - Graduação'!I70</f>
        <v/>
      </c>
      <c r="E49" s="12" t="str">
        <f>'Horário - Graduação'!J70</f>
        <v>Estatística Experimental (Vinícius) (Lab. 4 - Info)</v>
      </c>
      <c r="F49" s="12" t="str">
        <f>'Horário - Graduação'!K70</f>
        <v>Hidráulica e Irrigação Aplicada (Marcelo Rossi) (3/7)</v>
      </c>
      <c r="G49" s="12" t="str">
        <f>'Horário - Graduação'!L70</f>
        <v>Colheita e Transporte Florestal (Alessandro) (3/8)</v>
      </c>
      <c r="H49" s="12" t="str">
        <f>'Horário - Graduação'!M70</f>
        <v/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36"/>
      <c r="B50" s="24" t="s">
        <v>121</v>
      </c>
      <c r="C50" s="131"/>
      <c r="D50" s="12" t="str">
        <f>'Horário - Graduação'!I71</f>
        <v/>
      </c>
      <c r="E50" s="12" t="str">
        <f>'Horário - Graduação'!J71</f>
        <v/>
      </c>
      <c r="F50" s="12" t="str">
        <f>'Horário - Graduação'!K71</f>
        <v/>
      </c>
      <c r="G50" s="12" t="str">
        <f>'Horário - Graduação'!L71</f>
        <v>UCE IV (Élcio José/Marcelo Rossi)  (3/10)</v>
      </c>
      <c r="H50" s="12" t="str">
        <f>'Horário - Graduação'!M71</f>
        <v/>
      </c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36"/>
      <c r="B51" s="40" t="s">
        <v>124</v>
      </c>
      <c r="C51" s="131"/>
      <c r="D51" s="146" t="str">
        <f>'Horário - Graduação'!I72</f>
        <v/>
      </c>
      <c r="E51" s="146" t="str">
        <f>'Horário - Graduação'!J72</f>
        <v/>
      </c>
      <c r="F51" s="146" t="str">
        <f>'Horário - Graduação'!K72</f>
        <v/>
      </c>
      <c r="G51" s="146" t="str">
        <f>'Horário - Graduação'!L72</f>
        <v/>
      </c>
      <c r="H51" s="146" t="str">
        <f>'Horário - Graduação'!M72</f>
        <v/>
      </c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36"/>
      <c r="B52" s="24" t="s">
        <v>126</v>
      </c>
      <c r="C52" s="131"/>
      <c r="D52" s="12" t="str">
        <f>'Horário - Graduação'!I73</f>
        <v>Geometria Analítica e Álgebra Linear (Marco Aurélio) (3/7)</v>
      </c>
      <c r="E52" s="12" t="str">
        <f>'Horário - Graduação'!J73</f>
        <v/>
      </c>
      <c r="F52" s="12" t="str">
        <f>'Horário - Graduação'!K73</f>
        <v>Arborização e Paisagismo (Jerffson Lucas) (3/9)</v>
      </c>
      <c r="G52" s="12" t="str">
        <f>'Horário - Graduação'!L73</f>
        <v>UCE IV (Élcio José) (3/10)</v>
      </c>
      <c r="H52" s="12" t="str">
        <f>'Horário - Graduação'!M73</f>
        <v/>
      </c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36"/>
      <c r="B53" s="24" t="s">
        <v>138</v>
      </c>
      <c r="C53" s="131"/>
      <c r="D53" s="12" t="str">
        <f>'Horário - Graduação'!I74</f>
        <v>Geometria Analítica e Álgebra Linear (Marco Aurélio) (3/7)</v>
      </c>
      <c r="E53" s="12" t="str">
        <f>'Horário - Graduação'!J74</f>
        <v/>
      </c>
      <c r="F53" s="12" t="str">
        <f>'Horário - Graduação'!K74</f>
        <v>Arborização e Paisagismo (Jerffson Lucas) (3/9)</v>
      </c>
      <c r="G53" s="12" t="str">
        <f>'Horário - Graduação'!L74</f>
        <v>UCE IV (Élcio José) (3/10)</v>
      </c>
      <c r="H53" s="12" t="str">
        <f>'Horário - Graduação'!M74</f>
        <v/>
      </c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36"/>
      <c r="B54" s="40" t="s">
        <v>111</v>
      </c>
      <c r="C54" s="131"/>
      <c r="D54" s="146" t="str">
        <f>'Horário - Graduação'!I75</f>
        <v/>
      </c>
      <c r="E54" s="146" t="str">
        <f>'Horário - Graduação'!J75</f>
        <v/>
      </c>
      <c r="F54" s="146" t="str">
        <f>'Horário - Graduação'!K75</f>
        <v/>
      </c>
      <c r="G54" s="146" t="str">
        <f>'Horário - Graduação'!L75</f>
        <v/>
      </c>
      <c r="H54" s="146" t="str">
        <f>'Horário - Graduação'!M75</f>
        <v/>
      </c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36"/>
      <c r="B55" s="24" t="s">
        <v>141</v>
      </c>
      <c r="C55" s="131"/>
      <c r="D55" s="12" t="str">
        <f>'Horário - Graduação'!I76</f>
        <v>Física Geral I (Diego Carvalho)
(3/7)</v>
      </c>
      <c r="E55" s="12" t="str">
        <f>'Horário - Graduação'!J76</f>
        <v>Fisiologia Vegetal (Michellia) (3/8)</v>
      </c>
      <c r="F55" s="12" t="str">
        <f>'Horário - Graduação'!K76</f>
        <v>Arborização e Paisagismo (Jerffson Lucas) (3/9)</v>
      </c>
      <c r="G55" s="12" t="str">
        <f>'Horário - Graduação'!L76</f>
        <v>UCE IV (Marcelo Rossi) (3/10)</v>
      </c>
      <c r="H55" s="12" t="str">
        <f>'Horário - Graduação'!M76</f>
        <v/>
      </c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36"/>
      <c r="B56" s="24" t="s">
        <v>154</v>
      </c>
      <c r="C56" s="131"/>
      <c r="D56" s="12" t="str">
        <f>'Horário - Graduação'!I77</f>
        <v>Física Geral I (Diego Carvalho)
(3/7)</v>
      </c>
      <c r="E56" s="12" t="str">
        <f>'Horário - Graduação'!J77</f>
        <v>Fisiologia Vegetal (Michellia) (3/8)</v>
      </c>
      <c r="F56" s="12" t="str">
        <f>'Horário - Graduação'!K77</f>
        <v/>
      </c>
      <c r="G56" s="12" t="str">
        <f>'Horário - Graduação'!L77</f>
        <v>UCE IV (Marcelo Rossi) (3/10)</v>
      </c>
      <c r="H56" s="12" t="str">
        <f>'Horário - Graduação'!M77</f>
        <v/>
      </c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66"/>
      <c r="B57" s="24" t="s">
        <v>155</v>
      </c>
      <c r="C57" s="131"/>
      <c r="D57" s="88" t="str">
        <f>'Horário - Graduação'!I78</f>
        <v/>
      </c>
      <c r="E57" s="88" t="str">
        <f>'Horário - Graduação'!J78</f>
        <v/>
      </c>
      <c r="F57" s="88" t="str">
        <f>'Horário - Graduação'!K78</f>
        <v/>
      </c>
      <c r="G57" s="88" t="str">
        <f>'Horário - Graduação'!L78</f>
        <v/>
      </c>
      <c r="H57" s="88" t="str">
        <f>'Horário - Graduação'!M78</f>
        <v/>
      </c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99" t="s">
        <v>20</v>
      </c>
      <c r="B58" s="140" t="s">
        <v>23</v>
      </c>
      <c r="C58" s="131"/>
      <c r="D58" s="99" t="s">
        <v>34</v>
      </c>
      <c r="E58" s="99" t="s">
        <v>36</v>
      </c>
      <c r="F58" s="99" t="s">
        <v>39</v>
      </c>
      <c r="G58" s="99" t="s">
        <v>42</v>
      </c>
      <c r="H58" s="99" t="s">
        <v>43</v>
      </c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4" t="s">
        <v>14</v>
      </c>
      <c r="B59" s="24" t="s">
        <v>79</v>
      </c>
      <c r="C59" s="131"/>
      <c r="D59" s="12" t="str">
        <f>'Horário - Graduação'!I87</f>
        <v/>
      </c>
      <c r="E59" s="12" t="str">
        <f>'Horário - Graduação'!J87</f>
        <v/>
      </c>
      <c r="F59" s="12" t="str">
        <f>'Horário - Graduação'!K87</f>
        <v/>
      </c>
      <c r="G59" s="12" t="str">
        <f>'Horário - Graduação'!L87</f>
        <v>Avaliação de Impactos Ambientais e Recuperação de Áreas Degradadas (Alessandro/ Élcio José) (3/8)</v>
      </c>
      <c r="H59" s="12" t="str">
        <f>'Horário - Graduação'!M87</f>
        <v/>
      </c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36"/>
      <c r="B60" s="24" t="s">
        <v>109</v>
      </c>
      <c r="C60" s="131"/>
      <c r="D60" s="12" t="str">
        <f>'Horário - Graduação'!I88</f>
        <v/>
      </c>
      <c r="E60" s="12" t="str">
        <f>'Horário - Graduação'!J88</f>
        <v/>
      </c>
      <c r="F60" s="12" t="str">
        <f>'Horário - Graduação'!K88</f>
        <v/>
      </c>
      <c r="G60" s="12" t="str">
        <f>'Horário - Graduação'!L88</f>
        <v>Avaliação de Impactos Ambientais e Recuperação de Áreas Degradadas (Alessandro/ Élcio José) (3/8)</v>
      </c>
      <c r="H60" s="12" t="str">
        <f>'Horário - Graduação'!M88</f>
        <v/>
      </c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36"/>
      <c r="B61" s="40" t="s">
        <v>111</v>
      </c>
      <c r="C61" s="131"/>
      <c r="D61" s="146" t="str">
        <f>'Horário - Graduação'!I89</f>
        <v/>
      </c>
      <c r="E61" s="146" t="str">
        <f>'Horário - Graduação'!J89</f>
        <v/>
      </c>
      <c r="F61" s="146" t="str">
        <f>'Horário - Graduação'!K89</f>
        <v/>
      </c>
      <c r="G61" s="146" t="str">
        <f>'Horário - Graduação'!L89</f>
        <v/>
      </c>
      <c r="H61" s="146" t="str">
        <f>'Horário - Graduação'!M89</f>
        <v/>
      </c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36"/>
      <c r="B62" s="24" t="s">
        <v>113</v>
      </c>
      <c r="C62" s="131"/>
      <c r="D62" s="12" t="str">
        <f>'Horário - Graduação'!I90</f>
        <v>Química Orgânica (Willian Andrade) (3/7)</v>
      </c>
      <c r="E62" s="12" t="str">
        <f>'Horário - Graduação'!J90</f>
        <v/>
      </c>
      <c r="F62" s="12" t="str">
        <f>'Horário - Graduação'!K90</f>
        <v/>
      </c>
      <c r="G62" s="12" t="str">
        <f>'Horário - Graduação'!L90</f>
        <v>Avaliação de Impactos Ambientais e Recuperação de Áreas Degradadas (Alessandro/ Élcio José) (3/8)</v>
      </c>
      <c r="H62" s="12" t="str">
        <f>'Horário - Graduação'!M90</f>
        <v/>
      </c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36"/>
      <c r="B63" s="24" t="s">
        <v>120</v>
      </c>
      <c r="C63" s="131"/>
      <c r="D63" s="12" t="str">
        <f>'Horário - Graduação'!I91</f>
        <v>Química Orgânica (Willian Andrade) (3/7)</v>
      </c>
      <c r="E63" s="12" t="str">
        <f>'Horário - Graduação'!J91</f>
        <v/>
      </c>
      <c r="F63" s="12" t="str">
        <f>'Horário - Graduação'!K91</f>
        <v/>
      </c>
      <c r="G63" s="12" t="str">
        <f>'Horário - Graduação'!L91</f>
        <v>Avaliação de Impactos Ambientais e Recuperação de Áreas Degradadas (Alessandro/ Élcio José) (3/8)</v>
      </c>
      <c r="H63" s="12" t="str">
        <f>'Horário - Graduação'!M91</f>
        <v/>
      </c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36"/>
      <c r="B64" s="24" t="s">
        <v>121</v>
      </c>
      <c r="C64" s="131"/>
      <c r="D64" s="12" t="str">
        <f>'Horário - Graduação'!I92</f>
        <v/>
      </c>
      <c r="E64" s="12" t="str">
        <f>'Horário - Graduação'!J92</f>
        <v/>
      </c>
      <c r="F64" s="12" t="str">
        <f>'Horário - Graduação'!K92</f>
        <v/>
      </c>
      <c r="G64" s="12" t="str">
        <f>'Horário - Graduação'!L92</f>
        <v/>
      </c>
      <c r="H64" s="12" t="str">
        <f>'Horário - Graduação'!M92</f>
        <v/>
      </c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36"/>
      <c r="B65" s="40" t="s">
        <v>124</v>
      </c>
      <c r="C65" s="131"/>
      <c r="D65" s="146" t="str">
        <f>'Horário - Graduação'!I93</f>
        <v/>
      </c>
      <c r="E65" s="146" t="str">
        <f>'Horário - Graduação'!J93</f>
        <v/>
      </c>
      <c r="F65" s="146" t="str">
        <f>'Horário - Graduação'!K93</f>
        <v/>
      </c>
      <c r="G65" s="146" t="str">
        <f>'Horário - Graduação'!L93</f>
        <v/>
      </c>
      <c r="H65" s="146" t="str">
        <f>'Horário - Graduação'!M93</f>
        <v/>
      </c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36"/>
      <c r="B66" s="24" t="s">
        <v>126</v>
      </c>
      <c r="C66" s="131"/>
      <c r="D66" s="12" t="str">
        <f>'Horário - Graduação'!I94</f>
        <v>Física Geral I (Diego Carvalho)
(3/7)</v>
      </c>
      <c r="E66" s="12" t="str">
        <f>'Horário - Graduação'!J94</f>
        <v>Química Analítica (Aldo Gomes) (3/8)</v>
      </c>
      <c r="F66" s="12" t="str">
        <f>'Horário - Graduação'!K94</f>
        <v/>
      </c>
      <c r="G66" s="12" t="str">
        <f>'Horário - Graduação'!L94</f>
        <v>Gestão Ambiental (Élcio José) (3/9)</v>
      </c>
      <c r="H66" s="12" t="str">
        <f>'Horário - Graduação'!M94</f>
        <v/>
      </c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36"/>
      <c r="B67" s="24" t="s">
        <v>138</v>
      </c>
      <c r="C67" s="131"/>
      <c r="D67" s="12" t="str">
        <f>'Horário - Graduação'!I95</f>
        <v>Física Geral I (Diego Carvalho)
(3/7)</v>
      </c>
      <c r="E67" s="12" t="str">
        <f>'Horário - Graduação'!J95</f>
        <v>Química Analítica (Aldo Gomes) (3/8)</v>
      </c>
      <c r="F67" s="12" t="str">
        <f>'Horário - Graduação'!K95</f>
        <v/>
      </c>
      <c r="G67" s="12" t="str">
        <f>'Horário - Graduação'!L95</f>
        <v>Gestão Ambiental (Élcio José) (3/9)</v>
      </c>
      <c r="H67" s="12" t="str">
        <f>'Horário - Graduação'!M95</f>
        <v/>
      </c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36"/>
      <c r="B68" s="40" t="s">
        <v>111</v>
      </c>
      <c r="C68" s="131"/>
      <c r="D68" s="146" t="str">
        <f>'Horário - Graduação'!I96</f>
        <v/>
      </c>
      <c r="E68" s="146" t="str">
        <f>'Horário - Graduação'!J96</f>
        <v/>
      </c>
      <c r="F68" s="146" t="str">
        <f>'Horário - Graduação'!K96</f>
        <v/>
      </c>
      <c r="G68" s="146" t="str">
        <f>'Horário - Graduação'!L96</f>
        <v/>
      </c>
      <c r="H68" s="146" t="str">
        <f>'Horário - Graduação'!M96</f>
        <v/>
      </c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36"/>
      <c r="B69" s="24" t="s">
        <v>141</v>
      </c>
      <c r="C69" s="131"/>
      <c r="D69" s="12" t="str">
        <f>'Horário - Graduação'!I97</f>
        <v>Geometria Analítica e Álgebra Linear (Marco Aurélio) (3/7)</v>
      </c>
      <c r="E69" s="12" t="str">
        <f>'Horário - Graduação'!J97</f>
        <v>Fisiologia Vegetal (Michellia) (3/8)</v>
      </c>
      <c r="F69" s="12" t="str">
        <f>'Horário - Graduação'!K97</f>
        <v/>
      </c>
      <c r="G69" s="12" t="str">
        <f>'Horário - Graduação'!L97</f>
        <v/>
      </c>
      <c r="H69" s="12" t="str">
        <f>'Horário - Graduação'!M97</f>
        <v/>
      </c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36"/>
      <c r="B70" s="24" t="s">
        <v>154</v>
      </c>
      <c r="C70" s="131"/>
      <c r="D70" s="12" t="str">
        <f>'Horário - Graduação'!I98</f>
        <v>Geometria Analítica e Álgebra Linear (Marco Aurélio) (3/7)</v>
      </c>
      <c r="E70" s="12" t="str">
        <f>'Horário - Graduação'!J98</f>
        <v>Fisiologia Vegetal (Michellia) (3/8)</v>
      </c>
      <c r="F70" s="12" t="str">
        <f>'Horário - Graduação'!K98</f>
        <v/>
      </c>
      <c r="G70" s="12" t="str">
        <f>'Horário - Graduação'!L98</f>
        <v/>
      </c>
      <c r="H70" s="12" t="str">
        <f>'Horário - Graduação'!M98</f>
        <v/>
      </c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66"/>
      <c r="B71" s="24" t="s">
        <v>155</v>
      </c>
      <c r="C71" s="131"/>
      <c r="D71" s="88" t="str">
        <f>'Horário - Graduação'!I99</f>
        <v/>
      </c>
      <c r="E71" s="88" t="str">
        <f>'Horário - Graduação'!J99</f>
        <v/>
      </c>
      <c r="F71" s="88" t="str">
        <f>'Horário - Graduação'!K99</f>
        <v/>
      </c>
      <c r="G71" s="88" t="str">
        <f>'Horário - Graduação'!L99</f>
        <v/>
      </c>
      <c r="H71" s="88" t="str">
        <f>'Horário - Graduação'!M99</f>
        <v/>
      </c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42" t="s">
        <v>20</v>
      </c>
      <c r="B72" s="140" t="s">
        <v>23</v>
      </c>
      <c r="C72" s="131"/>
      <c r="D72" s="99" t="s">
        <v>34</v>
      </c>
      <c r="E72" s="99" t="s">
        <v>36</v>
      </c>
      <c r="F72" s="99" t="s">
        <v>39</v>
      </c>
      <c r="G72" s="99" t="s">
        <v>42</v>
      </c>
      <c r="H72" s="99" t="s">
        <v>43</v>
      </c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32"/>
      <c r="C273" s="32"/>
      <c r="D273" s="32"/>
      <c r="E273" s="32"/>
      <c r="F273" s="32"/>
      <c r="G273" s="32"/>
      <c r="H273" s="32"/>
    </row>
    <row r="274" ht="15.75" customHeight="1">
      <c r="A274" s="32"/>
      <c r="C274" s="32"/>
      <c r="D274" s="32"/>
      <c r="E274" s="32"/>
      <c r="F274" s="32"/>
      <c r="G274" s="32"/>
      <c r="H274" s="32"/>
    </row>
    <row r="275" ht="15.75" customHeight="1">
      <c r="A275" s="32"/>
      <c r="C275" s="32"/>
      <c r="D275" s="32"/>
      <c r="E275" s="32"/>
      <c r="F275" s="32"/>
      <c r="G275" s="32"/>
      <c r="H275" s="32"/>
    </row>
    <row r="276" ht="15.75" customHeight="1">
      <c r="A276" s="32"/>
      <c r="C276" s="32"/>
      <c r="D276" s="32"/>
      <c r="E276" s="32"/>
      <c r="F276" s="32"/>
      <c r="G276" s="32"/>
      <c r="H276" s="32"/>
    </row>
    <row r="277" ht="15.75" customHeight="1">
      <c r="A277" s="32"/>
      <c r="C277" s="32"/>
      <c r="D277" s="32"/>
      <c r="E277" s="32"/>
      <c r="F277" s="32"/>
      <c r="G277" s="32"/>
      <c r="H277" s="32"/>
    </row>
    <row r="278" ht="15.75" customHeight="1">
      <c r="A278" s="32"/>
      <c r="C278" s="32"/>
      <c r="D278" s="32"/>
      <c r="E278" s="32"/>
      <c r="F278" s="32"/>
      <c r="G278" s="32"/>
      <c r="H278" s="32"/>
    </row>
    <row r="279" ht="15.75" customHeight="1">
      <c r="A279" s="32"/>
      <c r="C279" s="32"/>
      <c r="D279" s="32"/>
      <c r="E279" s="32"/>
      <c r="F279" s="32"/>
      <c r="G279" s="32"/>
      <c r="H279" s="32"/>
    </row>
    <row r="280" ht="15.75" customHeight="1">
      <c r="A280" s="32"/>
      <c r="C280" s="32"/>
      <c r="D280" s="32"/>
      <c r="E280" s="32"/>
      <c r="F280" s="32"/>
      <c r="G280" s="32"/>
      <c r="H280" s="32"/>
    </row>
    <row r="281" ht="15.75" customHeight="1">
      <c r="A281" s="32"/>
      <c r="C281" s="32"/>
      <c r="D281" s="32"/>
      <c r="E281" s="32"/>
      <c r="F281" s="32"/>
      <c r="G281" s="32"/>
      <c r="H281" s="32"/>
    </row>
    <row r="282" ht="15.75" customHeight="1">
      <c r="A282" s="32"/>
      <c r="C282" s="32"/>
      <c r="D282" s="32"/>
      <c r="E282" s="32"/>
      <c r="F282" s="32"/>
      <c r="G282" s="32"/>
      <c r="H282" s="32"/>
    </row>
    <row r="283" ht="15.75" customHeight="1">
      <c r="A283" s="32"/>
      <c r="C283" s="32"/>
      <c r="D283" s="32"/>
      <c r="E283" s="32"/>
      <c r="F283" s="32"/>
      <c r="G283" s="32"/>
      <c r="H283" s="32"/>
    </row>
    <row r="284" ht="15.75" customHeight="1">
      <c r="A284" s="32"/>
      <c r="C284" s="32"/>
      <c r="D284" s="32"/>
      <c r="E284" s="32"/>
      <c r="F284" s="32"/>
      <c r="G284" s="32"/>
      <c r="H284" s="32"/>
    </row>
    <row r="285" ht="15.75" customHeight="1">
      <c r="A285" s="32"/>
      <c r="C285" s="32"/>
      <c r="D285" s="32"/>
      <c r="E285" s="32"/>
      <c r="F285" s="32"/>
      <c r="G285" s="32"/>
      <c r="H285" s="32"/>
    </row>
    <row r="286" ht="15.75" customHeight="1">
      <c r="A286" s="32"/>
      <c r="C286" s="32"/>
      <c r="D286" s="32"/>
      <c r="E286" s="32"/>
      <c r="F286" s="32"/>
      <c r="G286" s="32"/>
      <c r="H286" s="32"/>
    </row>
    <row r="287" ht="15.75" customHeight="1">
      <c r="A287" s="32"/>
      <c r="C287" s="32"/>
      <c r="D287" s="32"/>
      <c r="E287" s="32"/>
      <c r="F287" s="32"/>
      <c r="G287" s="32"/>
      <c r="H287" s="32"/>
    </row>
    <row r="288" ht="15.75" customHeight="1">
      <c r="A288" s="32"/>
      <c r="C288" s="32"/>
      <c r="D288" s="32"/>
      <c r="E288" s="32"/>
      <c r="F288" s="32"/>
      <c r="G288" s="32"/>
      <c r="H288" s="32"/>
    </row>
    <row r="289" ht="15.75" customHeight="1">
      <c r="A289" s="32"/>
      <c r="C289" s="32"/>
      <c r="D289" s="32"/>
      <c r="E289" s="32"/>
      <c r="F289" s="32"/>
      <c r="G289" s="32"/>
      <c r="H289" s="32"/>
    </row>
    <row r="290" ht="15.75" customHeight="1">
      <c r="A290" s="32"/>
      <c r="C290" s="32"/>
      <c r="D290" s="32"/>
      <c r="E290" s="32"/>
      <c r="F290" s="32"/>
      <c r="G290" s="32"/>
      <c r="H290" s="32"/>
    </row>
    <row r="291" ht="15.75" customHeight="1">
      <c r="A291" s="32"/>
      <c r="C291" s="32"/>
      <c r="D291" s="32"/>
      <c r="E291" s="32"/>
      <c r="F291" s="32"/>
      <c r="G291" s="32"/>
      <c r="H291" s="32"/>
    </row>
    <row r="292" ht="15.75" customHeight="1">
      <c r="A292" s="32"/>
      <c r="C292" s="32"/>
      <c r="D292" s="32"/>
      <c r="E292" s="32"/>
      <c r="F292" s="32"/>
      <c r="G292" s="32"/>
      <c r="H292" s="32"/>
    </row>
    <row r="293" ht="15.75" customHeight="1">
      <c r="A293" s="32"/>
      <c r="C293" s="32"/>
      <c r="D293" s="32"/>
      <c r="E293" s="32"/>
      <c r="F293" s="32"/>
      <c r="G293" s="32"/>
      <c r="H293" s="32"/>
    </row>
    <row r="294" ht="15.75" customHeight="1">
      <c r="A294" s="32"/>
      <c r="C294" s="32"/>
      <c r="D294" s="32"/>
      <c r="E294" s="32"/>
      <c r="F294" s="32"/>
      <c r="G294" s="32"/>
      <c r="H294" s="32"/>
    </row>
    <row r="295" ht="15.75" customHeight="1">
      <c r="A295" s="32"/>
      <c r="C295" s="32"/>
      <c r="D295" s="32"/>
      <c r="E295" s="32"/>
      <c r="F295" s="32"/>
      <c r="G295" s="32"/>
      <c r="H295" s="32"/>
    </row>
    <row r="296" ht="15.75" customHeight="1">
      <c r="A296" s="32"/>
      <c r="C296" s="32"/>
      <c r="D296" s="32"/>
      <c r="E296" s="32"/>
      <c r="F296" s="32"/>
      <c r="G296" s="32"/>
      <c r="H296" s="32"/>
    </row>
    <row r="297" ht="15.75" customHeight="1">
      <c r="A297" s="32"/>
      <c r="C297" s="32"/>
      <c r="D297" s="32"/>
      <c r="E297" s="32"/>
      <c r="F297" s="32"/>
      <c r="G297" s="32"/>
      <c r="H297" s="32"/>
    </row>
    <row r="298" ht="15.75" customHeight="1">
      <c r="A298" s="32"/>
      <c r="C298" s="32"/>
      <c r="D298" s="32"/>
      <c r="E298" s="32"/>
      <c r="F298" s="32"/>
      <c r="G298" s="32"/>
      <c r="H298" s="32"/>
    </row>
    <row r="299" ht="15.75" customHeight="1">
      <c r="A299" s="32"/>
      <c r="C299" s="32"/>
      <c r="D299" s="32"/>
      <c r="E299" s="32"/>
      <c r="F299" s="32"/>
      <c r="G299" s="32"/>
      <c r="H299" s="32"/>
    </row>
    <row r="300" ht="15.75" customHeight="1">
      <c r="A300" s="32"/>
      <c r="C300" s="32"/>
      <c r="D300" s="32"/>
      <c r="E300" s="32"/>
      <c r="F300" s="32"/>
      <c r="G300" s="32"/>
      <c r="H300" s="32"/>
    </row>
    <row r="301" ht="15.75" customHeight="1">
      <c r="A301" s="32"/>
      <c r="C301" s="32"/>
      <c r="D301" s="32"/>
      <c r="E301" s="32"/>
      <c r="F301" s="32"/>
      <c r="G301" s="32"/>
      <c r="H301" s="32"/>
    </row>
    <row r="302" ht="15.75" customHeight="1">
      <c r="A302" s="32"/>
      <c r="C302" s="32"/>
      <c r="D302" s="32"/>
      <c r="E302" s="32"/>
      <c r="F302" s="32"/>
      <c r="G302" s="32"/>
      <c r="H302" s="32"/>
    </row>
    <row r="303" ht="15.75" customHeight="1">
      <c r="A303" s="32"/>
      <c r="C303" s="32"/>
      <c r="D303" s="32"/>
      <c r="E303" s="32"/>
      <c r="F303" s="32"/>
      <c r="G303" s="32"/>
      <c r="H303" s="32"/>
    </row>
    <row r="304" ht="15.75" customHeight="1">
      <c r="A304" s="32"/>
      <c r="C304" s="32"/>
      <c r="D304" s="32"/>
      <c r="E304" s="32"/>
      <c r="F304" s="32"/>
      <c r="G304" s="32"/>
      <c r="H304" s="32"/>
    </row>
    <row r="305" ht="15.75" customHeight="1">
      <c r="A305" s="32"/>
      <c r="C305" s="32"/>
      <c r="D305" s="32"/>
      <c r="E305" s="32"/>
      <c r="F305" s="32"/>
      <c r="G305" s="32"/>
      <c r="H305" s="32"/>
    </row>
    <row r="306" ht="15.75" customHeight="1">
      <c r="A306" s="32"/>
      <c r="C306" s="32"/>
      <c r="D306" s="32"/>
      <c r="E306" s="32"/>
      <c r="F306" s="32"/>
      <c r="G306" s="32"/>
      <c r="H306" s="32"/>
    </row>
    <row r="307" ht="15.75" customHeight="1">
      <c r="A307" s="32"/>
      <c r="C307" s="32"/>
      <c r="D307" s="32"/>
      <c r="E307" s="32"/>
      <c r="F307" s="32"/>
      <c r="G307" s="32"/>
      <c r="H307" s="32"/>
    </row>
    <row r="308" ht="15.75" customHeight="1">
      <c r="A308" s="32"/>
      <c r="C308" s="32"/>
      <c r="D308" s="32"/>
      <c r="E308" s="32"/>
      <c r="F308" s="32"/>
      <c r="G308" s="32"/>
      <c r="H308" s="32"/>
    </row>
    <row r="309" ht="15.75" customHeight="1">
      <c r="A309" s="32"/>
      <c r="C309" s="32"/>
      <c r="D309" s="32"/>
      <c r="E309" s="32"/>
      <c r="F309" s="32"/>
      <c r="G309" s="32"/>
      <c r="H309" s="32"/>
    </row>
    <row r="310" ht="15.75" customHeight="1">
      <c r="A310" s="32"/>
      <c r="C310" s="32"/>
      <c r="D310" s="32"/>
      <c r="E310" s="32"/>
      <c r="F310" s="32"/>
      <c r="G310" s="32"/>
      <c r="H310" s="32"/>
    </row>
    <row r="311" ht="15.75" customHeight="1">
      <c r="A311" s="32"/>
      <c r="C311" s="32"/>
      <c r="D311" s="32"/>
      <c r="E311" s="32"/>
      <c r="F311" s="32"/>
      <c r="G311" s="32"/>
      <c r="H311" s="32"/>
    </row>
    <row r="312" ht="15.75" customHeight="1">
      <c r="A312" s="32"/>
      <c r="C312" s="32"/>
      <c r="D312" s="32"/>
      <c r="E312" s="32"/>
      <c r="F312" s="32"/>
      <c r="G312" s="32"/>
      <c r="H312" s="32"/>
    </row>
    <row r="313" ht="15.75" customHeight="1">
      <c r="A313" s="32"/>
      <c r="C313" s="32"/>
      <c r="D313" s="32"/>
      <c r="E313" s="32"/>
      <c r="F313" s="32"/>
      <c r="G313" s="32"/>
      <c r="H313" s="32"/>
    </row>
    <row r="314" ht="15.75" customHeight="1">
      <c r="A314" s="32"/>
      <c r="C314" s="32"/>
      <c r="D314" s="32"/>
      <c r="E314" s="32"/>
      <c r="F314" s="32"/>
      <c r="G314" s="32"/>
      <c r="H314" s="32"/>
    </row>
    <row r="315" ht="15.75" customHeight="1">
      <c r="A315" s="32"/>
      <c r="C315" s="32"/>
      <c r="D315" s="32"/>
      <c r="E315" s="32"/>
      <c r="F315" s="32"/>
      <c r="G315" s="32"/>
      <c r="H315" s="32"/>
    </row>
    <row r="316" ht="15.75" customHeight="1">
      <c r="A316" s="32"/>
      <c r="C316" s="32"/>
      <c r="D316" s="32"/>
      <c r="E316" s="32"/>
      <c r="F316" s="32"/>
      <c r="G316" s="32"/>
      <c r="H316" s="32"/>
    </row>
    <row r="317" ht="15.75" customHeight="1">
      <c r="A317" s="32"/>
      <c r="C317" s="32"/>
      <c r="D317" s="32"/>
      <c r="E317" s="32"/>
      <c r="F317" s="32"/>
      <c r="G317" s="32"/>
      <c r="H317" s="32"/>
    </row>
    <row r="318" ht="15.75" customHeight="1">
      <c r="A318" s="32"/>
      <c r="C318" s="32"/>
      <c r="D318" s="32"/>
      <c r="E318" s="32"/>
      <c r="F318" s="32"/>
      <c r="G318" s="32"/>
      <c r="H318" s="32"/>
    </row>
    <row r="319" ht="15.75" customHeight="1">
      <c r="A319" s="32"/>
      <c r="C319" s="32"/>
      <c r="D319" s="32"/>
      <c r="E319" s="32"/>
      <c r="F319" s="32"/>
      <c r="G319" s="32"/>
      <c r="H319" s="32"/>
    </row>
    <row r="320" ht="15.75" customHeight="1">
      <c r="A320" s="32"/>
      <c r="C320" s="32"/>
      <c r="D320" s="32"/>
      <c r="E320" s="32"/>
      <c r="F320" s="32"/>
      <c r="G320" s="32"/>
      <c r="H320" s="32"/>
    </row>
    <row r="321" ht="15.75" customHeight="1">
      <c r="A321" s="32"/>
      <c r="C321" s="32"/>
      <c r="D321" s="32"/>
      <c r="E321" s="32"/>
      <c r="F321" s="32"/>
      <c r="G321" s="32"/>
      <c r="H321" s="32"/>
    </row>
    <row r="322" ht="15.75" customHeight="1">
      <c r="A322" s="32"/>
      <c r="C322" s="32"/>
      <c r="D322" s="32"/>
      <c r="E322" s="32"/>
      <c r="F322" s="32"/>
      <c r="G322" s="32"/>
      <c r="H322" s="32"/>
    </row>
    <row r="323" ht="15.75" customHeight="1">
      <c r="A323" s="32"/>
      <c r="C323" s="32"/>
      <c r="D323" s="32"/>
      <c r="E323" s="32"/>
      <c r="F323" s="32"/>
      <c r="G323" s="32"/>
      <c r="H323" s="32"/>
    </row>
    <row r="324" ht="15.75" customHeight="1">
      <c r="A324" s="32"/>
      <c r="C324" s="32"/>
      <c r="D324" s="32"/>
      <c r="E324" s="32"/>
      <c r="F324" s="32"/>
      <c r="G324" s="32"/>
      <c r="H324" s="32"/>
    </row>
    <row r="325" ht="15.75" customHeight="1">
      <c r="A325" s="32"/>
      <c r="C325" s="32"/>
      <c r="D325" s="32"/>
      <c r="E325" s="32"/>
      <c r="F325" s="32"/>
      <c r="G325" s="32"/>
      <c r="H325" s="32"/>
    </row>
    <row r="326" ht="15.75" customHeight="1">
      <c r="A326" s="32"/>
      <c r="C326" s="32"/>
      <c r="D326" s="32"/>
      <c r="E326" s="32"/>
      <c r="F326" s="32"/>
      <c r="G326" s="32"/>
      <c r="H326" s="32"/>
    </row>
    <row r="327" ht="15.75" customHeight="1">
      <c r="A327" s="32"/>
      <c r="C327" s="32"/>
      <c r="D327" s="32"/>
      <c r="E327" s="32"/>
      <c r="F327" s="32"/>
      <c r="G327" s="32"/>
      <c r="H327" s="32"/>
    </row>
    <row r="328" ht="15.75" customHeight="1">
      <c r="A328" s="32"/>
      <c r="C328" s="32"/>
      <c r="D328" s="32"/>
      <c r="E328" s="32"/>
      <c r="F328" s="32"/>
      <c r="G328" s="32"/>
      <c r="H328" s="32"/>
    </row>
    <row r="329" ht="15.75" customHeight="1">
      <c r="A329" s="32"/>
      <c r="C329" s="32"/>
      <c r="D329" s="32"/>
      <c r="E329" s="32"/>
      <c r="F329" s="32"/>
      <c r="G329" s="32"/>
      <c r="H329" s="32"/>
    </row>
    <row r="330" ht="15.75" customHeight="1">
      <c r="A330" s="32"/>
      <c r="C330" s="32"/>
      <c r="D330" s="32"/>
      <c r="E330" s="32"/>
      <c r="F330" s="32"/>
      <c r="G330" s="32"/>
      <c r="H330" s="32"/>
    </row>
    <row r="331" ht="15.75" customHeight="1">
      <c r="A331" s="32"/>
      <c r="C331" s="32"/>
      <c r="D331" s="32"/>
      <c r="E331" s="32"/>
      <c r="F331" s="32"/>
      <c r="G331" s="32"/>
      <c r="H331" s="32"/>
    </row>
    <row r="332" ht="15.75" customHeight="1">
      <c r="A332" s="32"/>
      <c r="C332" s="32"/>
      <c r="D332" s="32"/>
      <c r="E332" s="32"/>
      <c r="F332" s="32"/>
      <c r="G332" s="32"/>
      <c r="H332" s="32"/>
    </row>
    <row r="333" ht="15.75" customHeight="1">
      <c r="A333" s="32"/>
      <c r="C333" s="32"/>
      <c r="D333" s="32"/>
      <c r="E333" s="32"/>
      <c r="F333" s="32"/>
      <c r="G333" s="32"/>
      <c r="H333" s="32"/>
    </row>
    <row r="334" ht="15.75" customHeight="1">
      <c r="A334" s="32"/>
      <c r="C334" s="32"/>
      <c r="D334" s="32"/>
      <c r="E334" s="32"/>
      <c r="F334" s="32"/>
      <c r="G334" s="32"/>
      <c r="H334" s="32"/>
    </row>
    <row r="335" ht="15.75" customHeight="1">
      <c r="A335" s="32"/>
      <c r="C335" s="32"/>
      <c r="D335" s="32"/>
      <c r="E335" s="32"/>
      <c r="F335" s="32"/>
      <c r="G335" s="32"/>
      <c r="H335" s="32"/>
    </row>
    <row r="336" ht="15.75" customHeight="1">
      <c r="A336" s="32"/>
      <c r="C336" s="32"/>
      <c r="D336" s="32"/>
      <c r="E336" s="32"/>
      <c r="F336" s="32"/>
      <c r="G336" s="32"/>
      <c r="H336" s="32"/>
    </row>
    <row r="337" ht="15.75" customHeight="1">
      <c r="A337" s="32"/>
      <c r="C337" s="32"/>
      <c r="D337" s="32"/>
      <c r="E337" s="32"/>
      <c r="F337" s="32"/>
      <c r="G337" s="32"/>
      <c r="H337" s="32"/>
    </row>
    <row r="338" ht="15.75" customHeight="1">
      <c r="A338" s="32"/>
      <c r="C338" s="32"/>
      <c r="D338" s="32"/>
      <c r="E338" s="32"/>
      <c r="F338" s="32"/>
      <c r="G338" s="32"/>
      <c r="H338" s="32"/>
    </row>
    <row r="339" ht="15.75" customHeight="1">
      <c r="A339" s="32"/>
      <c r="C339" s="32"/>
      <c r="D339" s="32"/>
      <c r="E339" s="32"/>
      <c r="F339" s="32"/>
      <c r="G339" s="32"/>
      <c r="H339" s="32"/>
    </row>
    <row r="340" ht="15.75" customHeight="1">
      <c r="A340" s="32"/>
      <c r="C340" s="32"/>
      <c r="D340" s="32"/>
      <c r="E340" s="32"/>
      <c r="F340" s="32"/>
      <c r="G340" s="32"/>
      <c r="H340" s="32"/>
    </row>
    <row r="341" ht="15.75" customHeight="1">
      <c r="A341" s="32"/>
      <c r="C341" s="32"/>
      <c r="D341" s="32"/>
      <c r="E341" s="32"/>
      <c r="F341" s="32"/>
      <c r="G341" s="32"/>
      <c r="H341" s="32"/>
    </row>
    <row r="342" ht="15.75" customHeight="1">
      <c r="A342" s="32"/>
      <c r="C342" s="32"/>
      <c r="D342" s="32"/>
      <c r="E342" s="32"/>
      <c r="F342" s="32"/>
      <c r="G342" s="32"/>
      <c r="H342" s="32"/>
    </row>
    <row r="343" ht="15.75" customHeight="1">
      <c r="A343" s="32"/>
      <c r="C343" s="32"/>
      <c r="D343" s="32"/>
      <c r="E343" s="32"/>
      <c r="F343" s="32"/>
      <c r="G343" s="32"/>
      <c r="H343" s="32"/>
    </row>
    <row r="344" ht="15.75" customHeight="1">
      <c r="A344" s="32"/>
      <c r="C344" s="32"/>
      <c r="D344" s="32"/>
      <c r="E344" s="32"/>
      <c r="F344" s="32"/>
      <c r="G344" s="32"/>
      <c r="H344" s="32"/>
    </row>
    <row r="345" ht="15.75" customHeight="1">
      <c r="A345" s="32"/>
      <c r="C345" s="32"/>
      <c r="D345" s="32"/>
      <c r="E345" s="32"/>
      <c r="F345" s="32"/>
      <c r="G345" s="32"/>
      <c r="H345" s="32"/>
    </row>
    <row r="346" ht="15.75" customHeight="1">
      <c r="A346" s="32"/>
      <c r="C346" s="32"/>
      <c r="D346" s="32"/>
      <c r="E346" s="32"/>
      <c r="F346" s="32"/>
      <c r="G346" s="32"/>
      <c r="H346" s="32"/>
    </row>
    <row r="347" ht="15.75" customHeight="1">
      <c r="A347" s="32"/>
      <c r="C347" s="32"/>
      <c r="D347" s="32"/>
      <c r="E347" s="32"/>
      <c r="F347" s="32"/>
      <c r="G347" s="32"/>
      <c r="H347" s="32"/>
    </row>
    <row r="348" ht="15.75" customHeight="1">
      <c r="A348" s="32"/>
      <c r="C348" s="32"/>
      <c r="D348" s="32"/>
      <c r="E348" s="32"/>
      <c r="F348" s="32"/>
      <c r="G348" s="32"/>
      <c r="H348" s="32"/>
    </row>
    <row r="349" ht="15.75" customHeight="1">
      <c r="A349" s="32"/>
      <c r="C349" s="32"/>
      <c r="D349" s="32"/>
      <c r="E349" s="32"/>
      <c r="F349" s="32"/>
      <c r="G349" s="32"/>
      <c r="H349" s="32"/>
    </row>
    <row r="350" ht="15.75" customHeight="1">
      <c r="A350" s="32"/>
      <c r="C350" s="32"/>
      <c r="D350" s="32"/>
      <c r="E350" s="32"/>
      <c r="F350" s="32"/>
      <c r="G350" s="32"/>
      <c r="H350" s="32"/>
    </row>
    <row r="351" ht="15.75" customHeight="1">
      <c r="A351" s="32"/>
      <c r="C351" s="32"/>
      <c r="D351" s="32"/>
      <c r="E351" s="32"/>
      <c r="F351" s="32"/>
      <c r="G351" s="32"/>
      <c r="H351" s="32"/>
    </row>
    <row r="352" ht="15.75" customHeight="1">
      <c r="A352" s="32"/>
      <c r="C352" s="32"/>
      <c r="D352" s="32"/>
      <c r="E352" s="32"/>
      <c r="F352" s="32"/>
      <c r="G352" s="32"/>
      <c r="H352" s="32"/>
    </row>
    <row r="353" ht="15.75" customHeight="1">
      <c r="A353" s="32"/>
      <c r="C353" s="32"/>
      <c r="D353" s="32"/>
      <c r="E353" s="32"/>
      <c r="F353" s="32"/>
      <c r="G353" s="32"/>
      <c r="H353" s="32"/>
    </row>
    <row r="354" ht="15.75" customHeight="1">
      <c r="A354" s="32"/>
      <c r="C354" s="32"/>
      <c r="D354" s="32"/>
      <c r="E354" s="32"/>
      <c r="F354" s="32"/>
      <c r="G354" s="32"/>
      <c r="H354" s="32"/>
    </row>
    <row r="355" ht="15.75" customHeight="1">
      <c r="A355" s="32"/>
      <c r="C355" s="32"/>
      <c r="D355" s="32"/>
      <c r="E355" s="32"/>
      <c r="F355" s="32"/>
      <c r="G355" s="32"/>
      <c r="H355" s="32"/>
    </row>
    <row r="356" ht="15.75" customHeight="1">
      <c r="A356" s="32"/>
      <c r="C356" s="32"/>
      <c r="D356" s="32"/>
      <c r="E356" s="32"/>
      <c r="F356" s="32"/>
      <c r="G356" s="32"/>
      <c r="H356" s="32"/>
    </row>
    <row r="357" ht="15.75" customHeight="1">
      <c r="A357" s="32"/>
      <c r="C357" s="32"/>
      <c r="D357" s="32"/>
      <c r="E357" s="32"/>
      <c r="F357" s="32"/>
      <c r="G357" s="32"/>
      <c r="H357" s="32"/>
    </row>
    <row r="358" ht="15.75" customHeight="1">
      <c r="A358" s="32"/>
      <c r="C358" s="32"/>
      <c r="D358" s="32"/>
      <c r="E358" s="32"/>
      <c r="F358" s="32"/>
      <c r="G358" s="32"/>
      <c r="H358" s="32"/>
    </row>
    <row r="359" ht="15.75" customHeight="1">
      <c r="A359" s="32"/>
      <c r="C359" s="32"/>
      <c r="D359" s="32"/>
      <c r="E359" s="32"/>
      <c r="F359" s="32"/>
      <c r="G359" s="32"/>
      <c r="H359" s="32"/>
    </row>
    <row r="360" ht="15.75" customHeight="1">
      <c r="A360" s="32"/>
      <c r="C360" s="32"/>
      <c r="D360" s="32"/>
      <c r="E360" s="32"/>
      <c r="F360" s="32"/>
      <c r="G360" s="32"/>
      <c r="H360" s="32"/>
    </row>
    <row r="361" ht="15.75" customHeight="1">
      <c r="A361" s="32"/>
      <c r="C361" s="32"/>
      <c r="D361" s="32"/>
      <c r="E361" s="32"/>
      <c r="F361" s="32"/>
      <c r="G361" s="32"/>
      <c r="H361" s="32"/>
    </row>
    <row r="362" ht="15.75" customHeight="1">
      <c r="A362" s="32"/>
      <c r="C362" s="32"/>
      <c r="D362" s="32"/>
      <c r="E362" s="32"/>
      <c r="F362" s="32"/>
      <c r="G362" s="32"/>
      <c r="H362" s="32"/>
    </row>
    <row r="363" ht="15.75" customHeight="1">
      <c r="A363" s="32"/>
      <c r="C363" s="32"/>
      <c r="D363" s="32"/>
      <c r="E363" s="32"/>
      <c r="F363" s="32"/>
      <c r="G363" s="32"/>
      <c r="H363" s="32"/>
    </row>
    <row r="364" ht="15.75" customHeight="1">
      <c r="A364" s="32"/>
      <c r="C364" s="32"/>
      <c r="D364" s="32"/>
      <c r="E364" s="32"/>
      <c r="F364" s="32"/>
      <c r="G364" s="32"/>
      <c r="H364" s="32"/>
    </row>
    <row r="365" ht="15.75" customHeight="1">
      <c r="A365" s="32"/>
      <c r="C365" s="32"/>
      <c r="D365" s="32"/>
      <c r="E365" s="32"/>
      <c r="F365" s="32"/>
      <c r="G365" s="32"/>
      <c r="H365" s="32"/>
    </row>
    <row r="366" ht="15.75" customHeight="1">
      <c r="A366" s="32"/>
      <c r="C366" s="32"/>
      <c r="D366" s="32"/>
      <c r="E366" s="32"/>
      <c r="F366" s="32"/>
      <c r="G366" s="32"/>
      <c r="H366" s="32"/>
    </row>
    <row r="367" ht="15.75" customHeight="1">
      <c r="A367" s="32"/>
      <c r="C367" s="32"/>
      <c r="D367" s="32"/>
      <c r="E367" s="32"/>
      <c r="F367" s="32"/>
      <c r="G367" s="32"/>
      <c r="H367" s="32"/>
    </row>
    <row r="368" ht="15.75" customHeight="1">
      <c r="A368" s="32"/>
      <c r="C368" s="32"/>
      <c r="D368" s="32"/>
      <c r="E368" s="32"/>
      <c r="F368" s="32"/>
      <c r="G368" s="32"/>
      <c r="H368" s="32"/>
    </row>
    <row r="369" ht="15.75" customHeight="1">
      <c r="A369" s="32"/>
      <c r="C369" s="32"/>
      <c r="D369" s="32"/>
      <c r="E369" s="32"/>
      <c r="F369" s="32"/>
      <c r="G369" s="32"/>
      <c r="H369" s="32"/>
    </row>
    <row r="370" ht="15.75" customHeight="1">
      <c r="A370" s="32"/>
      <c r="C370" s="32"/>
      <c r="D370" s="32"/>
      <c r="E370" s="32"/>
      <c r="F370" s="32"/>
      <c r="G370" s="32"/>
      <c r="H370" s="32"/>
    </row>
    <row r="371" ht="15.75" customHeight="1">
      <c r="A371" s="32"/>
      <c r="C371" s="32"/>
      <c r="D371" s="32"/>
      <c r="E371" s="32"/>
      <c r="F371" s="32"/>
      <c r="G371" s="32"/>
      <c r="H371" s="32"/>
    </row>
    <row r="372" ht="15.75" customHeight="1">
      <c r="A372" s="32"/>
      <c r="C372" s="32"/>
      <c r="D372" s="32"/>
      <c r="E372" s="32"/>
      <c r="F372" s="32"/>
      <c r="G372" s="32"/>
      <c r="H372" s="32"/>
    </row>
    <row r="373" ht="15.75" customHeight="1">
      <c r="A373" s="32"/>
      <c r="C373" s="32"/>
      <c r="D373" s="32"/>
      <c r="E373" s="32"/>
      <c r="F373" s="32"/>
      <c r="G373" s="32"/>
      <c r="H373" s="32"/>
    </row>
    <row r="374" ht="15.75" customHeight="1">
      <c r="A374" s="32"/>
      <c r="C374" s="32"/>
      <c r="D374" s="32"/>
      <c r="E374" s="32"/>
      <c r="F374" s="32"/>
      <c r="G374" s="32"/>
      <c r="H374" s="32"/>
    </row>
    <row r="375" ht="15.75" customHeight="1">
      <c r="A375" s="32"/>
      <c r="C375" s="32"/>
      <c r="D375" s="32"/>
      <c r="E375" s="32"/>
      <c r="F375" s="32"/>
      <c r="G375" s="32"/>
      <c r="H375" s="32"/>
    </row>
    <row r="376" ht="15.75" customHeight="1">
      <c r="A376" s="32"/>
      <c r="C376" s="32"/>
      <c r="D376" s="32"/>
      <c r="E376" s="32"/>
      <c r="F376" s="32"/>
      <c r="G376" s="32"/>
      <c r="H376" s="32"/>
    </row>
    <row r="377" ht="15.75" customHeight="1">
      <c r="A377" s="32"/>
      <c r="C377" s="32"/>
      <c r="D377" s="32"/>
      <c r="E377" s="32"/>
      <c r="F377" s="32"/>
      <c r="G377" s="32"/>
      <c r="H377" s="32"/>
    </row>
    <row r="378" ht="15.75" customHeight="1">
      <c r="A378" s="32"/>
      <c r="C378" s="32"/>
      <c r="D378" s="32"/>
      <c r="E378" s="32"/>
      <c r="F378" s="32"/>
      <c r="G378" s="32"/>
      <c r="H378" s="32"/>
    </row>
    <row r="379" ht="15.75" customHeight="1">
      <c r="A379" s="32"/>
      <c r="C379" s="32"/>
      <c r="D379" s="32"/>
      <c r="E379" s="32"/>
      <c r="F379" s="32"/>
      <c r="G379" s="32"/>
      <c r="H379" s="32"/>
    </row>
    <row r="380" ht="15.75" customHeight="1">
      <c r="A380" s="32"/>
      <c r="C380" s="32"/>
      <c r="D380" s="32"/>
      <c r="E380" s="32"/>
      <c r="F380" s="32"/>
      <c r="G380" s="32"/>
      <c r="H380" s="32"/>
    </row>
    <row r="381" ht="15.75" customHeight="1">
      <c r="A381" s="32"/>
      <c r="C381" s="32"/>
      <c r="D381" s="32"/>
      <c r="E381" s="32"/>
      <c r="F381" s="32"/>
      <c r="G381" s="32"/>
      <c r="H381" s="32"/>
    </row>
    <row r="382" ht="15.75" customHeight="1">
      <c r="A382" s="32"/>
      <c r="C382" s="32"/>
      <c r="D382" s="32"/>
      <c r="E382" s="32"/>
      <c r="F382" s="32"/>
      <c r="G382" s="32"/>
      <c r="H382" s="32"/>
    </row>
    <row r="383" ht="15.75" customHeight="1">
      <c r="A383" s="32"/>
      <c r="C383" s="32"/>
      <c r="D383" s="32"/>
      <c r="E383" s="32"/>
      <c r="F383" s="32"/>
      <c r="G383" s="32"/>
      <c r="H383" s="32"/>
    </row>
    <row r="384" ht="15.75" customHeight="1">
      <c r="A384" s="32"/>
      <c r="C384" s="32"/>
      <c r="D384" s="32"/>
      <c r="E384" s="32"/>
      <c r="F384" s="32"/>
      <c r="G384" s="32"/>
      <c r="H384" s="32"/>
    </row>
    <row r="385" ht="15.75" customHeight="1">
      <c r="A385" s="32"/>
      <c r="C385" s="32"/>
      <c r="D385" s="32"/>
      <c r="E385" s="32"/>
      <c r="F385" s="32"/>
      <c r="G385" s="32"/>
      <c r="H385" s="32"/>
    </row>
    <row r="386" ht="15.75" customHeight="1">
      <c r="A386" s="32"/>
      <c r="C386" s="32"/>
      <c r="D386" s="32"/>
      <c r="E386" s="32"/>
      <c r="F386" s="32"/>
      <c r="G386" s="32"/>
      <c r="H386" s="32"/>
    </row>
    <row r="387" ht="15.75" customHeight="1">
      <c r="A387" s="32"/>
      <c r="C387" s="32"/>
      <c r="D387" s="32"/>
      <c r="E387" s="32"/>
      <c r="F387" s="32"/>
      <c r="G387" s="32"/>
      <c r="H387" s="32"/>
    </row>
    <row r="388" ht="15.75" customHeight="1">
      <c r="A388" s="32"/>
      <c r="C388" s="32"/>
      <c r="D388" s="32"/>
      <c r="E388" s="32"/>
      <c r="F388" s="32"/>
      <c r="G388" s="32"/>
      <c r="H388" s="32"/>
    </row>
    <row r="389" ht="15.75" customHeight="1">
      <c r="A389" s="32"/>
      <c r="C389" s="32"/>
      <c r="D389" s="32"/>
      <c r="E389" s="32"/>
      <c r="F389" s="32"/>
      <c r="G389" s="32"/>
      <c r="H389" s="32"/>
    </row>
    <row r="390" ht="15.75" customHeight="1">
      <c r="A390" s="32"/>
      <c r="C390" s="32"/>
      <c r="D390" s="32"/>
      <c r="E390" s="32"/>
      <c r="F390" s="32"/>
      <c r="G390" s="32"/>
      <c r="H390" s="32"/>
    </row>
    <row r="391" ht="15.75" customHeight="1">
      <c r="A391" s="32"/>
      <c r="C391" s="32"/>
      <c r="D391" s="32"/>
      <c r="E391" s="32"/>
      <c r="F391" s="32"/>
      <c r="G391" s="32"/>
      <c r="H391" s="32"/>
    </row>
    <row r="392" ht="15.75" customHeight="1">
      <c r="A392" s="32"/>
      <c r="C392" s="32"/>
      <c r="D392" s="32"/>
      <c r="E392" s="32"/>
      <c r="F392" s="32"/>
      <c r="G392" s="32"/>
      <c r="H392" s="32"/>
    </row>
    <row r="393" ht="15.75" customHeight="1">
      <c r="A393" s="32"/>
      <c r="C393" s="32"/>
      <c r="D393" s="32"/>
      <c r="E393" s="32"/>
      <c r="F393" s="32"/>
      <c r="G393" s="32"/>
      <c r="H393" s="32"/>
    </row>
    <row r="394" ht="15.75" customHeight="1">
      <c r="A394" s="32"/>
      <c r="C394" s="32"/>
      <c r="D394" s="32"/>
      <c r="E394" s="32"/>
      <c r="F394" s="32"/>
      <c r="G394" s="32"/>
      <c r="H394" s="32"/>
    </row>
    <row r="395" ht="15.75" customHeight="1">
      <c r="A395" s="32"/>
      <c r="C395" s="32"/>
      <c r="D395" s="32"/>
      <c r="E395" s="32"/>
      <c r="F395" s="32"/>
      <c r="G395" s="32"/>
      <c r="H395" s="32"/>
    </row>
    <row r="396" ht="15.75" customHeight="1">
      <c r="A396" s="32"/>
      <c r="C396" s="32"/>
      <c r="D396" s="32"/>
      <c r="E396" s="32"/>
      <c r="F396" s="32"/>
      <c r="G396" s="32"/>
      <c r="H396" s="32"/>
    </row>
    <row r="397" ht="15.75" customHeight="1">
      <c r="A397" s="32"/>
      <c r="C397" s="32"/>
      <c r="D397" s="32"/>
      <c r="E397" s="32"/>
      <c r="F397" s="32"/>
      <c r="G397" s="32"/>
      <c r="H397" s="32"/>
    </row>
    <row r="398" ht="15.75" customHeight="1">
      <c r="A398" s="32"/>
      <c r="C398" s="32"/>
      <c r="D398" s="32"/>
      <c r="E398" s="32"/>
      <c r="F398" s="32"/>
      <c r="G398" s="32"/>
      <c r="H398" s="32"/>
    </row>
    <row r="399" ht="15.75" customHeight="1">
      <c r="A399" s="32"/>
      <c r="C399" s="32"/>
      <c r="D399" s="32"/>
      <c r="E399" s="32"/>
      <c r="F399" s="32"/>
      <c r="G399" s="32"/>
      <c r="H399" s="32"/>
    </row>
    <row r="400" ht="15.75" customHeight="1">
      <c r="A400" s="32"/>
      <c r="C400" s="32"/>
      <c r="D400" s="32"/>
      <c r="E400" s="32"/>
      <c r="F400" s="32"/>
      <c r="G400" s="32"/>
      <c r="H400" s="32"/>
    </row>
    <row r="401" ht="15.75" customHeight="1">
      <c r="A401" s="32"/>
      <c r="C401" s="32"/>
      <c r="D401" s="32"/>
      <c r="E401" s="32"/>
      <c r="F401" s="32"/>
      <c r="G401" s="32"/>
      <c r="H401" s="32"/>
    </row>
    <row r="402" ht="15.75" customHeight="1">
      <c r="A402" s="32"/>
      <c r="C402" s="32"/>
      <c r="D402" s="32"/>
      <c r="E402" s="32"/>
      <c r="F402" s="32"/>
      <c r="G402" s="32"/>
      <c r="H402" s="32"/>
    </row>
    <row r="403" ht="15.75" customHeight="1">
      <c r="A403" s="32"/>
      <c r="C403" s="32"/>
      <c r="D403" s="32"/>
      <c r="E403" s="32"/>
      <c r="F403" s="32"/>
      <c r="G403" s="32"/>
      <c r="H403" s="32"/>
    </row>
    <row r="404" ht="15.75" customHeight="1">
      <c r="A404" s="32"/>
      <c r="C404" s="32"/>
      <c r="D404" s="32"/>
      <c r="E404" s="32"/>
      <c r="F404" s="32"/>
      <c r="G404" s="32"/>
      <c r="H404" s="32"/>
    </row>
    <row r="405" ht="15.75" customHeight="1">
      <c r="A405" s="32"/>
      <c r="C405" s="32"/>
      <c r="D405" s="32"/>
      <c r="E405" s="32"/>
      <c r="F405" s="32"/>
      <c r="G405" s="32"/>
      <c r="H405" s="32"/>
    </row>
    <row r="406" ht="15.75" customHeight="1">
      <c r="A406" s="32"/>
      <c r="C406" s="32"/>
      <c r="D406" s="32"/>
      <c r="E406" s="32"/>
      <c r="F406" s="32"/>
      <c r="G406" s="32"/>
      <c r="H406" s="32"/>
    </row>
    <row r="407" ht="15.75" customHeight="1">
      <c r="A407" s="32"/>
      <c r="C407" s="32"/>
      <c r="D407" s="32"/>
      <c r="E407" s="32"/>
      <c r="F407" s="32"/>
      <c r="G407" s="32"/>
      <c r="H407" s="32"/>
    </row>
    <row r="408" ht="15.75" customHeight="1">
      <c r="A408" s="32"/>
      <c r="C408" s="32"/>
      <c r="D408" s="32"/>
      <c r="E408" s="32"/>
      <c r="F408" s="32"/>
      <c r="G408" s="32"/>
      <c r="H408" s="32"/>
    </row>
    <row r="409" ht="15.75" customHeight="1">
      <c r="A409" s="32"/>
      <c r="C409" s="32"/>
      <c r="D409" s="32"/>
      <c r="E409" s="32"/>
      <c r="F409" s="32"/>
      <c r="G409" s="32"/>
      <c r="H409" s="32"/>
    </row>
    <row r="410" ht="15.75" customHeight="1">
      <c r="A410" s="32"/>
      <c r="C410" s="32"/>
      <c r="D410" s="32"/>
      <c r="E410" s="32"/>
      <c r="F410" s="32"/>
      <c r="G410" s="32"/>
      <c r="H410" s="32"/>
    </row>
    <row r="411" ht="15.75" customHeight="1">
      <c r="A411" s="32"/>
      <c r="C411" s="32"/>
      <c r="D411" s="32"/>
      <c r="E411" s="32"/>
      <c r="F411" s="32"/>
      <c r="G411" s="32"/>
      <c r="H411" s="32"/>
    </row>
    <row r="412" ht="15.75" customHeight="1">
      <c r="A412" s="32"/>
      <c r="C412" s="32"/>
      <c r="D412" s="32"/>
      <c r="E412" s="32"/>
      <c r="F412" s="32"/>
      <c r="G412" s="32"/>
      <c r="H412" s="32"/>
    </row>
    <row r="413" ht="15.75" customHeight="1">
      <c r="A413" s="32"/>
      <c r="C413" s="32"/>
      <c r="D413" s="32"/>
      <c r="E413" s="32"/>
      <c r="F413" s="32"/>
      <c r="G413" s="32"/>
      <c r="H413" s="32"/>
    </row>
    <row r="414" ht="15.75" customHeight="1">
      <c r="A414" s="32"/>
      <c r="C414" s="32"/>
      <c r="D414" s="32"/>
      <c r="E414" s="32"/>
      <c r="F414" s="32"/>
      <c r="G414" s="32"/>
      <c r="H414" s="32"/>
    </row>
    <row r="415" ht="15.75" customHeight="1">
      <c r="A415" s="32"/>
      <c r="C415" s="32"/>
      <c r="D415" s="32"/>
      <c r="E415" s="32"/>
      <c r="F415" s="32"/>
      <c r="G415" s="32"/>
      <c r="H415" s="32"/>
    </row>
    <row r="416" ht="15.75" customHeight="1">
      <c r="A416" s="32"/>
      <c r="C416" s="32"/>
      <c r="D416" s="32"/>
      <c r="E416" s="32"/>
      <c r="F416" s="32"/>
      <c r="G416" s="32"/>
      <c r="H416" s="32"/>
    </row>
    <row r="417" ht="15.75" customHeight="1">
      <c r="A417" s="32"/>
      <c r="C417" s="32"/>
      <c r="D417" s="32"/>
      <c r="E417" s="32"/>
      <c r="F417" s="32"/>
      <c r="G417" s="32"/>
      <c r="H417" s="32"/>
    </row>
    <row r="418" ht="15.75" customHeight="1">
      <c r="A418" s="32"/>
      <c r="C418" s="32"/>
      <c r="D418" s="32"/>
      <c r="E418" s="32"/>
      <c r="F418" s="32"/>
      <c r="G418" s="32"/>
      <c r="H418" s="32"/>
    </row>
    <row r="419" ht="15.75" customHeight="1">
      <c r="A419" s="32"/>
      <c r="C419" s="32"/>
      <c r="D419" s="32"/>
      <c r="E419" s="32"/>
      <c r="F419" s="32"/>
      <c r="G419" s="32"/>
      <c r="H419" s="32"/>
    </row>
    <row r="420" ht="15.75" customHeight="1">
      <c r="A420" s="32"/>
      <c r="C420" s="32"/>
      <c r="D420" s="32"/>
      <c r="E420" s="32"/>
      <c r="F420" s="32"/>
      <c r="G420" s="32"/>
      <c r="H420" s="32"/>
    </row>
    <row r="421" ht="15.75" customHeight="1">
      <c r="A421" s="32"/>
      <c r="C421" s="32"/>
      <c r="D421" s="32"/>
      <c r="E421" s="32"/>
      <c r="F421" s="32"/>
      <c r="G421" s="32"/>
      <c r="H421" s="32"/>
    </row>
    <row r="422" ht="15.75" customHeight="1">
      <c r="A422" s="32"/>
      <c r="C422" s="32"/>
      <c r="D422" s="32"/>
      <c r="E422" s="32"/>
      <c r="F422" s="32"/>
      <c r="G422" s="32"/>
      <c r="H422" s="32"/>
    </row>
    <row r="423" ht="15.75" customHeight="1">
      <c r="A423" s="32"/>
      <c r="C423" s="32"/>
      <c r="D423" s="32"/>
      <c r="E423" s="32"/>
      <c r="F423" s="32"/>
      <c r="G423" s="32"/>
      <c r="H423" s="32"/>
    </row>
    <row r="424" ht="15.75" customHeight="1">
      <c r="A424" s="32"/>
      <c r="C424" s="32"/>
      <c r="D424" s="32"/>
      <c r="E424" s="32"/>
      <c r="F424" s="32"/>
      <c r="G424" s="32"/>
      <c r="H424" s="32"/>
    </row>
    <row r="425" ht="15.75" customHeight="1">
      <c r="A425" s="32"/>
      <c r="C425" s="32"/>
      <c r="D425" s="32"/>
      <c r="E425" s="32"/>
      <c r="F425" s="32"/>
      <c r="G425" s="32"/>
      <c r="H425" s="32"/>
    </row>
    <row r="426" ht="15.75" customHeight="1">
      <c r="A426" s="32"/>
      <c r="C426" s="32"/>
      <c r="D426" s="32"/>
      <c r="E426" s="32"/>
      <c r="F426" s="32"/>
      <c r="G426" s="32"/>
      <c r="H426" s="32"/>
    </row>
    <row r="427" ht="15.75" customHeight="1">
      <c r="A427" s="32"/>
      <c r="C427" s="32"/>
      <c r="D427" s="32"/>
      <c r="E427" s="32"/>
      <c r="F427" s="32"/>
      <c r="G427" s="32"/>
      <c r="H427" s="32"/>
    </row>
    <row r="428" ht="15.75" customHeight="1">
      <c r="A428" s="32"/>
      <c r="C428" s="32"/>
      <c r="D428" s="32"/>
      <c r="E428" s="32"/>
      <c r="F428" s="32"/>
      <c r="G428" s="32"/>
      <c r="H428" s="32"/>
    </row>
    <row r="429" ht="15.75" customHeight="1">
      <c r="A429" s="32"/>
      <c r="C429" s="32"/>
      <c r="D429" s="32"/>
      <c r="E429" s="32"/>
      <c r="F429" s="32"/>
      <c r="G429" s="32"/>
      <c r="H429" s="32"/>
    </row>
    <row r="430" ht="15.75" customHeight="1">
      <c r="A430" s="32"/>
      <c r="C430" s="32"/>
      <c r="D430" s="32"/>
      <c r="E430" s="32"/>
      <c r="F430" s="32"/>
      <c r="G430" s="32"/>
      <c r="H430" s="32"/>
    </row>
    <row r="431" ht="15.75" customHeight="1">
      <c r="A431" s="32"/>
      <c r="C431" s="32"/>
      <c r="D431" s="32"/>
      <c r="E431" s="32"/>
      <c r="F431" s="32"/>
      <c r="G431" s="32"/>
      <c r="H431" s="32"/>
    </row>
    <row r="432" ht="15.75" customHeight="1">
      <c r="A432" s="32"/>
      <c r="C432" s="32"/>
      <c r="D432" s="32"/>
      <c r="E432" s="32"/>
      <c r="F432" s="32"/>
      <c r="G432" s="32"/>
      <c r="H432" s="32"/>
    </row>
    <row r="433" ht="15.75" customHeight="1">
      <c r="A433" s="32"/>
      <c r="C433" s="32"/>
      <c r="D433" s="32"/>
      <c r="E433" s="32"/>
      <c r="F433" s="32"/>
      <c r="G433" s="32"/>
      <c r="H433" s="32"/>
    </row>
    <row r="434" ht="15.75" customHeight="1">
      <c r="A434" s="32"/>
      <c r="C434" s="32"/>
      <c r="D434" s="32"/>
      <c r="E434" s="32"/>
      <c r="F434" s="32"/>
      <c r="G434" s="32"/>
      <c r="H434" s="32"/>
    </row>
    <row r="435" ht="15.75" customHeight="1">
      <c r="A435" s="32"/>
      <c r="C435" s="32"/>
      <c r="D435" s="32"/>
      <c r="E435" s="32"/>
      <c r="F435" s="32"/>
      <c r="G435" s="32"/>
      <c r="H435" s="32"/>
    </row>
    <row r="436" ht="15.75" customHeight="1">
      <c r="A436" s="32"/>
      <c r="C436" s="32"/>
      <c r="D436" s="32"/>
      <c r="E436" s="32"/>
      <c r="F436" s="32"/>
      <c r="G436" s="32"/>
      <c r="H436" s="32"/>
    </row>
    <row r="437" ht="15.75" customHeight="1">
      <c r="A437" s="32"/>
      <c r="C437" s="32"/>
      <c r="D437" s="32"/>
      <c r="E437" s="32"/>
      <c r="F437" s="32"/>
      <c r="G437" s="32"/>
      <c r="H437" s="32"/>
    </row>
    <row r="438" ht="15.75" customHeight="1">
      <c r="A438" s="32"/>
      <c r="C438" s="32"/>
      <c r="D438" s="32"/>
      <c r="E438" s="32"/>
      <c r="F438" s="32"/>
      <c r="G438" s="32"/>
      <c r="H438" s="32"/>
    </row>
    <row r="439" ht="15.75" customHeight="1">
      <c r="A439" s="32"/>
      <c r="C439" s="32"/>
      <c r="D439" s="32"/>
      <c r="E439" s="32"/>
      <c r="F439" s="32"/>
      <c r="G439" s="32"/>
      <c r="H439" s="32"/>
    </row>
    <row r="440" ht="15.75" customHeight="1">
      <c r="A440" s="32"/>
      <c r="C440" s="32"/>
      <c r="D440" s="32"/>
      <c r="E440" s="32"/>
      <c r="F440" s="32"/>
      <c r="G440" s="32"/>
      <c r="H440" s="32"/>
    </row>
    <row r="441" ht="15.75" customHeight="1">
      <c r="A441" s="32"/>
      <c r="C441" s="32"/>
      <c r="D441" s="32"/>
      <c r="E441" s="32"/>
      <c r="F441" s="32"/>
      <c r="G441" s="32"/>
      <c r="H441" s="32"/>
    </row>
    <row r="442" ht="15.75" customHeight="1">
      <c r="A442" s="32"/>
      <c r="C442" s="32"/>
      <c r="D442" s="32"/>
      <c r="E442" s="32"/>
      <c r="F442" s="32"/>
      <c r="G442" s="32"/>
      <c r="H442" s="32"/>
    </row>
    <row r="443" ht="15.75" customHeight="1">
      <c r="A443" s="32"/>
      <c r="C443" s="32"/>
      <c r="D443" s="32"/>
      <c r="E443" s="32"/>
      <c r="F443" s="32"/>
      <c r="G443" s="32"/>
      <c r="H443" s="32"/>
    </row>
    <row r="444" ht="15.75" customHeight="1">
      <c r="A444" s="32"/>
      <c r="C444" s="32"/>
      <c r="D444" s="32"/>
      <c r="E444" s="32"/>
      <c r="F444" s="32"/>
      <c r="G444" s="32"/>
      <c r="H444" s="32"/>
    </row>
    <row r="445" ht="15.75" customHeight="1">
      <c r="A445" s="32"/>
      <c r="C445" s="32"/>
      <c r="D445" s="32"/>
      <c r="E445" s="32"/>
      <c r="F445" s="32"/>
      <c r="G445" s="32"/>
      <c r="H445" s="32"/>
    </row>
    <row r="446" ht="15.75" customHeight="1">
      <c r="A446" s="32"/>
      <c r="C446" s="32"/>
      <c r="D446" s="32"/>
      <c r="E446" s="32"/>
      <c r="F446" s="32"/>
      <c r="G446" s="32"/>
      <c r="H446" s="32"/>
    </row>
    <row r="447" ht="15.75" customHeight="1">
      <c r="A447" s="32"/>
      <c r="C447" s="32"/>
      <c r="D447" s="32"/>
      <c r="E447" s="32"/>
      <c r="F447" s="32"/>
      <c r="G447" s="32"/>
      <c r="H447" s="32"/>
    </row>
    <row r="448" ht="15.75" customHeight="1">
      <c r="A448" s="32"/>
      <c r="C448" s="32"/>
      <c r="D448" s="32"/>
      <c r="E448" s="32"/>
      <c r="F448" s="32"/>
      <c r="G448" s="32"/>
      <c r="H448" s="32"/>
    </row>
    <row r="449" ht="15.75" customHeight="1">
      <c r="A449" s="32"/>
      <c r="C449" s="32"/>
      <c r="D449" s="32"/>
      <c r="E449" s="32"/>
      <c r="F449" s="32"/>
      <c r="G449" s="32"/>
      <c r="H449" s="32"/>
    </row>
    <row r="450" ht="15.75" customHeight="1">
      <c r="A450" s="32"/>
      <c r="C450" s="32"/>
      <c r="D450" s="32"/>
      <c r="E450" s="32"/>
      <c r="F450" s="32"/>
      <c r="G450" s="32"/>
      <c r="H450" s="32"/>
    </row>
    <row r="451" ht="15.75" customHeight="1">
      <c r="A451" s="32"/>
      <c r="C451" s="32"/>
      <c r="D451" s="32"/>
      <c r="E451" s="32"/>
      <c r="F451" s="32"/>
      <c r="G451" s="32"/>
      <c r="H451" s="32"/>
    </row>
    <row r="452" ht="15.75" customHeight="1">
      <c r="A452" s="32"/>
      <c r="C452" s="32"/>
      <c r="D452" s="32"/>
      <c r="E452" s="32"/>
      <c r="F452" s="32"/>
      <c r="G452" s="32"/>
      <c r="H452" s="32"/>
    </row>
    <row r="453" ht="15.75" customHeight="1">
      <c r="A453" s="32"/>
      <c r="C453" s="32"/>
      <c r="D453" s="32"/>
      <c r="E453" s="32"/>
      <c r="F453" s="32"/>
      <c r="G453" s="32"/>
      <c r="H453" s="32"/>
    </row>
    <row r="454" ht="15.75" customHeight="1">
      <c r="A454" s="32"/>
      <c r="C454" s="32"/>
      <c r="D454" s="32"/>
      <c r="E454" s="32"/>
      <c r="F454" s="32"/>
      <c r="G454" s="32"/>
      <c r="H454" s="32"/>
    </row>
    <row r="455" ht="15.75" customHeight="1">
      <c r="A455" s="32"/>
      <c r="C455" s="32"/>
      <c r="D455" s="32"/>
      <c r="E455" s="32"/>
      <c r="F455" s="32"/>
      <c r="G455" s="32"/>
      <c r="H455" s="32"/>
    </row>
    <row r="456" ht="15.75" customHeight="1">
      <c r="A456" s="32"/>
      <c r="C456" s="32"/>
      <c r="D456" s="32"/>
      <c r="E456" s="32"/>
      <c r="F456" s="32"/>
      <c r="G456" s="32"/>
      <c r="H456" s="32"/>
    </row>
    <row r="457" ht="15.75" customHeight="1">
      <c r="A457" s="32"/>
      <c r="C457" s="32"/>
      <c r="D457" s="32"/>
      <c r="E457" s="32"/>
      <c r="F457" s="32"/>
      <c r="G457" s="32"/>
      <c r="H457" s="32"/>
    </row>
    <row r="458" ht="15.75" customHeight="1">
      <c r="A458" s="32"/>
      <c r="C458" s="32"/>
      <c r="D458" s="32"/>
      <c r="E458" s="32"/>
      <c r="F458" s="32"/>
      <c r="G458" s="32"/>
      <c r="H458" s="32"/>
    </row>
    <row r="459" ht="15.75" customHeight="1">
      <c r="A459" s="32"/>
      <c r="C459" s="32"/>
      <c r="D459" s="32"/>
      <c r="E459" s="32"/>
      <c r="F459" s="32"/>
      <c r="G459" s="32"/>
      <c r="H459" s="32"/>
    </row>
    <row r="460" ht="15.75" customHeight="1">
      <c r="A460" s="32"/>
      <c r="C460" s="32"/>
      <c r="D460" s="32"/>
      <c r="E460" s="32"/>
      <c r="F460" s="32"/>
      <c r="G460" s="32"/>
      <c r="H460" s="32"/>
    </row>
    <row r="461" ht="15.75" customHeight="1">
      <c r="A461" s="32"/>
      <c r="C461" s="32"/>
      <c r="D461" s="32"/>
      <c r="E461" s="32"/>
      <c r="F461" s="32"/>
      <c r="G461" s="32"/>
      <c r="H461" s="32"/>
    </row>
    <row r="462" ht="15.75" customHeight="1">
      <c r="A462" s="32"/>
      <c r="C462" s="32"/>
      <c r="D462" s="32"/>
      <c r="E462" s="32"/>
      <c r="F462" s="32"/>
      <c r="G462" s="32"/>
      <c r="H462" s="32"/>
    </row>
    <row r="463" ht="15.75" customHeight="1">
      <c r="A463" s="32"/>
      <c r="C463" s="32"/>
      <c r="D463" s="32"/>
      <c r="E463" s="32"/>
      <c r="F463" s="32"/>
      <c r="G463" s="32"/>
      <c r="H463" s="32"/>
    </row>
    <row r="464" ht="15.75" customHeight="1">
      <c r="A464" s="32"/>
      <c r="C464" s="32"/>
      <c r="D464" s="32"/>
      <c r="E464" s="32"/>
      <c r="F464" s="32"/>
      <c r="G464" s="32"/>
      <c r="H464" s="32"/>
    </row>
    <row r="465" ht="15.75" customHeight="1">
      <c r="A465" s="32"/>
      <c r="C465" s="32"/>
      <c r="D465" s="32"/>
      <c r="E465" s="32"/>
      <c r="F465" s="32"/>
      <c r="G465" s="32"/>
      <c r="H465" s="32"/>
    </row>
    <row r="466" ht="15.75" customHeight="1">
      <c r="A466" s="32"/>
      <c r="C466" s="32"/>
      <c r="D466" s="32"/>
      <c r="E466" s="32"/>
      <c r="F466" s="32"/>
      <c r="G466" s="32"/>
      <c r="H466" s="32"/>
    </row>
    <row r="467" ht="15.75" customHeight="1">
      <c r="A467" s="32"/>
      <c r="C467" s="32"/>
      <c r="D467" s="32"/>
      <c r="E467" s="32"/>
      <c r="F467" s="32"/>
      <c r="G467" s="32"/>
      <c r="H467" s="32"/>
    </row>
    <row r="468" ht="15.75" customHeight="1">
      <c r="A468" s="32"/>
      <c r="C468" s="32"/>
      <c r="D468" s="32"/>
      <c r="E468" s="32"/>
      <c r="F468" s="32"/>
      <c r="G468" s="32"/>
      <c r="H468" s="32"/>
    </row>
    <row r="469" ht="15.75" customHeight="1">
      <c r="A469" s="32"/>
      <c r="C469" s="32"/>
      <c r="D469" s="32"/>
      <c r="E469" s="32"/>
      <c r="F469" s="32"/>
      <c r="G469" s="32"/>
      <c r="H469" s="32"/>
    </row>
    <row r="470" ht="15.75" customHeight="1">
      <c r="A470" s="32"/>
      <c r="C470" s="32"/>
      <c r="D470" s="32"/>
      <c r="E470" s="32"/>
      <c r="F470" s="32"/>
      <c r="G470" s="32"/>
      <c r="H470" s="32"/>
    </row>
    <row r="471" ht="15.75" customHeight="1">
      <c r="A471" s="32"/>
      <c r="C471" s="32"/>
      <c r="D471" s="32"/>
      <c r="E471" s="32"/>
      <c r="F471" s="32"/>
      <c r="G471" s="32"/>
      <c r="H471" s="32"/>
    </row>
    <row r="472" ht="15.75" customHeight="1">
      <c r="A472" s="32"/>
      <c r="C472" s="32"/>
      <c r="D472" s="32"/>
      <c r="E472" s="32"/>
      <c r="F472" s="32"/>
      <c r="G472" s="32"/>
      <c r="H472" s="32"/>
    </row>
    <row r="473" ht="15.75" customHeight="1">
      <c r="A473" s="32"/>
      <c r="C473" s="32"/>
      <c r="D473" s="32"/>
      <c r="E473" s="32"/>
      <c r="F473" s="32"/>
      <c r="G473" s="32"/>
      <c r="H473" s="32"/>
    </row>
    <row r="474" ht="15.75" customHeight="1">
      <c r="A474" s="32"/>
      <c r="C474" s="32"/>
      <c r="D474" s="32"/>
      <c r="E474" s="32"/>
      <c r="F474" s="32"/>
      <c r="G474" s="32"/>
      <c r="H474" s="32"/>
    </row>
    <row r="475" ht="15.75" customHeight="1">
      <c r="A475" s="32"/>
      <c r="C475" s="32"/>
      <c r="D475" s="32"/>
      <c r="E475" s="32"/>
      <c r="F475" s="32"/>
      <c r="G475" s="32"/>
      <c r="H475" s="32"/>
    </row>
    <row r="476" ht="15.75" customHeight="1">
      <c r="A476" s="32"/>
      <c r="C476" s="32"/>
      <c r="D476" s="32"/>
      <c r="E476" s="32"/>
      <c r="F476" s="32"/>
      <c r="G476" s="32"/>
      <c r="H476" s="32"/>
    </row>
    <row r="477" ht="15.75" customHeight="1">
      <c r="A477" s="32"/>
      <c r="C477" s="32"/>
      <c r="D477" s="32"/>
      <c r="E477" s="32"/>
      <c r="F477" s="32"/>
      <c r="G477" s="32"/>
      <c r="H477" s="32"/>
    </row>
    <row r="478" ht="15.75" customHeight="1">
      <c r="A478" s="32"/>
      <c r="C478" s="32"/>
      <c r="D478" s="32"/>
      <c r="E478" s="32"/>
      <c r="F478" s="32"/>
      <c r="G478" s="32"/>
      <c r="H478" s="32"/>
    </row>
    <row r="479" ht="15.75" customHeight="1">
      <c r="A479" s="32"/>
      <c r="C479" s="32"/>
      <c r="D479" s="32"/>
      <c r="E479" s="32"/>
      <c r="F479" s="32"/>
      <c r="G479" s="32"/>
      <c r="H479" s="32"/>
    </row>
    <row r="480" ht="15.75" customHeight="1">
      <c r="A480" s="32"/>
      <c r="C480" s="32"/>
      <c r="D480" s="32"/>
      <c r="E480" s="32"/>
      <c r="F480" s="32"/>
      <c r="G480" s="32"/>
      <c r="H480" s="32"/>
    </row>
    <row r="481" ht="15.75" customHeight="1">
      <c r="A481" s="32"/>
      <c r="C481" s="32"/>
      <c r="D481" s="32"/>
      <c r="E481" s="32"/>
      <c r="F481" s="32"/>
      <c r="G481" s="32"/>
      <c r="H481" s="32"/>
    </row>
    <row r="482" ht="15.75" customHeight="1">
      <c r="A482" s="32"/>
      <c r="C482" s="32"/>
      <c r="D482" s="32"/>
      <c r="E482" s="32"/>
      <c r="F482" s="32"/>
      <c r="G482" s="32"/>
      <c r="H482" s="32"/>
    </row>
    <row r="483" ht="15.75" customHeight="1">
      <c r="A483" s="32"/>
      <c r="C483" s="32"/>
      <c r="D483" s="32"/>
      <c r="E483" s="32"/>
      <c r="F483" s="32"/>
      <c r="G483" s="32"/>
      <c r="H483" s="32"/>
    </row>
    <row r="484" ht="15.75" customHeight="1">
      <c r="A484" s="32"/>
      <c r="C484" s="32"/>
      <c r="D484" s="32"/>
      <c r="E484" s="32"/>
      <c r="F484" s="32"/>
      <c r="G484" s="32"/>
      <c r="H484" s="32"/>
    </row>
    <row r="485" ht="15.75" customHeight="1">
      <c r="A485" s="32"/>
      <c r="C485" s="32"/>
      <c r="D485" s="32"/>
      <c r="E485" s="32"/>
      <c r="F485" s="32"/>
      <c r="G485" s="32"/>
      <c r="H485" s="32"/>
    </row>
    <row r="486" ht="15.75" customHeight="1">
      <c r="A486" s="32"/>
      <c r="C486" s="32"/>
      <c r="D486" s="32"/>
      <c r="E486" s="32"/>
      <c r="F486" s="32"/>
      <c r="G486" s="32"/>
      <c r="H486" s="32"/>
    </row>
    <row r="487" ht="15.75" customHeight="1">
      <c r="A487" s="32"/>
      <c r="C487" s="32"/>
      <c r="D487" s="32"/>
      <c r="E487" s="32"/>
      <c r="F487" s="32"/>
      <c r="G487" s="32"/>
      <c r="H487" s="32"/>
    </row>
    <row r="488" ht="15.75" customHeight="1">
      <c r="A488" s="32"/>
      <c r="C488" s="32"/>
      <c r="D488" s="32"/>
      <c r="E488" s="32"/>
      <c r="F488" s="32"/>
      <c r="G488" s="32"/>
      <c r="H488" s="32"/>
    </row>
    <row r="489" ht="15.75" customHeight="1">
      <c r="A489" s="32"/>
      <c r="C489" s="32"/>
      <c r="D489" s="32"/>
      <c r="E489" s="32"/>
      <c r="F489" s="32"/>
      <c r="G489" s="32"/>
      <c r="H489" s="32"/>
    </row>
    <row r="490" ht="15.75" customHeight="1">
      <c r="A490" s="32"/>
      <c r="C490" s="32"/>
      <c r="D490" s="32"/>
      <c r="E490" s="32"/>
      <c r="F490" s="32"/>
      <c r="G490" s="32"/>
      <c r="H490" s="32"/>
    </row>
    <row r="491" ht="15.75" customHeight="1">
      <c r="A491" s="32"/>
      <c r="C491" s="32"/>
      <c r="D491" s="32"/>
      <c r="E491" s="32"/>
      <c r="F491" s="32"/>
      <c r="G491" s="32"/>
      <c r="H491" s="32"/>
    </row>
    <row r="492" ht="15.75" customHeight="1">
      <c r="A492" s="32"/>
      <c r="C492" s="32"/>
      <c r="D492" s="32"/>
      <c r="E492" s="32"/>
      <c r="F492" s="32"/>
      <c r="G492" s="32"/>
      <c r="H492" s="32"/>
    </row>
    <row r="493" ht="15.75" customHeight="1">
      <c r="A493" s="32"/>
      <c r="C493" s="32"/>
      <c r="D493" s="32"/>
      <c r="E493" s="32"/>
      <c r="F493" s="32"/>
      <c r="G493" s="32"/>
      <c r="H493" s="32"/>
    </row>
    <row r="494" ht="15.75" customHeight="1">
      <c r="A494" s="32"/>
      <c r="C494" s="32"/>
      <c r="D494" s="32"/>
      <c r="E494" s="32"/>
      <c r="F494" s="32"/>
      <c r="G494" s="32"/>
      <c r="H494" s="32"/>
    </row>
    <row r="495" ht="15.75" customHeight="1">
      <c r="A495" s="32"/>
      <c r="C495" s="32"/>
      <c r="D495" s="32"/>
      <c r="E495" s="32"/>
      <c r="F495" s="32"/>
      <c r="G495" s="32"/>
      <c r="H495" s="32"/>
    </row>
    <row r="496" ht="15.75" customHeight="1">
      <c r="A496" s="32"/>
      <c r="C496" s="32"/>
      <c r="D496" s="32"/>
      <c r="E496" s="32"/>
      <c r="F496" s="32"/>
      <c r="G496" s="32"/>
      <c r="H496" s="32"/>
    </row>
    <row r="497" ht="15.75" customHeight="1">
      <c r="A497" s="32"/>
      <c r="C497" s="32"/>
      <c r="D497" s="32"/>
      <c r="E497" s="32"/>
      <c r="F497" s="32"/>
      <c r="G497" s="32"/>
      <c r="H497" s="32"/>
    </row>
    <row r="498" ht="15.75" customHeight="1">
      <c r="A498" s="32"/>
      <c r="C498" s="32"/>
      <c r="D498" s="32"/>
      <c r="E498" s="32"/>
      <c r="F498" s="32"/>
      <c r="G498" s="32"/>
      <c r="H498" s="32"/>
    </row>
    <row r="499" ht="15.75" customHeight="1">
      <c r="A499" s="32"/>
      <c r="C499" s="32"/>
      <c r="D499" s="32"/>
      <c r="E499" s="32"/>
      <c r="F499" s="32"/>
      <c r="G499" s="32"/>
      <c r="H499" s="32"/>
    </row>
    <row r="500" ht="15.75" customHeight="1">
      <c r="A500" s="32"/>
      <c r="C500" s="32"/>
      <c r="D500" s="32"/>
      <c r="E500" s="32"/>
      <c r="F500" s="32"/>
      <c r="G500" s="32"/>
      <c r="H500" s="32"/>
    </row>
    <row r="501" ht="15.75" customHeight="1">
      <c r="A501" s="32"/>
      <c r="C501" s="32"/>
      <c r="D501" s="32"/>
      <c r="E501" s="32"/>
      <c r="F501" s="32"/>
      <c r="G501" s="32"/>
      <c r="H501" s="32"/>
    </row>
    <row r="502" ht="15.75" customHeight="1">
      <c r="A502" s="32"/>
      <c r="C502" s="32"/>
      <c r="D502" s="32"/>
      <c r="E502" s="32"/>
      <c r="F502" s="32"/>
      <c r="G502" s="32"/>
      <c r="H502" s="32"/>
    </row>
    <row r="503" ht="15.75" customHeight="1">
      <c r="A503" s="32"/>
      <c r="C503" s="32"/>
      <c r="D503" s="32"/>
      <c r="E503" s="32"/>
      <c r="F503" s="32"/>
      <c r="G503" s="32"/>
      <c r="H503" s="32"/>
    </row>
    <row r="504" ht="15.75" customHeight="1">
      <c r="A504" s="32"/>
      <c r="C504" s="32"/>
      <c r="D504" s="32"/>
      <c r="E504" s="32"/>
      <c r="F504" s="32"/>
      <c r="G504" s="32"/>
      <c r="H504" s="32"/>
    </row>
    <row r="505" ht="15.75" customHeight="1">
      <c r="A505" s="32"/>
      <c r="C505" s="32"/>
      <c r="D505" s="32"/>
      <c r="E505" s="32"/>
      <c r="F505" s="32"/>
      <c r="G505" s="32"/>
      <c r="H505" s="32"/>
    </row>
    <row r="506" ht="15.75" customHeight="1">
      <c r="A506" s="32"/>
      <c r="C506" s="32"/>
      <c r="D506" s="32"/>
      <c r="E506" s="32"/>
      <c r="F506" s="32"/>
      <c r="G506" s="32"/>
      <c r="H506" s="32"/>
    </row>
    <row r="507" ht="15.75" customHeight="1">
      <c r="A507" s="32"/>
      <c r="C507" s="32"/>
      <c r="D507" s="32"/>
      <c r="E507" s="32"/>
      <c r="F507" s="32"/>
      <c r="G507" s="32"/>
      <c r="H507" s="32"/>
    </row>
    <row r="508" ht="15.75" customHeight="1">
      <c r="A508" s="32"/>
      <c r="C508" s="32"/>
      <c r="D508" s="32"/>
      <c r="E508" s="32"/>
      <c r="F508" s="32"/>
      <c r="G508" s="32"/>
      <c r="H508" s="32"/>
    </row>
    <row r="509" ht="15.75" customHeight="1">
      <c r="A509" s="32"/>
      <c r="C509" s="32"/>
      <c r="D509" s="32"/>
      <c r="E509" s="32"/>
      <c r="F509" s="32"/>
      <c r="G509" s="32"/>
      <c r="H509" s="32"/>
    </row>
    <row r="510" ht="15.75" customHeight="1">
      <c r="A510" s="32"/>
      <c r="C510" s="32"/>
      <c r="D510" s="32"/>
      <c r="E510" s="32"/>
      <c r="F510" s="32"/>
      <c r="G510" s="32"/>
      <c r="H510" s="32"/>
    </row>
    <row r="511" ht="15.75" customHeight="1">
      <c r="A511" s="32"/>
      <c r="C511" s="32"/>
      <c r="D511" s="32"/>
      <c r="E511" s="32"/>
      <c r="F511" s="32"/>
      <c r="G511" s="32"/>
      <c r="H511" s="32"/>
    </row>
    <row r="512" ht="15.75" customHeight="1">
      <c r="A512" s="32"/>
      <c r="C512" s="32"/>
      <c r="D512" s="32"/>
      <c r="E512" s="32"/>
      <c r="F512" s="32"/>
      <c r="G512" s="32"/>
      <c r="H512" s="32"/>
    </row>
    <row r="513" ht="15.75" customHeight="1">
      <c r="A513" s="32"/>
      <c r="C513" s="32"/>
      <c r="D513" s="32"/>
      <c r="E513" s="32"/>
      <c r="F513" s="32"/>
      <c r="G513" s="32"/>
      <c r="H513" s="32"/>
    </row>
    <row r="514" ht="15.75" customHeight="1">
      <c r="A514" s="32"/>
      <c r="C514" s="32"/>
      <c r="D514" s="32"/>
      <c r="E514" s="32"/>
      <c r="F514" s="32"/>
      <c r="G514" s="32"/>
      <c r="H514" s="32"/>
    </row>
    <row r="515" ht="15.75" customHeight="1">
      <c r="A515" s="32"/>
      <c r="C515" s="32"/>
      <c r="D515" s="32"/>
      <c r="E515" s="32"/>
      <c r="F515" s="32"/>
      <c r="G515" s="32"/>
      <c r="H515" s="32"/>
    </row>
    <row r="516" ht="15.75" customHeight="1">
      <c r="A516" s="32"/>
      <c r="C516" s="32"/>
      <c r="D516" s="32"/>
      <c r="E516" s="32"/>
      <c r="F516" s="32"/>
      <c r="G516" s="32"/>
      <c r="H516" s="32"/>
    </row>
    <row r="517" ht="15.75" customHeight="1">
      <c r="A517" s="32"/>
      <c r="C517" s="32"/>
      <c r="D517" s="32"/>
      <c r="E517" s="32"/>
      <c r="F517" s="32"/>
      <c r="G517" s="32"/>
      <c r="H517" s="32"/>
    </row>
    <row r="518" ht="15.75" customHeight="1">
      <c r="A518" s="32"/>
      <c r="C518" s="32"/>
      <c r="D518" s="32"/>
      <c r="E518" s="32"/>
      <c r="F518" s="32"/>
      <c r="G518" s="32"/>
      <c r="H518" s="32"/>
    </row>
    <row r="519" ht="15.75" customHeight="1">
      <c r="A519" s="32"/>
      <c r="C519" s="32"/>
      <c r="D519" s="32"/>
      <c r="E519" s="32"/>
      <c r="F519" s="32"/>
      <c r="G519" s="32"/>
      <c r="H519" s="32"/>
    </row>
    <row r="520" ht="15.75" customHeight="1">
      <c r="A520" s="32"/>
      <c r="C520" s="32"/>
      <c r="D520" s="32"/>
      <c r="E520" s="32"/>
      <c r="F520" s="32"/>
      <c r="G520" s="32"/>
      <c r="H520" s="32"/>
    </row>
    <row r="521" ht="15.75" customHeight="1">
      <c r="A521" s="32"/>
      <c r="C521" s="32"/>
      <c r="D521" s="32"/>
      <c r="E521" s="32"/>
      <c r="F521" s="32"/>
      <c r="G521" s="32"/>
      <c r="H521" s="32"/>
    </row>
    <row r="522" ht="15.75" customHeight="1">
      <c r="A522" s="32"/>
      <c r="C522" s="32"/>
      <c r="D522" s="32"/>
      <c r="E522" s="32"/>
      <c r="F522" s="32"/>
      <c r="G522" s="32"/>
      <c r="H522" s="32"/>
    </row>
    <row r="523" ht="15.75" customHeight="1">
      <c r="A523" s="32"/>
      <c r="C523" s="32"/>
      <c r="D523" s="32"/>
      <c r="E523" s="32"/>
      <c r="F523" s="32"/>
      <c r="G523" s="32"/>
      <c r="H523" s="32"/>
    </row>
    <row r="524" ht="15.75" customHeight="1">
      <c r="A524" s="32"/>
      <c r="C524" s="32"/>
      <c r="D524" s="32"/>
      <c r="E524" s="32"/>
      <c r="F524" s="32"/>
      <c r="G524" s="32"/>
      <c r="H524" s="32"/>
    </row>
    <row r="525" ht="15.75" customHeight="1">
      <c r="A525" s="32"/>
      <c r="C525" s="32"/>
      <c r="D525" s="32"/>
      <c r="E525" s="32"/>
      <c r="F525" s="32"/>
      <c r="G525" s="32"/>
      <c r="H525" s="32"/>
    </row>
    <row r="526" ht="15.75" customHeight="1">
      <c r="A526" s="32"/>
      <c r="C526" s="32"/>
      <c r="D526" s="32"/>
      <c r="E526" s="32"/>
      <c r="F526" s="32"/>
      <c r="G526" s="32"/>
      <c r="H526" s="32"/>
    </row>
    <row r="527" ht="15.75" customHeight="1">
      <c r="A527" s="32"/>
      <c r="C527" s="32"/>
      <c r="D527" s="32"/>
      <c r="E527" s="32"/>
      <c r="F527" s="32"/>
      <c r="G527" s="32"/>
      <c r="H527" s="32"/>
    </row>
    <row r="528" ht="15.75" customHeight="1">
      <c r="A528" s="32"/>
      <c r="C528" s="32"/>
      <c r="D528" s="32"/>
      <c r="E528" s="32"/>
      <c r="F528" s="32"/>
      <c r="G528" s="32"/>
      <c r="H528" s="32"/>
    </row>
    <row r="529" ht="15.75" customHeight="1">
      <c r="A529" s="32"/>
      <c r="C529" s="32"/>
      <c r="D529" s="32"/>
      <c r="E529" s="32"/>
      <c r="F529" s="32"/>
      <c r="G529" s="32"/>
      <c r="H529" s="32"/>
    </row>
    <row r="530" ht="15.75" customHeight="1">
      <c r="A530" s="32"/>
      <c r="C530" s="32"/>
      <c r="D530" s="32"/>
      <c r="E530" s="32"/>
      <c r="F530" s="32"/>
      <c r="G530" s="32"/>
      <c r="H530" s="32"/>
    </row>
    <row r="531" ht="15.75" customHeight="1">
      <c r="A531" s="32"/>
      <c r="C531" s="32"/>
      <c r="D531" s="32"/>
      <c r="E531" s="32"/>
      <c r="F531" s="32"/>
      <c r="G531" s="32"/>
      <c r="H531" s="32"/>
    </row>
    <row r="532" ht="15.75" customHeight="1">
      <c r="A532" s="32"/>
      <c r="C532" s="32"/>
      <c r="D532" s="32"/>
      <c r="E532" s="32"/>
      <c r="F532" s="32"/>
      <c r="G532" s="32"/>
      <c r="H532" s="32"/>
    </row>
    <row r="533" ht="15.75" customHeight="1">
      <c r="A533" s="32"/>
      <c r="C533" s="32"/>
      <c r="D533" s="32"/>
      <c r="E533" s="32"/>
      <c r="F533" s="32"/>
      <c r="G533" s="32"/>
      <c r="H533" s="32"/>
    </row>
    <row r="534" ht="15.75" customHeight="1">
      <c r="A534" s="32"/>
      <c r="C534" s="32"/>
      <c r="D534" s="32"/>
      <c r="E534" s="32"/>
      <c r="F534" s="32"/>
      <c r="G534" s="32"/>
      <c r="H534" s="32"/>
    </row>
    <row r="535" ht="15.75" customHeight="1">
      <c r="A535" s="32"/>
      <c r="C535" s="32"/>
      <c r="D535" s="32"/>
      <c r="E535" s="32"/>
      <c r="F535" s="32"/>
      <c r="G535" s="32"/>
      <c r="H535" s="32"/>
    </row>
    <row r="536" ht="15.75" customHeight="1">
      <c r="A536" s="32"/>
      <c r="C536" s="32"/>
      <c r="D536" s="32"/>
      <c r="E536" s="32"/>
      <c r="F536" s="32"/>
      <c r="G536" s="32"/>
      <c r="H536" s="32"/>
    </row>
    <row r="537" ht="15.75" customHeight="1">
      <c r="A537" s="32"/>
      <c r="C537" s="32"/>
      <c r="D537" s="32"/>
      <c r="E537" s="32"/>
      <c r="F537" s="32"/>
      <c r="G537" s="32"/>
      <c r="H537" s="32"/>
    </row>
    <row r="538" ht="15.75" customHeight="1">
      <c r="A538" s="32"/>
      <c r="C538" s="32"/>
      <c r="D538" s="32"/>
      <c r="E538" s="32"/>
      <c r="F538" s="32"/>
      <c r="G538" s="32"/>
      <c r="H538" s="32"/>
    </row>
    <row r="539" ht="15.75" customHeight="1">
      <c r="A539" s="32"/>
      <c r="C539" s="32"/>
      <c r="D539" s="32"/>
      <c r="E539" s="32"/>
      <c r="F539" s="32"/>
      <c r="G539" s="32"/>
      <c r="H539" s="32"/>
    </row>
    <row r="540" ht="15.75" customHeight="1">
      <c r="A540" s="32"/>
      <c r="C540" s="32"/>
      <c r="D540" s="32"/>
      <c r="E540" s="32"/>
      <c r="F540" s="32"/>
      <c r="G540" s="32"/>
      <c r="H540" s="32"/>
    </row>
    <row r="541" ht="15.75" customHeight="1">
      <c r="A541" s="32"/>
      <c r="C541" s="32"/>
      <c r="D541" s="32"/>
      <c r="E541" s="32"/>
      <c r="F541" s="32"/>
      <c r="G541" s="32"/>
      <c r="H541" s="32"/>
    </row>
    <row r="542" ht="15.75" customHeight="1">
      <c r="A542" s="32"/>
      <c r="C542" s="32"/>
      <c r="D542" s="32"/>
      <c r="E542" s="32"/>
      <c r="F542" s="32"/>
      <c r="G542" s="32"/>
      <c r="H542" s="32"/>
    </row>
    <row r="543" ht="15.75" customHeight="1">
      <c r="A543" s="32"/>
      <c r="C543" s="32"/>
      <c r="D543" s="32"/>
      <c r="E543" s="32"/>
      <c r="F543" s="32"/>
      <c r="G543" s="32"/>
      <c r="H543" s="32"/>
    </row>
    <row r="544" ht="15.75" customHeight="1">
      <c r="A544" s="32"/>
      <c r="C544" s="32"/>
      <c r="D544" s="32"/>
      <c r="E544" s="32"/>
      <c r="F544" s="32"/>
      <c r="G544" s="32"/>
      <c r="H544" s="32"/>
    </row>
    <row r="545" ht="15.75" customHeight="1">
      <c r="A545" s="32"/>
      <c r="C545" s="32"/>
      <c r="D545" s="32"/>
      <c r="E545" s="32"/>
      <c r="F545" s="32"/>
      <c r="G545" s="32"/>
      <c r="H545" s="32"/>
    </row>
    <row r="546" ht="15.75" customHeight="1">
      <c r="A546" s="32"/>
      <c r="C546" s="32"/>
      <c r="D546" s="32"/>
      <c r="E546" s="32"/>
      <c r="F546" s="32"/>
      <c r="G546" s="32"/>
      <c r="H546" s="32"/>
    </row>
    <row r="547" ht="15.75" customHeight="1">
      <c r="A547" s="32"/>
      <c r="C547" s="32"/>
      <c r="D547" s="32"/>
      <c r="E547" s="32"/>
      <c r="F547" s="32"/>
      <c r="G547" s="32"/>
      <c r="H547" s="32"/>
    </row>
    <row r="548" ht="15.75" customHeight="1">
      <c r="A548" s="32"/>
      <c r="C548" s="32"/>
      <c r="D548" s="32"/>
      <c r="E548" s="32"/>
      <c r="F548" s="32"/>
      <c r="G548" s="32"/>
      <c r="H548" s="32"/>
    </row>
    <row r="549" ht="15.75" customHeight="1">
      <c r="A549" s="32"/>
      <c r="C549" s="32"/>
      <c r="D549" s="32"/>
      <c r="E549" s="32"/>
      <c r="F549" s="32"/>
      <c r="G549" s="32"/>
      <c r="H549" s="32"/>
    </row>
    <row r="550" ht="15.75" customHeight="1">
      <c r="A550" s="32"/>
      <c r="C550" s="32"/>
      <c r="D550" s="32"/>
      <c r="E550" s="32"/>
      <c r="F550" s="32"/>
      <c r="G550" s="32"/>
      <c r="H550" s="32"/>
    </row>
    <row r="551" ht="15.75" customHeight="1">
      <c r="A551" s="32"/>
      <c r="C551" s="32"/>
      <c r="D551" s="32"/>
      <c r="E551" s="32"/>
      <c r="F551" s="32"/>
      <c r="G551" s="32"/>
      <c r="H551" s="32"/>
    </row>
    <row r="552" ht="15.75" customHeight="1">
      <c r="A552" s="32"/>
      <c r="C552" s="32"/>
      <c r="D552" s="32"/>
      <c r="E552" s="32"/>
      <c r="F552" s="32"/>
      <c r="G552" s="32"/>
      <c r="H552" s="32"/>
    </row>
    <row r="553" ht="15.75" customHeight="1">
      <c r="A553" s="32"/>
      <c r="C553" s="32"/>
      <c r="D553" s="32"/>
      <c r="E553" s="32"/>
      <c r="F553" s="32"/>
      <c r="G553" s="32"/>
      <c r="H553" s="32"/>
    </row>
    <row r="554" ht="15.75" customHeight="1">
      <c r="A554" s="32"/>
      <c r="C554" s="32"/>
      <c r="D554" s="32"/>
      <c r="E554" s="32"/>
      <c r="F554" s="32"/>
      <c r="G554" s="32"/>
      <c r="H554" s="32"/>
    </row>
    <row r="555" ht="15.75" customHeight="1">
      <c r="A555" s="32"/>
      <c r="C555" s="32"/>
      <c r="D555" s="32"/>
      <c r="E555" s="32"/>
      <c r="F555" s="32"/>
      <c r="G555" s="32"/>
      <c r="H555" s="32"/>
    </row>
    <row r="556" ht="15.75" customHeight="1">
      <c r="A556" s="32"/>
      <c r="C556" s="32"/>
      <c r="D556" s="32"/>
      <c r="E556" s="32"/>
      <c r="F556" s="32"/>
      <c r="G556" s="32"/>
      <c r="H556" s="32"/>
    </row>
    <row r="557" ht="15.75" customHeight="1">
      <c r="A557" s="32"/>
      <c r="C557" s="32"/>
      <c r="D557" s="32"/>
      <c r="E557" s="32"/>
      <c r="F557" s="32"/>
      <c r="G557" s="32"/>
      <c r="H557" s="32"/>
    </row>
    <row r="558" ht="15.75" customHeight="1">
      <c r="A558" s="32"/>
      <c r="C558" s="32"/>
      <c r="D558" s="32"/>
      <c r="E558" s="32"/>
      <c r="F558" s="32"/>
      <c r="G558" s="32"/>
      <c r="H558" s="32"/>
    </row>
    <row r="559" ht="15.75" customHeight="1">
      <c r="A559" s="32"/>
      <c r="C559" s="32"/>
      <c r="D559" s="32"/>
      <c r="E559" s="32"/>
      <c r="F559" s="32"/>
      <c r="G559" s="32"/>
      <c r="H559" s="32"/>
    </row>
    <row r="560" ht="15.75" customHeight="1">
      <c r="A560" s="32"/>
      <c r="C560" s="32"/>
      <c r="D560" s="32"/>
      <c r="E560" s="32"/>
      <c r="F560" s="32"/>
      <c r="G560" s="32"/>
      <c r="H560" s="32"/>
    </row>
    <row r="561" ht="15.75" customHeight="1">
      <c r="A561" s="32"/>
      <c r="C561" s="32"/>
      <c r="D561" s="32"/>
      <c r="E561" s="32"/>
      <c r="F561" s="32"/>
      <c r="G561" s="32"/>
      <c r="H561" s="32"/>
    </row>
    <row r="562" ht="15.75" customHeight="1">
      <c r="A562" s="32"/>
      <c r="C562" s="32"/>
      <c r="D562" s="32"/>
      <c r="E562" s="32"/>
      <c r="F562" s="32"/>
      <c r="G562" s="32"/>
      <c r="H562" s="32"/>
    </row>
    <row r="563" ht="15.75" customHeight="1">
      <c r="A563" s="32"/>
      <c r="C563" s="32"/>
      <c r="D563" s="32"/>
      <c r="E563" s="32"/>
      <c r="F563" s="32"/>
      <c r="G563" s="32"/>
      <c r="H563" s="32"/>
    </row>
    <row r="564" ht="15.75" customHeight="1">
      <c r="A564" s="32"/>
      <c r="C564" s="32"/>
      <c r="D564" s="32"/>
      <c r="E564" s="32"/>
      <c r="F564" s="32"/>
      <c r="G564" s="32"/>
      <c r="H564" s="32"/>
    </row>
    <row r="565" ht="15.75" customHeight="1">
      <c r="A565" s="32"/>
      <c r="C565" s="32"/>
      <c r="D565" s="32"/>
      <c r="E565" s="32"/>
      <c r="F565" s="32"/>
      <c r="G565" s="32"/>
      <c r="H565" s="32"/>
    </row>
    <row r="566" ht="15.75" customHeight="1">
      <c r="A566" s="32"/>
      <c r="C566" s="32"/>
      <c r="D566" s="32"/>
      <c r="E566" s="32"/>
      <c r="F566" s="32"/>
      <c r="G566" s="32"/>
      <c r="H566" s="32"/>
    </row>
    <row r="567" ht="15.75" customHeight="1">
      <c r="A567" s="32"/>
      <c r="C567" s="32"/>
      <c r="D567" s="32"/>
      <c r="E567" s="32"/>
      <c r="F567" s="32"/>
      <c r="G567" s="32"/>
      <c r="H567" s="32"/>
    </row>
    <row r="568" ht="15.75" customHeight="1">
      <c r="A568" s="32"/>
      <c r="C568" s="32"/>
      <c r="D568" s="32"/>
      <c r="E568" s="32"/>
      <c r="F568" s="32"/>
      <c r="G568" s="32"/>
      <c r="H568" s="32"/>
    </row>
    <row r="569" ht="15.75" customHeight="1">
      <c r="A569" s="32"/>
      <c r="C569" s="32"/>
      <c r="D569" s="32"/>
      <c r="E569" s="32"/>
      <c r="F569" s="32"/>
      <c r="G569" s="32"/>
      <c r="H569" s="32"/>
    </row>
    <row r="570" ht="15.75" customHeight="1">
      <c r="A570" s="32"/>
      <c r="C570" s="32"/>
      <c r="D570" s="32"/>
      <c r="E570" s="32"/>
      <c r="F570" s="32"/>
      <c r="G570" s="32"/>
      <c r="H570" s="32"/>
    </row>
    <row r="571" ht="15.75" customHeight="1">
      <c r="A571" s="32"/>
      <c r="C571" s="32"/>
      <c r="D571" s="32"/>
      <c r="E571" s="32"/>
      <c r="F571" s="32"/>
      <c r="G571" s="32"/>
      <c r="H571" s="32"/>
    </row>
    <row r="572" ht="15.75" customHeight="1">
      <c r="A572" s="32"/>
      <c r="C572" s="32"/>
      <c r="D572" s="32"/>
      <c r="E572" s="32"/>
      <c r="F572" s="32"/>
      <c r="G572" s="32"/>
      <c r="H572" s="32"/>
    </row>
    <row r="573" ht="15.75" customHeight="1">
      <c r="A573" s="32"/>
      <c r="C573" s="32"/>
      <c r="D573" s="32"/>
      <c r="E573" s="32"/>
      <c r="F573" s="32"/>
      <c r="G573" s="32"/>
      <c r="H573" s="32"/>
    </row>
    <row r="574" ht="15.75" customHeight="1">
      <c r="A574" s="32"/>
      <c r="C574" s="32"/>
      <c r="D574" s="32"/>
      <c r="E574" s="32"/>
      <c r="F574" s="32"/>
      <c r="G574" s="32"/>
      <c r="H574" s="32"/>
    </row>
    <row r="575" ht="15.75" customHeight="1">
      <c r="A575" s="32"/>
      <c r="C575" s="32"/>
      <c r="D575" s="32"/>
      <c r="E575" s="32"/>
      <c r="F575" s="32"/>
      <c r="G575" s="32"/>
      <c r="H575" s="32"/>
    </row>
    <row r="576" ht="15.75" customHeight="1">
      <c r="A576" s="32"/>
      <c r="C576" s="32"/>
      <c r="D576" s="32"/>
      <c r="E576" s="32"/>
      <c r="F576" s="32"/>
      <c r="G576" s="32"/>
      <c r="H576" s="32"/>
    </row>
    <row r="577" ht="15.75" customHeight="1">
      <c r="A577" s="32"/>
      <c r="C577" s="32"/>
      <c r="D577" s="32"/>
      <c r="E577" s="32"/>
      <c r="F577" s="32"/>
      <c r="G577" s="32"/>
      <c r="H577" s="32"/>
    </row>
    <row r="578" ht="15.75" customHeight="1">
      <c r="A578" s="32"/>
      <c r="C578" s="32"/>
      <c r="D578" s="32"/>
      <c r="E578" s="32"/>
      <c r="F578" s="32"/>
      <c r="G578" s="32"/>
      <c r="H578" s="32"/>
    </row>
    <row r="579" ht="15.75" customHeight="1">
      <c r="A579" s="32"/>
      <c r="C579" s="32"/>
      <c r="D579" s="32"/>
      <c r="E579" s="32"/>
      <c r="F579" s="32"/>
      <c r="G579" s="32"/>
      <c r="H579" s="32"/>
    </row>
    <row r="580" ht="15.75" customHeight="1">
      <c r="A580" s="32"/>
      <c r="C580" s="32"/>
      <c r="D580" s="32"/>
      <c r="E580" s="32"/>
      <c r="F580" s="32"/>
      <c r="G580" s="32"/>
      <c r="H580" s="32"/>
    </row>
    <row r="581" ht="15.75" customHeight="1">
      <c r="A581" s="32"/>
      <c r="C581" s="32"/>
      <c r="D581" s="32"/>
      <c r="E581" s="32"/>
      <c r="F581" s="32"/>
      <c r="G581" s="32"/>
      <c r="H581" s="32"/>
    </row>
    <row r="582" ht="15.75" customHeight="1">
      <c r="A582" s="32"/>
      <c r="C582" s="32"/>
      <c r="D582" s="32"/>
      <c r="E582" s="32"/>
      <c r="F582" s="32"/>
      <c r="G582" s="32"/>
      <c r="H582" s="32"/>
    </row>
    <row r="583" ht="15.75" customHeight="1">
      <c r="A583" s="32"/>
      <c r="C583" s="32"/>
      <c r="D583" s="32"/>
      <c r="E583" s="32"/>
      <c r="F583" s="32"/>
      <c r="G583" s="32"/>
      <c r="H583" s="32"/>
    </row>
    <row r="584" ht="15.75" customHeight="1">
      <c r="A584" s="32"/>
      <c r="C584" s="32"/>
      <c r="D584" s="32"/>
      <c r="E584" s="32"/>
      <c r="F584" s="32"/>
      <c r="G584" s="32"/>
      <c r="H584" s="32"/>
    </row>
    <row r="585" ht="15.75" customHeight="1">
      <c r="A585" s="32"/>
      <c r="C585" s="32"/>
      <c r="D585" s="32"/>
      <c r="E585" s="32"/>
      <c r="F585" s="32"/>
      <c r="G585" s="32"/>
      <c r="H585" s="32"/>
    </row>
    <row r="586" ht="15.75" customHeight="1">
      <c r="A586" s="32"/>
      <c r="C586" s="32"/>
      <c r="D586" s="32"/>
      <c r="E586" s="32"/>
      <c r="F586" s="32"/>
      <c r="G586" s="32"/>
      <c r="H586" s="32"/>
    </row>
    <row r="587" ht="15.75" customHeight="1">
      <c r="A587" s="32"/>
      <c r="C587" s="32"/>
      <c r="D587" s="32"/>
      <c r="E587" s="32"/>
      <c r="F587" s="32"/>
      <c r="G587" s="32"/>
      <c r="H587" s="32"/>
    </row>
    <row r="588" ht="15.75" customHeight="1">
      <c r="A588" s="32"/>
      <c r="C588" s="32"/>
      <c r="D588" s="32"/>
      <c r="E588" s="32"/>
      <c r="F588" s="32"/>
      <c r="G588" s="32"/>
      <c r="H588" s="32"/>
    </row>
    <row r="589" ht="15.75" customHeight="1">
      <c r="A589" s="32"/>
      <c r="C589" s="32"/>
      <c r="D589" s="32"/>
      <c r="E589" s="32"/>
      <c r="F589" s="32"/>
      <c r="G589" s="32"/>
      <c r="H589" s="32"/>
    </row>
    <row r="590" ht="15.75" customHeight="1">
      <c r="A590" s="32"/>
      <c r="C590" s="32"/>
      <c r="D590" s="32"/>
      <c r="E590" s="32"/>
      <c r="F590" s="32"/>
      <c r="G590" s="32"/>
      <c r="H590" s="32"/>
    </row>
    <row r="591" ht="15.75" customHeight="1">
      <c r="A591" s="32"/>
      <c r="C591" s="32"/>
      <c r="D591" s="32"/>
      <c r="E591" s="32"/>
      <c r="F591" s="32"/>
      <c r="G591" s="32"/>
      <c r="H591" s="32"/>
    </row>
    <row r="592" ht="15.75" customHeight="1">
      <c r="A592" s="32"/>
      <c r="C592" s="32"/>
      <c r="D592" s="32"/>
      <c r="E592" s="32"/>
      <c r="F592" s="32"/>
      <c r="G592" s="32"/>
      <c r="H592" s="32"/>
    </row>
    <row r="593" ht="15.75" customHeight="1">
      <c r="A593" s="32"/>
      <c r="C593" s="32"/>
      <c r="D593" s="32"/>
      <c r="E593" s="32"/>
      <c r="F593" s="32"/>
      <c r="G593" s="32"/>
      <c r="H593" s="32"/>
    </row>
    <row r="594" ht="15.75" customHeight="1">
      <c r="A594" s="32"/>
      <c r="C594" s="32"/>
      <c r="D594" s="32"/>
      <c r="E594" s="32"/>
      <c r="F594" s="32"/>
      <c r="G594" s="32"/>
      <c r="H594" s="32"/>
    </row>
    <row r="595" ht="15.75" customHeight="1">
      <c r="A595" s="32"/>
      <c r="C595" s="32"/>
      <c r="D595" s="32"/>
      <c r="E595" s="32"/>
      <c r="F595" s="32"/>
      <c r="G595" s="32"/>
      <c r="H595" s="32"/>
    </row>
    <row r="596" ht="15.75" customHeight="1">
      <c r="A596" s="32"/>
      <c r="C596" s="32"/>
      <c r="D596" s="32"/>
      <c r="E596" s="32"/>
      <c r="F596" s="32"/>
      <c r="G596" s="32"/>
      <c r="H596" s="32"/>
    </row>
    <row r="597" ht="15.75" customHeight="1">
      <c r="A597" s="32"/>
      <c r="C597" s="32"/>
      <c r="D597" s="32"/>
      <c r="E597" s="32"/>
      <c r="F597" s="32"/>
      <c r="G597" s="32"/>
      <c r="H597" s="32"/>
    </row>
    <row r="598" ht="15.75" customHeight="1">
      <c r="A598" s="32"/>
      <c r="C598" s="32"/>
      <c r="D598" s="32"/>
      <c r="E598" s="32"/>
      <c r="F598" s="32"/>
      <c r="G598" s="32"/>
      <c r="H598" s="32"/>
    </row>
    <row r="599" ht="15.75" customHeight="1">
      <c r="A599" s="32"/>
      <c r="C599" s="32"/>
      <c r="D599" s="32"/>
      <c r="E599" s="32"/>
      <c r="F599" s="32"/>
      <c r="G599" s="32"/>
      <c r="H599" s="32"/>
    </row>
    <row r="600" ht="15.75" customHeight="1">
      <c r="A600" s="32"/>
      <c r="C600" s="32"/>
      <c r="D600" s="32"/>
      <c r="E600" s="32"/>
      <c r="F600" s="32"/>
      <c r="G600" s="32"/>
      <c r="H600" s="32"/>
    </row>
    <row r="601" ht="15.75" customHeight="1">
      <c r="A601" s="32"/>
      <c r="C601" s="32"/>
      <c r="D601" s="32"/>
      <c r="E601" s="32"/>
      <c r="F601" s="32"/>
      <c r="G601" s="32"/>
      <c r="H601" s="32"/>
    </row>
    <row r="602" ht="15.75" customHeight="1">
      <c r="A602" s="32"/>
      <c r="C602" s="32"/>
      <c r="D602" s="32"/>
      <c r="E602" s="32"/>
      <c r="F602" s="32"/>
      <c r="G602" s="32"/>
      <c r="H602" s="32"/>
    </row>
    <row r="603" ht="15.75" customHeight="1">
      <c r="A603" s="32"/>
      <c r="C603" s="32"/>
      <c r="D603" s="32"/>
      <c r="E603" s="32"/>
      <c r="F603" s="32"/>
      <c r="G603" s="32"/>
      <c r="H603" s="32"/>
    </row>
    <row r="604" ht="15.75" customHeight="1">
      <c r="A604" s="32"/>
      <c r="C604" s="32"/>
      <c r="D604" s="32"/>
      <c r="E604" s="32"/>
      <c r="F604" s="32"/>
      <c r="G604" s="32"/>
      <c r="H604" s="32"/>
    </row>
    <row r="605" ht="15.75" customHeight="1">
      <c r="A605" s="32"/>
      <c r="C605" s="32"/>
      <c r="D605" s="32"/>
      <c r="E605" s="32"/>
      <c r="F605" s="32"/>
      <c r="G605" s="32"/>
      <c r="H605" s="32"/>
    </row>
    <row r="606" ht="15.75" customHeight="1">
      <c r="A606" s="32"/>
      <c r="C606" s="32"/>
      <c r="D606" s="32"/>
      <c r="E606" s="32"/>
      <c r="F606" s="32"/>
      <c r="G606" s="32"/>
      <c r="H606" s="32"/>
    </row>
    <row r="607" ht="15.75" customHeight="1">
      <c r="A607" s="32"/>
      <c r="C607" s="32"/>
      <c r="D607" s="32"/>
      <c r="E607" s="32"/>
      <c r="F607" s="32"/>
      <c r="G607" s="32"/>
      <c r="H607" s="32"/>
    </row>
    <row r="608" ht="15.75" customHeight="1">
      <c r="A608" s="32"/>
      <c r="C608" s="32"/>
      <c r="D608" s="32"/>
      <c r="E608" s="32"/>
      <c r="F608" s="32"/>
      <c r="G608" s="32"/>
      <c r="H608" s="32"/>
    </row>
    <row r="609" ht="15.75" customHeight="1">
      <c r="A609" s="32"/>
      <c r="C609" s="32"/>
      <c r="D609" s="32"/>
      <c r="E609" s="32"/>
      <c r="F609" s="32"/>
      <c r="G609" s="32"/>
      <c r="H609" s="32"/>
    </row>
    <row r="610" ht="15.75" customHeight="1">
      <c r="A610" s="32"/>
      <c r="C610" s="32"/>
      <c r="D610" s="32"/>
      <c r="E610" s="32"/>
      <c r="F610" s="32"/>
      <c r="G610" s="32"/>
      <c r="H610" s="32"/>
    </row>
    <row r="611" ht="15.75" customHeight="1">
      <c r="A611" s="32"/>
      <c r="C611" s="32"/>
      <c r="D611" s="32"/>
      <c r="E611" s="32"/>
      <c r="F611" s="32"/>
      <c r="G611" s="32"/>
      <c r="H611" s="32"/>
    </row>
    <row r="612" ht="15.75" customHeight="1">
      <c r="A612" s="32"/>
      <c r="C612" s="32"/>
      <c r="D612" s="32"/>
      <c r="E612" s="32"/>
      <c r="F612" s="32"/>
      <c r="G612" s="32"/>
      <c r="H612" s="32"/>
    </row>
    <row r="613" ht="15.75" customHeight="1">
      <c r="A613" s="32"/>
      <c r="C613" s="32"/>
      <c r="D613" s="32"/>
      <c r="E613" s="32"/>
      <c r="F613" s="32"/>
      <c r="G613" s="32"/>
      <c r="H613" s="32"/>
    </row>
    <row r="614" ht="15.75" customHeight="1">
      <c r="A614" s="32"/>
      <c r="C614" s="32"/>
      <c r="D614" s="32"/>
      <c r="E614" s="32"/>
      <c r="F614" s="32"/>
      <c r="G614" s="32"/>
      <c r="H614" s="32"/>
    </row>
    <row r="615" ht="15.75" customHeight="1">
      <c r="A615" s="32"/>
      <c r="C615" s="32"/>
      <c r="D615" s="32"/>
      <c r="E615" s="32"/>
      <c r="F615" s="32"/>
      <c r="G615" s="32"/>
      <c r="H615" s="32"/>
    </row>
    <row r="616" ht="15.75" customHeight="1">
      <c r="A616" s="32"/>
      <c r="C616" s="32"/>
      <c r="D616" s="32"/>
      <c r="E616" s="32"/>
      <c r="F616" s="32"/>
      <c r="G616" s="32"/>
      <c r="H616" s="32"/>
    </row>
    <row r="617" ht="15.75" customHeight="1">
      <c r="A617" s="32"/>
      <c r="C617" s="32"/>
      <c r="D617" s="32"/>
      <c r="E617" s="32"/>
      <c r="F617" s="32"/>
      <c r="G617" s="32"/>
      <c r="H617" s="32"/>
    </row>
    <row r="618" ht="15.75" customHeight="1">
      <c r="A618" s="32"/>
      <c r="C618" s="32"/>
      <c r="D618" s="32"/>
      <c r="E618" s="32"/>
      <c r="F618" s="32"/>
      <c r="G618" s="32"/>
      <c r="H618" s="32"/>
    </row>
    <row r="619" ht="15.75" customHeight="1">
      <c r="A619" s="32"/>
      <c r="C619" s="32"/>
      <c r="D619" s="32"/>
      <c r="E619" s="32"/>
      <c r="F619" s="32"/>
      <c r="G619" s="32"/>
      <c r="H619" s="32"/>
    </row>
    <row r="620" ht="15.75" customHeight="1">
      <c r="A620" s="32"/>
      <c r="C620" s="32"/>
      <c r="D620" s="32"/>
      <c r="E620" s="32"/>
      <c r="F620" s="32"/>
      <c r="G620" s="32"/>
      <c r="H620" s="32"/>
    </row>
    <row r="621" ht="15.75" customHeight="1">
      <c r="A621" s="32"/>
      <c r="C621" s="32"/>
      <c r="D621" s="32"/>
      <c r="E621" s="32"/>
      <c r="F621" s="32"/>
      <c r="G621" s="32"/>
      <c r="H621" s="32"/>
    </row>
    <row r="622" ht="15.75" customHeight="1">
      <c r="A622" s="32"/>
      <c r="C622" s="32"/>
      <c r="D622" s="32"/>
      <c r="E622" s="32"/>
      <c r="F622" s="32"/>
      <c r="G622" s="32"/>
      <c r="H622" s="32"/>
    </row>
    <row r="623" ht="15.75" customHeight="1">
      <c r="A623" s="32"/>
      <c r="C623" s="32"/>
      <c r="D623" s="32"/>
      <c r="E623" s="32"/>
      <c r="F623" s="32"/>
      <c r="G623" s="32"/>
      <c r="H623" s="32"/>
    </row>
    <row r="624" ht="15.75" customHeight="1">
      <c r="A624" s="32"/>
      <c r="C624" s="32"/>
      <c r="D624" s="32"/>
      <c r="E624" s="32"/>
      <c r="F624" s="32"/>
      <c r="G624" s="32"/>
      <c r="H624" s="32"/>
    </row>
    <row r="625" ht="15.75" customHeight="1">
      <c r="A625" s="32"/>
      <c r="C625" s="32"/>
      <c r="D625" s="32"/>
      <c r="E625" s="32"/>
      <c r="F625" s="32"/>
      <c r="G625" s="32"/>
      <c r="H625" s="32"/>
    </row>
    <row r="626" ht="15.75" customHeight="1">
      <c r="A626" s="32"/>
      <c r="C626" s="32"/>
      <c r="D626" s="32"/>
      <c r="E626" s="32"/>
      <c r="F626" s="32"/>
      <c r="G626" s="32"/>
      <c r="H626" s="32"/>
    </row>
    <row r="627" ht="15.75" customHeight="1">
      <c r="A627" s="32"/>
      <c r="C627" s="32"/>
      <c r="D627" s="32"/>
      <c r="E627" s="32"/>
      <c r="F627" s="32"/>
      <c r="G627" s="32"/>
      <c r="H627" s="32"/>
    </row>
    <row r="628" ht="15.75" customHeight="1">
      <c r="A628" s="32"/>
      <c r="C628" s="32"/>
      <c r="D628" s="32"/>
      <c r="E628" s="32"/>
      <c r="F628" s="32"/>
      <c r="G628" s="32"/>
      <c r="H628" s="32"/>
    </row>
    <row r="629" ht="15.75" customHeight="1">
      <c r="A629" s="32"/>
      <c r="C629" s="32"/>
      <c r="D629" s="32"/>
      <c r="E629" s="32"/>
      <c r="F629" s="32"/>
      <c r="G629" s="32"/>
      <c r="H629" s="32"/>
    </row>
    <row r="630" ht="15.75" customHeight="1">
      <c r="A630" s="32"/>
      <c r="C630" s="32"/>
      <c r="D630" s="32"/>
      <c r="E630" s="32"/>
      <c r="F630" s="32"/>
      <c r="G630" s="32"/>
      <c r="H630" s="32"/>
    </row>
    <row r="631" ht="15.75" customHeight="1">
      <c r="A631" s="32"/>
      <c r="C631" s="32"/>
      <c r="D631" s="32"/>
      <c r="E631" s="32"/>
      <c r="F631" s="32"/>
      <c r="G631" s="32"/>
      <c r="H631" s="32"/>
    </row>
    <row r="632" ht="15.75" customHeight="1">
      <c r="A632" s="32"/>
      <c r="C632" s="32"/>
      <c r="D632" s="32"/>
      <c r="E632" s="32"/>
      <c r="F632" s="32"/>
      <c r="G632" s="32"/>
      <c r="H632" s="32"/>
    </row>
    <row r="633" ht="15.75" customHeight="1">
      <c r="A633" s="32"/>
      <c r="C633" s="32"/>
      <c r="D633" s="32"/>
      <c r="E633" s="32"/>
      <c r="F633" s="32"/>
      <c r="G633" s="32"/>
      <c r="H633" s="32"/>
    </row>
    <row r="634" ht="15.75" customHeight="1">
      <c r="A634" s="32"/>
      <c r="C634" s="32"/>
      <c r="D634" s="32"/>
      <c r="E634" s="32"/>
      <c r="F634" s="32"/>
      <c r="G634" s="32"/>
      <c r="H634" s="32"/>
    </row>
    <row r="635" ht="15.75" customHeight="1">
      <c r="A635" s="32"/>
      <c r="C635" s="32"/>
      <c r="D635" s="32"/>
      <c r="E635" s="32"/>
      <c r="F635" s="32"/>
      <c r="G635" s="32"/>
      <c r="H635" s="32"/>
    </row>
    <row r="636" ht="15.75" customHeight="1">
      <c r="A636" s="32"/>
      <c r="C636" s="32"/>
      <c r="D636" s="32"/>
      <c r="E636" s="32"/>
      <c r="F636" s="32"/>
      <c r="G636" s="32"/>
      <c r="H636" s="32"/>
    </row>
    <row r="637" ht="15.75" customHeight="1">
      <c r="A637" s="32"/>
      <c r="C637" s="32"/>
      <c r="D637" s="32"/>
      <c r="E637" s="32"/>
      <c r="F637" s="32"/>
      <c r="G637" s="32"/>
      <c r="H637" s="32"/>
    </row>
    <row r="638" ht="15.75" customHeight="1">
      <c r="A638" s="32"/>
      <c r="C638" s="32"/>
      <c r="D638" s="32"/>
      <c r="E638" s="32"/>
      <c r="F638" s="32"/>
      <c r="G638" s="32"/>
      <c r="H638" s="32"/>
    </row>
    <row r="639" ht="15.75" customHeight="1">
      <c r="A639" s="32"/>
      <c r="C639" s="32"/>
      <c r="D639" s="32"/>
      <c r="E639" s="32"/>
      <c r="F639" s="32"/>
      <c r="G639" s="32"/>
      <c r="H639" s="32"/>
    </row>
    <row r="640" ht="15.75" customHeight="1">
      <c r="A640" s="32"/>
      <c r="C640" s="32"/>
      <c r="D640" s="32"/>
      <c r="E640" s="32"/>
      <c r="F640" s="32"/>
      <c r="G640" s="32"/>
      <c r="H640" s="32"/>
    </row>
    <row r="641" ht="15.75" customHeight="1">
      <c r="A641" s="32"/>
      <c r="C641" s="32"/>
      <c r="D641" s="32"/>
      <c r="E641" s="32"/>
      <c r="F641" s="32"/>
      <c r="G641" s="32"/>
      <c r="H641" s="32"/>
    </row>
    <row r="642" ht="15.75" customHeight="1">
      <c r="A642" s="32"/>
      <c r="C642" s="32"/>
      <c r="D642" s="32"/>
      <c r="E642" s="32"/>
      <c r="F642" s="32"/>
      <c r="G642" s="32"/>
      <c r="H642" s="32"/>
    </row>
    <row r="643" ht="15.75" customHeight="1">
      <c r="A643" s="32"/>
      <c r="C643" s="32"/>
      <c r="D643" s="32"/>
      <c r="E643" s="32"/>
      <c r="F643" s="32"/>
      <c r="G643" s="32"/>
      <c r="H643" s="32"/>
    </row>
    <row r="644" ht="15.75" customHeight="1">
      <c r="A644" s="32"/>
      <c r="C644" s="32"/>
      <c r="D644" s="32"/>
      <c r="E644" s="32"/>
      <c r="F644" s="32"/>
      <c r="G644" s="32"/>
      <c r="H644" s="32"/>
    </row>
    <row r="645" ht="15.75" customHeight="1">
      <c r="A645" s="32"/>
      <c r="C645" s="32"/>
      <c r="D645" s="32"/>
      <c r="E645" s="32"/>
      <c r="F645" s="32"/>
      <c r="G645" s="32"/>
      <c r="H645" s="32"/>
    </row>
    <row r="646" ht="15.75" customHeight="1">
      <c r="A646" s="32"/>
      <c r="C646" s="32"/>
      <c r="D646" s="32"/>
      <c r="E646" s="32"/>
      <c r="F646" s="32"/>
      <c r="G646" s="32"/>
      <c r="H646" s="32"/>
    </row>
    <row r="647" ht="15.75" customHeight="1">
      <c r="A647" s="32"/>
      <c r="C647" s="32"/>
      <c r="D647" s="32"/>
      <c r="E647" s="32"/>
      <c r="F647" s="32"/>
      <c r="G647" s="32"/>
      <c r="H647" s="32"/>
    </row>
    <row r="648" ht="15.75" customHeight="1">
      <c r="A648" s="32"/>
      <c r="C648" s="32"/>
      <c r="D648" s="32"/>
      <c r="E648" s="32"/>
      <c r="F648" s="32"/>
      <c r="G648" s="32"/>
      <c r="H648" s="32"/>
    </row>
    <row r="649" ht="15.75" customHeight="1">
      <c r="A649" s="32"/>
      <c r="C649" s="32"/>
      <c r="D649" s="32"/>
      <c r="E649" s="32"/>
      <c r="F649" s="32"/>
      <c r="G649" s="32"/>
      <c r="H649" s="32"/>
    </row>
    <row r="650" ht="15.75" customHeight="1">
      <c r="A650" s="32"/>
      <c r="C650" s="32"/>
      <c r="D650" s="32"/>
      <c r="E650" s="32"/>
      <c r="F650" s="32"/>
      <c r="G650" s="32"/>
      <c r="H650" s="32"/>
    </row>
    <row r="651" ht="15.75" customHeight="1">
      <c r="A651" s="32"/>
      <c r="C651" s="32"/>
      <c r="D651" s="32"/>
      <c r="E651" s="32"/>
      <c r="F651" s="32"/>
      <c r="G651" s="32"/>
      <c r="H651" s="32"/>
    </row>
    <row r="652" ht="15.75" customHeight="1">
      <c r="A652" s="32"/>
      <c r="C652" s="32"/>
      <c r="D652" s="32"/>
      <c r="E652" s="32"/>
      <c r="F652" s="32"/>
      <c r="G652" s="32"/>
      <c r="H652" s="32"/>
    </row>
    <row r="653" ht="15.75" customHeight="1">
      <c r="A653" s="32"/>
      <c r="C653" s="32"/>
      <c r="D653" s="32"/>
      <c r="E653" s="32"/>
      <c r="F653" s="32"/>
      <c r="G653" s="32"/>
      <c r="H653" s="32"/>
    </row>
    <row r="654" ht="15.75" customHeight="1">
      <c r="A654" s="32"/>
      <c r="C654" s="32"/>
      <c r="D654" s="32"/>
      <c r="E654" s="32"/>
      <c r="F654" s="32"/>
      <c r="G654" s="32"/>
      <c r="H654" s="32"/>
    </row>
    <row r="655" ht="15.75" customHeight="1">
      <c r="A655" s="32"/>
      <c r="C655" s="32"/>
      <c r="D655" s="32"/>
      <c r="E655" s="32"/>
      <c r="F655" s="32"/>
      <c r="G655" s="32"/>
      <c r="H655" s="32"/>
    </row>
    <row r="656" ht="15.75" customHeight="1">
      <c r="A656" s="32"/>
      <c r="C656" s="32"/>
      <c r="D656" s="32"/>
      <c r="E656" s="32"/>
      <c r="F656" s="32"/>
      <c r="G656" s="32"/>
      <c r="H656" s="32"/>
    </row>
    <row r="657" ht="15.75" customHeight="1">
      <c r="A657" s="32"/>
      <c r="C657" s="32"/>
      <c r="D657" s="32"/>
      <c r="E657" s="32"/>
      <c r="F657" s="32"/>
      <c r="G657" s="32"/>
      <c r="H657" s="32"/>
    </row>
    <row r="658" ht="15.75" customHeight="1">
      <c r="A658" s="32"/>
      <c r="C658" s="32"/>
      <c r="D658" s="32"/>
      <c r="E658" s="32"/>
      <c r="F658" s="32"/>
      <c r="G658" s="32"/>
      <c r="H658" s="32"/>
    </row>
    <row r="659" ht="15.75" customHeight="1">
      <c r="A659" s="32"/>
      <c r="C659" s="32"/>
      <c r="D659" s="32"/>
      <c r="E659" s="32"/>
      <c r="F659" s="32"/>
      <c r="G659" s="32"/>
      <c r="H659" s="32"/>
    </row>
    <row r="660" ht="15.75" customHeight="1">
      <c r="A660" s="32"/>
      <c r="C660" s="32"/>
      <c r="D660" s="32"/>
      <c r="E660" s="32"/>
      <c r="F660" s="32"/>
      <c r="G660" s="32"/>
      <c r="H660" s="32"/>
    </row>
    <row r="661" ht="15.75" customHeight="1">
      <c r="A661" s="32"/>
      <c r="C661" s="32"/>
      <c r="D661" s="32"/>
      <c r="E661" s="32"/>
      <c r="F661" s="32"/>
      <c r="G661" s="32"/>
      <c r="H661" s="32"/>
    </row>
    <row r="662" ht="15.75" customHeight="1">
      <c r="A662" s="32"/>
      <c r="C662" s="32"/>
      <c r="D662" s="32"/>
      <c r="E662" s="32"/>
      <c r="F662" s="32"/>
      <c r="G662" s="32"/>
      <c r="H662" s="32"/>
    </row>
    <row r="663" ht="15.75" customHeight="1">
      <c r="A663" s="32"/>
      <c r="C663" s="32"/>
      <c r="D663" s="32"/>
      <c r="E663" s="32"/>
      <c r="F663" s="32"/>
      <c r="G663" s="32"/>
      <c r="H663" s="32"/>
    </row>
    <row r="664" ht="15.75" customHeight="1">
      <c r="A664" s="32"/>
      <c r="C664" s="32"/>
      <c r="D664" s="32"/>
      <c r="E664" s="32"/>
      <c r="F664" s="32"/>
      <c r="G664" s="32"/>
      <c r="H664" s="32"/>
    </row>
    <row r="665" ht="15.75" customHeight="1">
      <c r="A665" s="32"/>
      <c r="C665" s="32"/>
      <c r="D665" s="32"/>
      <c r="E665" s="32"/>
      <c r="F665" s="32"/>
      <c r="G665" s="32"/>
      <c r="H665" s="32"/>
    </row>
    <row r="666" ht="15.75" customHeight="1">
      <c r="A666" s="32"/>
      <c r="C666" s="32"/>
      <c r="D666" s="32"/>
      <c r="E666" s="32"/>
      <c r="F666" s="32"/>
      <c r="G666" s="32"/>
      <c r="H666" s="32"/>
    </row>
    <row r="667" ht="15.75" customHeight="1">
      <c r="A667" s="32"/>
      <c r="C667" s="32"/>
      <c r="D667" s="32"/>
      <c r="E667" s="32"/>
      <c r="F667" s="32"/>
      <c r="G667" s="32"/>
      <c r="H667" s="32"/>
    </row>
    <row r="668" ht="15.75" customHeight="1">
      <c r="A668" s="32"/>
      <c r="C668" s="32"/>
      <c r="D668" s="32"/>
      <c r="E668" s="32"/>
      <c r="F668" s="32"/>
      <c r="G668" s="32"/>
      <c r="H668" s="32"/>
    </row>
    <row r="669" ht="15.75" customHeight="1">
      <c r="A669" s="32"/>
      <c r="C669" s="32"/>
      <c r="D669" s="32"/>
      <c r="E669" s="32"/>
      <c r="F669" s="32"/>
      <c r="G669" s="32"/>
      <c r="H669" s="32"/>
    </row>
    <row r="670" ht="15.75" customHeight="1">
      <c r="A670" s="32"/>
      <c r="C670" s="32"/>
      <c r="D670" s="32"/>
      <c r="E670" s="32"/>
      <c r="F670" s="32"/>
      <c r="G670" s="32"/>
      <c r="H670" s="32"/>
    </row>
    <row r="671" ht="15.75" customHeight="1">
      <c r="A671" s="32"/>
      <c r="C671" s="32"/>
      <c r="D671" s="32"/>
      <c r="E671" s="32"/>
      <c r="F671" s="32"/>
      <c r="G671" s="32"/>
      <c r="H671" s="32"/>
    </row>
    <row r="672" ht="15.75" customHeight="1">
      <c r="A672" s="32"/>
      <c r="C672" s="32"/>
      <c r="D672" s="32"/>
      <c r="E672" s="32"/>
      <c r="F672" s="32"/>
      <c r="G672" s="32"/>
      <c r="H672" s="32"/>
    </row>
    <row r="673" ht="15.75" customHeight="1">
      <c r="A673" s="32"/>
      <c r="C673" s="32"/>
      <c r="D673" s="32"/>
      <c r="E673" s="32"/>
      <c r="F673" s="32"/>
      <c r="G673" s="32"/>
      <c r="H673" s="32"/>
    </row>
    <row r="674" ht="15.75" customHeight="1">
      <c r="A674" s="32"/>
      <c r="C674" s="32"/>
      <c r="D674" s="32"/>
      <c r="E674" s="32"/>
      <c r="F674" s="32"/>
      <c r="G674" s="32"/>
      <c r="H674" s="32"/>
    </row>
    <row r="675" ht="15.75" customHeight="1">
      <c r="A675" s="32"/>
      <c r="C675" s="32"/>
      <c r="D675" s="32"/>
      <c r="E675" s="32"/>
      <c r="F675" s="32"/>
      <c r="G675" s="32"/>
      <c r="H675" s="32"/>
    </row>
    <row r="676" ht="15.75" customHeight="1">
      <c r="A676" s="32"/>
      <c r="C676" s="32"/>
      <c r="D676" s="32"/>
      <c r="E676" s="32"/>
      <c r="F676" s="32"/>
      <c r="G676" s="32"/>
      <c r="H676" s="32"/>
    </row>
    <row r="677" ht="15.75" customHeight="1">
      <c r="A677" s="32"/>
      <c r="C677" s="32"/>
      <c r="D677" s="32"/>
      <c r="E677" s="32"/>
      <c r="F677" s="32"/>
      <c r="G677" s="32"/>
      <c r="H677" s="32"/>
    </row>
    <row r="678" ht="15.75" customHeight="1">
      <c r="A678" s="32"/>
      <c r="C678" s="32"/>
      <c r="D678" s="32"/>
      <c r="E678" s="32"/>
      <c r="F678" s="32"/>
      <c r="G678" s="32"/>
      <c r="H678" s="32"/>
    </row>
    <row r="679" ht="15.75" customHeight="1">
      <c r="A679" s="32"/>
      <c r="C679" s="32"/>
      <c r="D679" s="32"/>
      <c r="E679" s="32"/>
      <c r="F679" s="32"/>
      <c r="G679" s="32"/>
      <c r="H679" s="32"/>
    </row>
    <row r="680" ht="15.75" customHeight="1">
      <c r="A680" s="32"/>
      <c r="C680" s="32"/>
      <c r="D680" s="32"/>
      <c r="E680" s="32"/>
      <c r="F680" s="32"/>
      <c r="G680" s="32"/>
      <c r="H680" s="32"/>
    </row>
    <row r="681" ht="15.75" customHeight="1">
      <c r="A681" s="32"/>
      <c r="C681" s="32"/>
      <c r="D681" s="32"/>
      <c r="E681" s="32"/>
      <c r="F681" s="32"/>
      <c r="G681" s="32"/>
      <c r="H681" s="32"/>
    </row>
    <row r="682" ht="15.75" customHeight="1">
      <c r="A682" s="32"/>
      <c r="C682" s="32"/>
      <c r="D682" s="32"/>
      <c r="E682" s="32"/>
      <c r="F682" s="32"/>
      <c r="G682" s="32"/>
      <c r="H682" s="32"/>
    </row>
    <row r="683" ht="15.75" customHeight="1">
      <c r="A683" s="32"/>
      <c r="C683" s="32"/>
      <c r="D683" s="32"/>
      <c r="E683" s="32"/>
      <c r="F683" s="32"/>
      <c r="G683" s="32"/>
      <c r="H683" s="32"/>
    </row>
    <row r="684" ht="15.75" customHeight="1">
      <c r="A684" s="32"/>
      <c r="C684" s="32"/>
      <c r="D684" s="32"/>
      <c r="E684" s="32"/>
      <c r="F684" s="32"/>
      <c r="G684" s="32"/>
      <c r="H684" s="32"/>
    </row>
    <row r="685" ht="15.75" customHeight="1">
      <c r="A685" s="32"/>
      <c r="C685" s="32"/>
      <c r="D685" s="32"/>
      <c r="E685" s="32"/>
      <c r="F685" s="32"/>
      <c r="G685" s="32"/>
      <c r="H685" s="32"/>
    </row>
    <row r="686" ht="15.75" customHeight="1">
      <c r="A686" s="32"/>
      <c r="C686" s="32"/>
      <c r="D686" s="32"/>
      <c r="E686" s="32"/>
      <c r="F686" s="32"/>
      <c r="G686" s="32"/>
      <c r="H686" s="32"/>
    </row>
    <row r="687" ht="15.75" customHeight="1">
      <c r="A687" s="32"/>
      <c r="C687" s="32"/>
      <c r="D687" s="32"/>
      <c r="E687" s="32"/>
      <c r="F687" s="32"/>
      <c r="G687" s="32"/>
      <c r="H687" s="32"/>
    </row>
    <row r="688" ht="15.75" customHeight="1">
      <c r="A688" s="32"/>
      <c r="C688" s="32"/>
      <c r="D688" s="32"/>
      <c r="E688" s="32"/>
      <c r="F688" s="32"/>
      <c r="G688" s="32"/>
      <c r="H688" s="32"/>
    </row>
    <row r="689" ht="15.75" customHeight="1">
      <c r="A689" s="32"/>
      <c r="C689" s="32"/>
      <c r="D689" s="32"/>
      <c r="E689" s="32"/>
      <c r="F689" s="32"/>
      <c r="G689" s="32"/>
      <c r="H689" s="32"/>
    </row>
    <row r="690" ht="15.75" customHeight="1">
      <c r="A690" s="32"/>
      <c r="C690" s="32"/>
      <c r="D690" s="32"/>
      <c r="E690" s="32"/>
      <c r="F690" s="32"/>
      <c r="G690" s="32"/>
      <c r="H690" s="32"/>
    </row>
    <row r="691" ht="15.75" customHeight="1">
      <c r="A691" s="32"/>
      <c r="C691" s="32"/>
      <c r="D691" s="32"/>
      <c r="E691" s="32"/>
      <c r="F691" s="32"/>
      <c r="G691" s="32"/>
      <c r="H691" s="32"/>
    </row>
    <row r="692" ht="15.75" customHeight="1">
      <c r="A692" s="32"/>
      <c r="C692" s="32"/>
      <c r="D692" s="32"/>
      <c r="E692" s="32"/>
      <c r="F692" s="32"/>
      <c r="G692" s="32"/>
      <c r="H692" s="32"/>
    </row>
    <row r="693" ht="15.75" customHeight="1">
      <c r="A693" s="32"/>
      <c r="C693" s="32"/>
      <c r="D693" s="32"/>
      <c r="E693" s="32"/>
      <c r="F693" s="32"/>
      <c r="G693" s="32"/>
      <c r="H693" s="32"/>
    </row>
    <row r="694" ht="15.75" customHeight="1">
      <c r="A694" s="32"/>
      <c r="C694" s="32"/>
      <c r="D694" s="32"/>
      <c r="E694" s="32"/>
      <c r="F694" s="32"/>
      <c r="G694" s="32"/>
      <c r="H694" s="32"/>
    </row>
    <row r="695" ht="15.75" customHeight="1">
      <c r="A695" s="32"/>
      <c r="C695" s="32"/>
      <c r="D695" s="32"/>
      <c r="E695" s="32"/>
      <c r="F695" s="32"/>
      <c r="G695" s="32"/>
      <c r="H695" s="32"/>
    </row>
    <row r="696" ht="15.75" customHeight="1">
      <c r="A696" s="32"/>
      <c r="C696" s="32"/>
      <c r="D696" s="32"/>
      <c r="E696" s="32"/>
      <c r="F696" s="32"/>
      <c r="G696" s="32"/>
      <c r="H696" s="32"/>
    </row>
    <row r="697" ht="15.75" customHeight="1">
      <c r="A697" s="32"/>
      <c r="C697" s="32"/>
      <c r="D697" s="32"/>
      <c r="E697" s="32"/>
      <c r="F697" s="32"/>
      <c r="G697" s="32"/>
      <c r="H697" s="32"/>
    </row>
    <row r="698" ht="15.75" customHeight="1">
      <c r="A698" s="32"/>
      <c r="C698" s="32"/>
      <c r="D698" s="32"/>
      <c r="E698" s="32"/>
      <c r="F698" s="32"/>
      <c r="G698" s="32"/>
      <c r="H698" s="32"/>
    </row>
    <row r="699" ht="15.75" customHeight="1">
      <c r="A699" s="32"/>
      <c r="C699" s="32"/>
      <c r="D699" s="32"/>
      <c r="E699" s="32"/>
      <c r="F699" s="32"/>
      <c r="G699" s="32"/>
      <c r="H699" s="32"/>
    </row>
    <row r="700" ht="15.75" customHeight="1">
      <c r="A700" s="32"/>
      <c r="C700" s="32"/>
      <c r="D700" s="32"/>
      <c r="E700" s="32"/>
      <c r="F700" s="32"/>
      <c r="G700" s="32"/>
      <c r="H700" s="32"/>
    </row>
    <row r="701" ht="15.75" customHeight="1">
      <c r="A701" s="32"/>
      <c r="C701" s="32"/>
      <c r="D701" s="32"/>
      <c r="E701" s="32"/>
      <c r="F701" s="32"/>
      <c r="G701" s="32"/>
      <c r="H701" s="32"/>
    </row>
    <row r="702" ht="15.75" customHeight="1">
      <c r="A702" s="32"/>
      <c r="C702" s="32"/>
      <c r="D702" s="32"/>
      <c r="E702" s="32"/>
      <c r="F702" s="32"/>
      <c r="G702" s="32"/>
      <c r="H702" s="32"/>
    </row>
    <row r="703" ht="15.75" customHeight="1">
      <c r="A703" s="32"/>
      <c r="C703" s="32"/>
      <c r="D703" s="32"/>
      <c r="E703" s="32"/>
      <c r="F703" s="32"/>
      <c r="G703" s="32"/>
      <c r="H703" s="32"/>
    </row>
    <row r="704" ht="15.75" customHeight="1">
      <c r="A704" s="32"/>
      <c r="C704" s="32"/>
      <c r="D704" s="32"/>
      <c r="E704" s="32"/>
      <c r="F704" s="32"/>
      <c r="G704" s="32"/>
      <c r="H704" s="32"/>
    </row>
    <row r="705" ht="15.75" customHeight="1">
      <c r="A705" s="32"/>
      <c r="C705" s="32"/>
      <c r="D705" s="32"/>
      <c r="E705" s="32"/>
      <c r="F705" s="32"/>
      <c r="G705" s="32"/>
      <c r="H705" s="32"/>
    </row>
    <row r="706" ht="15.75" customHeight="1">
      <c r="A706" s="32"/>
      <c r="C706" s="32"/>
      <c r="D706" s="32"/>
      <c r="E706" s="32"/>
      <c r="F706" s="32"/>
      <c r="G706" s="32"/>
      <c r="H706" s="32"/>
    </row>
    <row r="707" ht="15.75" customHeight="1">
      <c r="A707" s="32"/>
      <c r="C707" s="32"/>
      <c r="D707" s="32"/>
      <c r="E707" s="32"/>
      <c r="F707" s="32"/>
      <c r="G707" s="32"/>
      <c r="H707" s="32"/>
    </row>
    <row r="708" ht="15.75" customHeight="1">
      <c r="A708" s="32"/>
      <c r="C708" s="32"/>
      <c r="D708" s="32"/>
      <c r="E708" s="32"/>
      <c r="F708" s="32"/>
      <c r="G708" s="32"/>
      <c r="H708" s="32"/>
    </row>
    <row r="709" ht="15.75" customHeight="1">
      <c r="A709" s="32"/>
      <c r="C709" s="32"/>
      <c r="D709" s="32"/>
      <c r="E709" s="32"/>
      <c r="F709" s="32"/>
      <c r="G709" s="32"/>
      <c r="H709" s="32"/>
    </row>
    <row r="710" ht="15.75" customHeight="1">
      <c r="A710" s="32"/>
      <c r="C710" s="32"/>
      <c r="D710" s="32"/>
      <c r="E710" s="32"/>
      <c r="F710" s="32"/>
      <c r="G710" s="32"/>
      <c r="H710" s="32"/>
    </row>
    <row r="711" ht="15.75" customHeight="1">
      <c r="A711" s="32"/>
      <c r="C711" s="32"/>
      <c r="D711" s="32"/>
      <c r="E711" s="32"/>
      <c r="F711" s="32"/>
      <c r="G711" s="32"/>
      <c r="H711" s="32"/>
    </row>
    <row r="712" ht="15.75" customHeight="1">
      <c r="A712" s="32"/>
      <c r="C712" s="32"/>
      <c r="D712" s="32"/>
      <c r="E712" s="32"/>
      <c r="F712" s="32"/>
      <c r="G712" s="32"/>
      <c r="H712" s="32"/>
    </row>
    <row r="713" ht="15.75" customHeight="1">
      <c r="A713" s="32"/>
      <c r="C713" s="32"/>
      <c r="D713" s="32"/>
      <c r="E713" s="32"/>
      <c r="F713" s="32"/>
      <c r="G713" s="32"/>
      <c r="H713" s="32"/>
    </row>
    <row r="714" ht="15.75" customHeight="1">
      <c r="A714" s="32"/>
      <c r="C714" s="32"/>
      <c r="D714" s="32"/>
      <c r="E714" s="32"/>
      <c r="F714" s="32"/>
      <c r="G714" s="32"/>
      <c r="H714" s="32"/>
    </row>
    <row r="715" ht="15.75" customHeight="1">
      <c r="A715" s="32"/>
      <c r="C715" s="32"/>
      <c r="D715" s="32"/>
      <c r="E715" s="32"/>
      <c r="F715" s="32"/>
      <c r="G715" s="32"/>
      <c r="H715" s="32"/>
    </row>
    <row r="716" ht="15.75" customHeight="1">
      <c r="A716" s="32"/>
      <c r="C716" s="32"/>
      <c r="D716" s="32"/>
      <c r="E716" s="32"/>
      <c r="F716" s="32"/>
      <c r="G716" s="32"/>
      <c r="H716" s="32"/>
    </row>
    <row r="717" ht="15.75" customHeight="1">
      <c r="A717" s="32"/>
      <c r="C717" s="32"/>
      <c r="D717" s="32"/>
      <c r="E717" s="32"/>
      <c r="F717" s="32"/>
      <c r="G717" s="32"/>
      <c r="H717" s="32"/>
    </row>
    <row r="718" ht="15.75" customHeight="1">
      <c r="A718" s="32"/>
      <c r="C718" s="32"/>
      <c r="D718" s="32"/>
      <c r="E718" s="32"/>
      <c r="F718" s="32"/>
      <c r="G718" s="32"/>
      <c r="H718" s="32"/>
    </row>
    <row r="719" ht="15.75" customHeight="1">
      <c r="A719" s="32"/>
      <c r="C719" s="32"/>
      <c r="D719" s="32"/>
      <c r="E719" s="32"/>
      <c r="F719" s="32"/>
      <c r="G719" s="32"/>
      <c r="H719" s="32"/>
    </row>
    <row r="720" ht="15.75" customHeight="1">
      <c r="A720" s="32"/>
      <c r="C720" s="32"/>
      <c r="D720" s="32"/>
      <c r="E720" s="32"/>
      <c r="F720" s="32"/>
      <c r="G720" s="32"/>
      <c r="H720" s="32"/>
    </row>
    <row r="721" ht="15.75" customHeight="1">
      <c r="A721" s="32"/>
      <c r="C721" s="32"/>
      <c r="D721" s="32"/>
      <c r="E721" s="32"/>
      <c r="F721" s="32"/>
      <c r="G721" s="32"/>
      <c r="H721" s="32"/>
    </row>
    <row r="722" ht="15.75" customHeight="1">
      <c r="A722" s="32"/>
      <c r="C722" s="32"/>
      <c r="D722" s="32"/>
      <c r="E722" s="32"/>
      <c r="F722" s="32"/>
      <c r="G722" s="32"/>
      <c r="H722" s="32"/>
    </row>
    <row r="723" ht="15.75" customHeight="1">
      <c r="A723" s="32"/>
      <c r="C723" s="32"/>
      <c r="D723" s="32"/>
      <c r="E723" s="32"/>
      <c r="F723" s="32"/>
      <c r="G723" s="32"/>
      <c r="H723" s="32"/>
    </row>
    <row r="724" ht="15.75" customHeight="1">
      <c r="A724" s="32"/>
      <c r="C724" s="32"/>
      <c r="D724" s="32"/>
      <c r="E724" s="32"/>
      <c r="F724" s="32"/>
      <c r="G724" s="32"/>
      <c r="H724" s="32"/>
    </row>
    <row r="725" ht="15.75" customHeight="1">
      <c r="A725" s="32"/>
      <c r="C725" s="32"/>
      <c r="D725" s="32"/>
      <c r="E725" s="32"/>
      <c r="F725" s="32"/>
      <c r="G725" s="32"/>
      <c r="H725" s="32"/>
    </row>
    <row r="726" ht="15.75" customHeight="1">
      <c r="A726" s="32"/>
      <c r="C726" s="32"/>
      <c r="D726" s="32"/>
      <c r="E726" s="32"/>
      <c r="F726" s="32"/>
      <c r="G726" s="32"/>
      <c r="H726" s="32"/>
    </row>
    <row r="727" ht="15.75" customHeight="1">
      <c r="A727" s="32"/>
      <c r="C727" s="32"/>
      <c r="D727" s="32"/>
      <c r="E727" s="32"/>
      <c r="F727" s="32"/>
      <c r="G727" s="32"/>
      <c r="H727" s="32"/>
    </row>
    <row r="728" ht="15.75" customHeight="1">
      <c r="A728" s="32"/>
      <c r="C728" s="32"/>
      <c r="D728" s="32"/>
      <c r="E728" s="32"/>
      <c r="F728" s="32"/>
      <c r="G728" s="32"/>
      <c r="H728" s="32"/>
    </row>
    <row r="729" ht="15.75" customHeight="1">
      <c r="A729" s="32"/>
      <c r="C729" s="32"/>
      <c r="D729" s="32"/>
      <c r="E729" s="32"/>
      <c r="F729" s="32"/>
      <c r="G729" s="32"/>
      <c r="H729" s="32"/>
    </row>
    <row r="730" ht="15.75" customHeight="1">
      <c r="A730" s="32"/>
      <c r="C730" s="32"/>
      <c r="D730" s="32"/>
      <c r="E730" s="32"/>
      <c r="F730" s="32"/>
      <c r="G730" s="32"/>
      <c r="H730" s="32"/>
    </row>
    <row r="731" ht="15.75" customHeight="1">
      <c r="A731" s="32"/>
      <c r="C731" s="32"/>
      <c r="D731" s="32"/>
      <c r="E731" s="32"/>
      <c r="F731" s="32"/>
      <c r="G731" s="32"/>
      <c r="H731" s="32"/>
    </row>
    <row r="732" ht="15.75" customHeight="1">
      <c r="A732" s="32"/>
      <c r="C732" s="32"/>
      <c r="D732" s="32"/>
      <c r="E732" s="32"/>
      <c r="F732" s="32"/>
      <c r="G732" s="32"/>
      <c r="H732" s="32"/>
    </row>
    <row r="733" ht="15.75" customHeight="1">
      <c r="A733" s="32"/>
      <c r="C733" s="32"/>
      <c r="D733" s="32"/>
      <c r="E733" s="32"/>
      <c r="F733" s="32"/>
      <c r="G733" s="32"/>
      <c r="H733" s="32"/>
    </row>
    <row r="734" ht="15.75" customHeight="1">
      <c r="A734" s="32"/>
      <c r="C734" s="32"/>
      <c r="D734" s="32"/>
      <c r="E734" s="32"/>
      <c r="F734" s="32"/>
      <c r="G734" s="32"/>
      <c r="H734" s="32"/>
    </row>
    <row r="735" ht="15.75" customHeight="1">
      <c r="A735" s="32"/>
      <c r="C735" s="32"/>
      <c r="D735" s="32"/>
      <c r="E735" s="32"/>
      <c r="F735" s="32"/>
      <c r="G735" s="32"/>
      <c r="H735" s="32"/>
    </row>
    <row r="736" ht="15.75" customHeight="1">
      <c r="A736" s="32"/>
      <c r="C736" s="32"/>
      <c r="D736" s="32"/>
      <c r="E736" s="32"/>
      <c r="F736" s="32"/>
      <c r="G736" s="32"/>
      <c r="H736" s="32"/>
    </row>
    <row r="737" ht="15.75" customHeight="1">
      <c r="A737" s="32"/>
      <c r="C737" s="32"/>
      <c r="D737" s="32"/>
      <c r="E737" s="32"/>
      <c r="F737" s="32"/>
      <c r="G737" s="32"/>
      <c r="H737" s="32"/>
    </row>
    <row r="738" ht="15.75" customHeight="1">
      <c r="A738" s="32"/>
      <c r="C738" s="32"/>
      <c r="D738" s="32"/>
      <c r="E738" s="32"/>
      <c r="F738" s="32"/>
      <c r="G738" s="32"/>
      <c r="H738" s="32"/>
    </row>
    <row r="739" ht="15.75" customHeight="1">
      <c r="A739" s="32"/>
      <c r="C739" s="32"/>
      <c r="D739" s="32"/>
      <c r="E739" s="32"/>
      <c r="F739" s="32"/>
      <c r="G739" s="32"/>
      <c r="H739" s="32"/>
    </row>
    <row r="740" ht="15.75" customHeight="1">
      <c r="A740" s="32"/>
      <c r="C740" s="32"/>
      <c r="D740" s="32"/>
      <c r="E740" s="32"/>
      <c r="F740" s="32"/>
      <c r="G740" s="32"/>
      <c r="H740" s="32"/>
    </row>
    <row r="741" ht="15.75" customHeight="1">
      <c r="A741" s="32"/>
      <c r="C741" s="32"/>
      <c r="D741" s="32"/>
      <c r="E741" s="32"/>
      <c r="F741" s="32"/>
      <c r="G741" s="32"/>
      <c r="H741" s="32"/>
    </row>
    <row r="742" ht="15.75" customHeight="1">
      <c r="A742" s="32"/>
      <c r="C742" s="32"/>
      <c r="D742" s="32"/>
      <c r="E742" s="32"/>
      <c r="F742" s="32"/>
      <c r="G742" s="32"/>
      <c r="H742" s="32"/>
    </row>
    <row r="743" ht="15.75" customHeight="1">
      <c r="A743" s="32"/>
      <c r="C743" s="32"/>
      <c r="D743" s="32"/>
      <c r="E743" s="32"/>
      <c r="F743" s="32"/>
      <c r="G743" s="32"/>
      <c r="H743" s="32"/>
    </row>
    <row r="744" ht="15.75" customHeight="1">
      <c r="A744" s="32"/>
      <c r="C744" s="32"/>
      <c r="D744" s="32"/>
      <c r="E744" s="32"/>
      <c r="F744" s="32"/>
      <c r="G744" s="32"/>
      <c r="H744" s="32"/>
    </row>
    <row r="745" ht="15.75" customHeight="1">
      <c r="A745" s="32"/>
      <c r="C745" s="32"/>
      <c r="D745" s="32"/>
      <c r="E745" s="32"/>
      <c r="F745" s="32"/>
      <c r="G745" s="32"/>
      <c r="H745" s="32"/>
    </row>
    <row r="746" ht="15.75" customHeight="1">
      <c r="A746" s="32"/>
      <c r="C746" s="32"/>
      <c r="D746" s="32"/>
      <c r="E746" s="32"/>
      <c r="F746" s="32"/>
      <c r="G746" s="32"/>
      <c r="H746" s="32"/>
    </row>
    <row r="747" ht="15.75" customHeight="1">
      <c r="A747" s="32"/>
      <c r="C747" s="32"/>
      <c r="D747" s="32"/>
      <c r="E747" s="32"/>
      <c r="F747" s="32"/>
      <c r="G747" s="32"/>
      <c r="H747" s="32"/>
    </row>
    <row r="748" ht="15.75" customHeight="1">
      <c r="A748" s="32"/>
      <c r="C748" s="32"/>
      <c r="D748" s="32"/>
      <c r="E748" s="32"/>
      <c r="F748" s="32"/>
      <c r="G748" s="32"/>
      <c r="H748" s="32"/>
    </row>
    <row r="749" ht="15.75" customHeight="1">
      <c r="A749" s="32"/>
      <c r="C749" s="32"/>
      <c r="D749" s="32"/>
      <c r="E749" s="32"/>
      <c r="F749" s="32"/>
      <c r="G749" s="32"/>
      <c r="H749" s="32"/>
    </row>
    <row r="750" ht="15.75" customHeight="1">
      <c r="A750" s="32"/>
      <c r="C750" s="32"/>
      <c r="D750" s="32"/>
      <c r="E750" s="32"/>
      <c r="F750" s="32"/>
      <c r="G750" s="32"/>
      <c r="H750" s="32"/>
    </row>
    <row r="751" ht="15.75" customHeight="1">
      <c r="A751" s="32"/>
      <c r="C751" s="32"/>
      <c r="D751" s="32"/>
      <c r="E751" s="32"/>
      <c r="F751" s="32"/>
      <c r="G751" s="32"/>
      <c r="H751" s="32"/>
    </row>
    <row r="752" ht="15.75" customHeight="1">
      <c r="A752" s="32"/>
      <c r="C752" s="32"/>
      <c r="D752" s="32"/>
      <c r="E752" s="32"/>
      <c r="F752" s="32"/>
      <c r="G752" s="32"/>
      <c r="H752" s="32"/>
    </row>
    <row r="753" ht="15.75" customHeight="1">
      <c r="A753" s="32"/>
      <c r="C753" s="32"/>
      <c r="D753" s="32"/>
      <c r="E753" s="32"/>
      <c r="F753" s="32"/>
      <c r="G753" s="32"/>
      <c r="H753" s="32"/>
    </row>
    <row r="754" ht="15.75" customHeight="1">
      <c r="A754" s="32"/>
      <c r="C754" s="32"/>
      <c r="D754" s="32"/>
      <c r="E754" s="32"/>
      <c r="F754" s="32"/>
      <c r="G754" s="32"/>
      <c r="H754" s="32"/>
    </row>
    <row r="755" ht="15.75" customHeight="1">
      <c r="A755" s="32"/>
      <c r="C755" s="32"/>
      <c r="D755" s="32"/>
      <c r="E755" s="32"/>
      <c r="F755" s="32"/>
      <c r="G755" s="32"/>
      <c r="H755" s="32"/>
    </row>
    <row r="756" ht="15.75" customHeight="1">
      <c r="A756" s="32"/>
      <c r="C756" s="32"/>
      <c r="D756" s="32"/>
      <c r="E756" s="32"/>
      <c r="F756" s="32"/>
      <c r="G756" s="32"/>
      <c r="H756" s="32"/>
    </row>
    <row r="757" ht="15.75" customHeight="1">
      <c r="A757" s="32"/>
      <c r="C757" s="32"/>
      <c r="D757" s="32"/>
      <c r="E757" s="32"/>
      <c r="F757" s="32"/>
      <c r="G757" s="32"/>
      <c r="H757" s="32"/>
    </row>
    <row r="758" ht="15.75" customHeight="1">
      <c r="A758" s="32"/>
      <c r="C758" s="32"/>
      <c r="D758" s="32"/>
      <c r="E758" s="32"/>
      <c r="F758" s="32"/>
      <c r="G758" s="32"/>
      <c r="H758" s="32"/>
    </row>
    <row r="759" ht="15.75" customHeight="1">
      <c r="A759" s="32"/>
      <c r="C759" s="32"/>
      <c r="D759" s="32"/>
      <c r="E759" s="32"/>
      <c r="F759" s="32"/>
      <c r="G759" s="32"/>
      <c r="H759" s="32"/>
    </row>
    <row r="760" ht="15.75" customHeight="1">
      <c r="A760" s="32"/>
      <c r="C760" s="32"/>
      <c r="D760" s="32"/>
      <c r="E760" s="32"/>
      <c r="F760" s="32"/>
      <c r="G760" s="32"/>
      <c r="H760" s="32"/>
    </row>
    <row r="761" ht="15.75" customHeight="1">
      <c r="A761" s="32"/>
      <c r="C761" s="32"/>
      <c r="D761" s="32"/>
      <c r="E761" s="32"/>
      <c r="F761" s="32"/>
      <c r="G761" s="32"/>
      <c r="H761" s="32"/>
    </row>
    <row r="762" ht="15.75" customHeight="1">
      <c r="A762" s="32"/>
      <c r="C762" s="32"/>
      <c r="D762" s="32"/>
      <c r="E762" s="32"/>
      <c r="F762" s="32"/>
      <c r="G762" s="32"/>
      <c r="H762" s="32"/>
    </row>
    <row r="763" ht="15.75" customHeight="1">
      <c r="A763" s="32"/>
      <c r="C763" s="32"/>
      <c r="D763" s="32"/>
      <c r="E763" s="32"/>
      <c r="F763" s="32"/>
      <c r="G763" s="32"/>
      <c r="H763" s="32"/>
    </row>
    <row r="764" ht="15.75" customHeight="1">
      <c r="A764" s="32"/>
      <c r="C764" s="32"/>
      <c r="D764" s="32"/>
      <c r="E764" s="32"/>
      <c r="F764" s="32"/>
      <c r="G764" s="32"/>
      <c r="H764" s="32"/>
    </row>
    <row r="765" ht="15.75" customHeight="1">
      <c r="A765" s="32"/>
      <c r="C765" s="32"/>
      <c r="D765" s="32"/>
      <c r="E765" s="32"/>
      <c r="F765" s="32"/>
      <c r="G765" s="32"/>
      <c r="H765" s="32"/>
    </row>
    <row r="766" ht="15.75" customHeight="1">
      <c r="A766" s="32"/>
      <c r="C766" s="32"/>
      <c r="D766" s="32"/>
      <c r="E766" s="32"/>
      <c r="F766" s="32"/>
      <c r="G766" s="32"/>
      <c r="H766" s="32"/>
    </row>
    <row r="767" ht="15.75" customHeight="1">
      <c r="A767" s="32"/>
      <c r="C767" s="32"/>
      <c r="D767" s="32"/>
      <c r="E767" s="32"/>
      <c r="F767" s="32"/>
      <c r="G767" s="32"/>
      <c r="H767" s="32"/>
    </row>
    <row r="768" ht="15.75" customHeight="1">
      <c r="A768" s="32"/>
      <c r="C768" s="32"/>
      <c r="D768" s="32"/>
      <c r="E768" s="32"/>
      <c r="F768" s="32"/>
      <c r="G768" s="32"/>
      <c r="H768" s="32"/>
    </row>
    <row r="769" ht="15.75" customHeight="1">
      <c r="A769" s="32"/>
      <c r="C769" s="32"/>
      <c r="D769" s="32"/>
      <c r="E769" s="32"/>
      <c r="F769" s="32"/>
      <c r="G769" s="32"/>
      <c r="H769" s="32"/>
    </row>
    <row r="770" ht="15.75" customHeight="1">
      <c r="A770" s="32"/>
      <c r="C770" s="32"/>
      <c r="D770" s="32"/>
      <c r="E770" s="32"/>
      <c r="F770" s="32"/>
      <c r="G770" s="32"/>
      <c r="H770" s="32"/>
    </row>
    <row r="771" ht="15.75" customHeight="1">
      <c r="A771" s="32"/>
      <c r="C771" s="32"/>
      <c r="D771" s="32"/>
      <c r="E771" s="32"/>
      <c r="F771" s="32"/>
      <c r="G771" s="32"/>
      <c r="H771" s="32"/>
    </row>
    <row r="772" ht="15.75" customHeight="1">
      <c r="A772" s="32"/>
      <c r="C772" s="32"/>
      <c r="D772" s="32"/>
      <c r="E772" s="32"/>
      <c r="F772" s="32"/>
      <c r="G772" s="32"/>
      <c r="H772" s="32"/>
    </row>
    <row r="773" ht="15.75" customHeight="1">
      <c r="A773" s="32"/>
      <c r="C773" s="32"/>
      <c r="D773" s="32"/>
      <c r="E773" s="32"/>
      <c r="F773" s="32"/>
      <c r="G773" s="32"/>
      <c r="H773" s="32"/>
    </row>
    <row r="774" ht="15.75" customHeight="1">
      <c r="A774" s="32"/>
      <c r="C774" s="32"/>
      <c r="D774" s="32"/>
      <c r="E774" s="32"/>
      <c r="F774" s="32"/>
      <c r="G774" s="32"/>
      <c r="H774" s="32"/>
    </row>
    <row r="775" ht="15.75" customHeight="1">
      <c r="A775" s="32"/>
      <c r="C775" s="32"/>
      <c r="D775" s="32"/>
      <c r="E775" s="32"/>
      <c r="F775" s="32"/>
      <c r="G775" s="32"/>
      <c r="H775" s="32"/>
    </row>
    <row r="776" ht="15.75" customHeight="1">
      <c r="A776" s="32"/>
      <c r="C776" s="32"/>
      <c r="D776" s="32"/>
      <c r="E776" s="32"/>
      <c r="F776" s="32"/>
      <c r="G776" s="32"/>
      <c r="H776" s="32"/>
    </row>
    <row r="777" ht="15.75" customHeight="1">
      <c r="A777" s="32"/>
      <c r="C777" s="32"/>
      <c r="D777" s="32"/>
      <c r="E777" s="32"/>
      <c r="F777" s="32"/>
      <c r="G777" s="32"/>
      <c r="H777" s="32"/>
    </row>
    <row r="778" ht="15.75" customHeight="1">
      <c r="A778" s="32"/>
      <c r="C778" s="32"/>
      <c r="D778" s="32"/>
      <c r="E778" s="32"/>
      <c r="F778" s="32"/>
      <c r="G778" s="32"/>
      <c r="H778" s="32"/>
    </row>
    <row r="779" ht="15.75" customHeight="1">
      <c r="A779" s="32"/>
      <c r="C779" s="32"/>
      <c r="D779" s="32"/>
      <c r="E779" s="32"/>
      <c r="F779" s="32"/>
      <c r="G779" s="32"/>
      <c r="H779" s="32"/>
    </row>
    <row r="780" ht="15.75" customHeight="1">
      <c r="A780" s="32"/>
      <c r="C780" s="32"/>
      <c r="D780" s="32"/>
      <c r="E780" s="32"/>
      <c r="F780" s="32"/>
      <c r="G780" s="32"/>
      <c r="H780" s="32"/>
    </row>
    <row r="781" ht="15.75" customHeight="1">
      <c r="A781" s="32"/>
      <c r="C781" s="32"/>
      <c r="D781" s="32"/>
      <c r="E781" s="32"/>
      <c r="F781" s="32"/>
      <c r="G781" s="32"/>
      <c r="H781" s="32"/>
    </row>
    <row r="782" ht="15.75" customHeight="1">
      <c r="A782" s="32"/>
      <c r="C782" s="32"/>
      <c r="D782" s="32"/>
      <c r="E782" s="32"/>
      <c r="F782" s="32"/>
      <c r="G782" s="32"/>
      <c r="H782" s="32"/>
    </row>
    <row r="783" ht="15.75" customHeight="1">
      <c r="A783" s="32"/>
      <c r="C783" s="32"/>
      <c r="D783" s="32"/>
      <c r="E783" s="32"/>
      <c r="F783" s="32"/>
      <c r="G783" s="32"/>
      <c r="H783" s="32"/>
    </row>
    <row r="784" ht="15.75" customHeight="1">
      <c r="A784" s="32"/>
      <c r="C784" s="32"/>
      <c r="D784" s="32"/>
      <c r="E784" s="32"/>
      <c r="F784" s="32"/>
      <c r="G784" s="32"/>
      <c r="H784" s="32"/>
    </row>
    <row r="785" ht="15.75" customHeight="1">
      <c r="A785" s="32"/>
      <c r="C785" s="32"/>
      <c r="D785" s="32"/>
      <c r="E785" s="32"/>
      <c r="F785" s="32"/>
      <c r="G785" s="32"/>
      <c r="H785" s="32"/>
    </row>
    <row r="786" ht="15.75" customHeight="1">
      <c r="A786" s="32"/>
      <c r="C786" s="32"/>
      <c r="D786" s="32"/>
      <c r="E786" s="32"/>
      <c r="F786" s="32"/>
      <c r="G786" s="32"/>
      <c r="H786" s="32"/>
    </row>
    <row r="787" ht="15.75" customHeight="1">
      <c r="A787" s="32"/>
      <c r="C787" s="32"/>
      <c r="D787" s="32"/>
      <c r="E787" s="32"/>
      <c r="F787" s="32"/>
      <c r="G787" s="32"/>
      <c r="H787" s="32"/>
    </row>
    <row r="788" ht="15.75" customHeight="1">
      <c r="A788" s="32"/>
      <c r="C788" s="32"/>
      <c r="D788" s="32"/>
      <c r="E788" s="32"/>
      <c r="F788" s="32"/>
      <c r="G788" s="32"/>
      <c r="H788" s="32"/>
    </row>
    <row r="789" ht="15.75" customHeight="1">
      <c r="A789" s="32"/>
      <c r="C789" s="32"/>
      <c r="D789" s="32"/>
      <c r="E789" s="32"/>
      <c r="F789" s="32"/>
      <c r="G789" s="32"/>
      <c r="H789" s="32"/>
    </row>
    <row r="790" ht="15.75" customHeight="1">
      <c r="A790" s="32"/>
      <c r="C790" s="32"/>
      <c r="D790" s="32"/>
      <c r="E790" s="32"/>
      <c r="F790" s="32"/>
      <c r="G790" s="32"/>
      <c r="H790" s="32"/>
    </row>
    <row r="791" ht="15.75" customHeight="1">
      <c r="A791" s="32"/>
      <c r="C791" s="32"/>
      <c r="D791" s="32"/>
      <c r="E791" s="32"/>
      <c r="F791" s="32"/>
      <c r="G791" s="32"/>
      <c r="H791" s="32"/>
    </row>
    <row r="792" ht="15.75" customHeight="1">
      <c r="A792" s="32"/>
      <c r="C792" s="32"/>
      <c r="D792" s="32"/>
      <c r="E792" s="32"/>
      <c r="F792" s="32"/>
      <c r="G792" s="32"/>
      <c r="H792" s="32"/>
    </row>
    <row r="793" ht="15.75" customHeight="1">
      <c r="A793" s="32"/>
      <c r="C793" s="32"/>
      <c r="D793" s="32"/>
      <c r="E793" s="32"/>
      <c r="F793" s="32"/>
      <c r="G793" s="32"/>
      <c r="H793" s="32"/>
    </row>
    <row r="794" ht="15.75" customHeight="1">
      <c r="A794" s="32"/>
      <c r="C794" s="32"/>
      <c r="D794" s="32"/>
      <c r="E794" s="32"/>
      <c r="F794" s="32"/>
      <c r="G794" s="32"/>
      <c r="H794" s="32"/>
    </row>
    <row r="795" ht="15.75" customHeight="1">
      <c r="A795" s="32"/>
      <c r="C795" s="32"/>
      <c r="D795" s="32"/>
      <c r="E795" s="32"/>
      <c r="F795" s="32"/>
      <c r="G795" s="32"/>
      <c r="H795" s="32"/>
    </row>
    <row r="796" ht="15.75" customHeight="1">
      <c r="A796" s="32"/>
      <c r="C796" s="32"/>
      <c r="D796" s="32"/>
      <c r="E796" s="32"/>
      <c r="F796" s="32"/>
      <c r="G796" s="32"/>
      <c r="H796" s="32"/>
    </row>
    <row r="797" ht="15.75" customHeight="1">
      <c r="A797" s="32"/>
      <c r="C797" s="32"/>
      <c r="D797" s="32"/>
      <c r="E797" s="32"/>
      <c r="F797" s="32"/>
      <c r="G797" s="32"/>
      <c r="H797" s="32"/>
    </row>
    <row r="798" ht="15.75" customHeight="1">
      <c r="A798" s="32"/>
      <c r="C798" s="32"/>
      <c r="D798" s="32"/>
      <c r="E798" s="32"/>
      <c r="F798" s="32"/>
      <c r="G798" s="32"/>
      <c r="H798" s="32"/>
    </row>
    <row r="799" ht="15.75" customHeight="1">
      <c r="A799" s="32"/>
      <c r="C799" s="32"/>
      <c r="D799" s="32"/>
      <c r="E799" s="32"/>
      <c r="F799" s="32"/>
      <c r="G799" s="32"/>
      <c r="H799" s="32"/>
    </row>
    <row r="800" ht="15.75" customHeight="1">
      <c r="A800" s="32"/>
      <c r="C800" s="32"/>
      <c r="D800" s="32"/>
      <c r="E800" s="32"/>
      <c r="F800" s="32"/>
      <c r="G800" s="32"/>
      <c r="H800" s="32"/>
    </row>
    <row r="801" ht="15.75" customHeight="1">
      <c r="A801" s="32"/>
      <c r="C801" s="32"/>
      <c r="D801" s="32"/>
      <c r="E801" s="32"/>
      <c r="F801" s="32"/>
      <c r="G801" s="32"/>
      <c r="H801" s="32"/>
    </row>
    <row r="802" ht="15.75" customHeight="1">
      <c r="A802" s="32"/>
      <c r="C802" s="32"/>
      <c r="D802" s="32"/>
      <c r="E802" s="32"/>
      <c r="F802" s="32"/>
      <c r="G802" s="32"/>
      <c r="H802" s="32"/>
    </row>
    <row r="803" ht="15.75" customHeight="1">
      <c r="A803" s="32"/>
      <c r="C803" s="32"/>
      <c r="D803" s="32"/>
      <c r="E803" s="32"/>
      <c r="F803" s="32"/>
      <c r="G803" s="32"/>
      <c r="H803" s="32"/>
    </row>
    <row r="804" ht="15.75" customHeight="1">
      <c r="A804" s="32"/>
      <c r="C804" s="32"/>
      <c r="D804" s="32"/>
      <c r="E804" s="32"/>
      <c r="F804" s="32"/>
      <c r="G804" s="32"/>
      <c r="H804" s="32"/>
    </row>
    <row r="805" ht="15.75" customHeight="1">
      <c r="A805" s="32"/>
      <c r="C805" s="32"/>
      <c r="D805" s="32"/>
      <c r="E805" s="32"/>
      <c r="F805" s="32"/>
      <c r="G805" s="32"/>
      <c r="H805" s="32"/>
    </row>
    <row r="806" ht="15.75" customHeight="1">
      <c r="A806" s="32"/>
      <c r="C806" s="32"/>
      <c r="D806" s="32"/>
      <c r="E806" s="32"/>
      <c r="F806" s="32"/>
      <c r="G806" s="32"/>
      <c r="H806" s="32"/>
    </row>
    <row r="807" ht="15.75" customHeight="1">
      <c r="A807" s="32"/>
      <c r="C807" s="32"/>
      <c r="D807" s="32"/>
      <c r="E807" s="32"/>
      <c r="F807" s="32"/>
      <c r="G807" s="32"/>
      <c r="H807" s="32"/>
    </row>
    <row r="808" ht="15.75" customHeight="1">
      <c r="A808" s="32"/>
      <c r="C808" s="32"/>
      <c r="D808" s="32"/>
      <c r="E808" s="32"/>
      <c r="F808" s="32"/>
      <c r="G808" s="32"/>
      <c r="H808" s="32"/>
    </row>
    <row r="809" ht="15.75" customHeight="1">
      <c r="A809" s="32"/>
      <c r="C809" s="32"/>
      <c r="D809" s="32"/>
      <c r="E809" s="32"/>
      <c r="F809" s="32"/>
      <c r="G809" s="32"/>
      <c r="H809" s="32"/>
    </row>
    <row r="810" ht="15.75" customHeight="1">
      <c r="A810" s="32"/>
      <c r="C810" s="32"/>
      <c r="D810" s="32"/>
      <c r="E810" s="32"/>
      <c r="F810" s="32"/>
      <c r="G810" s="32"/>
      <c r="H810" s="32"/>
    </row>
    <row r="811" ht="15.75" customHeight="1">
      <c r="A811" s="32"/>
      <c r="C811" s="32"/>
      <c r="D811" s="32"/>
      <c r="E811" s="32"/>
      <c r="F811" s="32"/>
      <c r="G811" s="32"/>
      <c r="H811" s="32"/>
    </row>
    <row r="812" ht="15.75" customHeight="1">
      <c r="A812" s="32"/>
      <c r="C812" s="32"/>
      <c r="D812" s="32"/>
      <c r="E812" s="32"/>
      <c r="F812" s="32"/>
      <c r="G812" s="32"/>
      <c r="H812" s="32"/>
    </row>
    <row r="813" ht="15.75" customHeight="1">
      <c r="A813" s="32"/>
      <c r="C813" s="32"/>
      <c r="D813" s="32"/>
      <c r="E813" s="32"/>
      <c r="F813" s="32"/>
      <c r="G813" s="32"/>
      <c r="H813" s="32"/>
    </row>
    <row r="814" ht="15.75" customHeight="1">
      <c r="A814" s="32"/>
      <c r="C814" s="32"/>
      <c r="D814" s="32"/>
      <c r="E814" s="32"/>
      <c r="F814" s="32"/>
      <c r="G814" s="32"/>
      <c r="H814" s="32"/>
    </row>
    <row r="815" ht="15.75" customHeight="1">
      <c r="A815" s="32"/>
      <c r="C815" s="32"/>
      <c r="D815" s="32"/>
      <c r="E815" s="32"/>
      <c r="F815" s="32"/>
      <c r="G815" s="32"/>
      <c r="H815" s="32"/>
    </row>
    <row r="816" ht="15.75" customHeight="1">
      <c r="A816" s="32"/>
      <c r="C816" s="32"/>
      <c r="D816" s="32"/>
      <c r="E816" s="32"/>
      <c r="F816" s="32"/>
      <c r="G816" s="32"/>
      <c r="H816" s="32"/>
    </row>
    <row r="817" ht="15.75" customHeight="1">
      <c r="A817" s="32"/>
      <c r="C817" s="32"/>
      <c r="D817" s="32"/>
      <c r="E817" s="32"/>
      <c r="F817" s="32"/>
      <c r="G817" s="32"/>
      <c r="H817" s="32"/>
    </row>
    <row r="818" ht="15.75" customHeight="1">
      <c r="A818" s="32"/>
      <c r="C818" s="32"/>
      <c r="D818" s="32"/>
      <c r="E818" s="32"/>
      <c r="F818" s="32"/>
      <c r="G818" s="32"/>
      <c r="H818" s="32"/>
    </row>
    <row r="819" ht="15.75" customHeight="1">
      <c r="A819" s="32"/>
      <c r="C819" s="32"/>
      <c r="D819" s="32"/>
      <c r="E819" s="32"/>
      <c r="F819" s="32"/>
      <c r="G819" s="32"/>
      <c r="H819" s="32"/>
    </row>
    <row r="820" ht="15.75" customHeight="1">
      <c r="A820" s="32"/>
      <c r="C820" s="32"/>
      <c r="D820" s="32"/>
      <c r="E820" s="32"/>
      <c r="F820" s="32"/>
      <c r="G820" s="32"/>
      <c r="H820" s="32"/>
    </row>
    <row r="821" ht="15.75" customHeight="1">
      <c r="A821" s="32"/>
      <c r="C821" s="32"/>
      <c r="D821" s="32"/>
      <c r="E821" s="32"/>
      <c r="F821" s="32"/>
      <c r="G821" s="32"/>
      <c r="H821" s="32"/>
    </row>
    <row r="822" ht="15.75" customHeight="1">
      <c r="A822" s="32"/>
      <c r="C822" s="32"/>
      <c r="D822" s="32"/>
      <c r="E822" s="32"/>
      <c r="F822" s="32"/>
      <c r="G822" s="32"/>
      <c r="H822" s="32"/>
    </row>
    <row r="823" ht="15.75" customHeight="1">
      <c r="A823" s="32"/>
      <c r="C823" s="32"/>
      <c r="D823" s="32"/>
      <c r="E823" s="32"/>
      <c r="F823" s="32"/>
      <c r="G823" s="32"/>
      <c r="H823" s="32"/>
    </row>
    <row r="824" ht="15.75" customHeight="1">
      <c r="A824" s="32"/>
      <c r="C824" s="32"/>
      <c r="D824" s="32"/>
      <c r="E824" s="32"/>
      <c r="F824" s="32"/>
      <c r="G824" s="32"/>
      <c r="H824" s="32"/>
    </row>
    <row r="825" ht="15.75" customHeight="1">
      <c r="A825" s="32"/>
      <c r="C825" s="32"/>
      <c r="D825" s="32"/>
      <c r="E825" s="32"/>
      <c r="F825" s="32"/>
      <c r="G825" s="32"/>
      <c r="H825" s="32"/>
    </row>
    <row r="826" ht="15.75" customHeight="1">
      <c r="A826" s="32"/>
      <c r="C826" s="32"/>
      <c r="D826" s="32"/>
      <c r="E826" s="32"/>
      <c r="F826" s="32"/>
      <c r="G826" s="32"/>
      <c r="H826" s="32"/>
    </row>
    <row r="827" ht="15.75" customHeight="1">
      <c r="A827" s="32"/>
      <c r="C827" s="32"/>
      <c r="D827" s="32"/>
      <c r="E827" s="32"/>
      <c r="F827" s="32"/>
      <c r="G827" s="32"/>
      <c r="H827" s="32"/>
    </row>
    <row r="828" ht="15.75" customHeight="1">
      <c r="A828" s="32"/>
      <c r="C828" s="32"/>
      <c r="D828" s="32"/>
      <c r="E828" s="32"/>
      <c r="F828" s="32"/>
      <c r="G828" s="32"/>
      <c r="H828" s="32"/>
    </row>
    <row r="829" ht="15.75" customHeight="1">
      <c r="A829" s="32"/>
      <c r="C829" s="32"/>
      <c r="D829" s="32"/>
      <c r="E829" s="32"/>
      <c r="F829" s="32"/>
      <c r="G829" s="32"/>
      <c r="H829" s="32"/>
    </row>
    <row r="830" ht="15.75" customHeight="1">
      <c r="A830" s="32"/>
      <c r="C830" s="32"/>
      <c r="D830" s="32"/>
      <c r="E830" s="32"/>
      <c r="F830" s="32"/>
      <c r="G830" s="32"/>
      <c r="H830" s="32"/>
    </row>
    <row r="831" ht="15.75" customHeight="1">
      <c r="A831" s="32"/>
      <c r="C831" s="32"/>
      <c r="D831" s="32"/>
      <c r="E831" s="32"/>
      <c r="F831" s="32"/>
      <c r="G831" s="32"/>
      <c r="H831" s="32"/>
    </row>
    <row r="832" ht="15.75" customHeight="1">
      <c r="A832" s="32"/>
      <c r="C832" s="32"/>
      <c r="D832" s="32"/>
      <c r="E832" s="32"/>
      <c r="F832" s="32"/>
      <c r="G832" s="32"/>
      <c r="H832" s="32"/>
    </row>
    <row r="833" ht="15.75" customHeight="1">
      <c r="A833" s="32"/>
      <c r="C833" s="32"/>
      <c r="D833" s="32"/>
      <c r="E833" s="32"/>
      <c r="F833" s="32"/>
      <c r="G833" s="32"/>
      <c r="H833" s="32"/>
    </row>
    <row r="834" ht="15.75" customHeight="1">
      <c r="A834" s="32"/>
      <c r="C834" s="32"/>
      <c r="D834" s="32"/>
      <c r="E834" s="32"/>
      <c r="F834" s="32"/>
      <c r="G834" s="32"/>
      <c r="H834" s="32"/>
    </row>
    <row r="835" ht="15.75" customHeight="1">
      <c r="A835" s="32"/>
      <c r="C835" s="32"/>
      <c r="D835" s="32"/>
      <c r="E835" s="32"/>
      <c r="F835" s="32"/>
      <c r="G835" s="32"/>
      <c r="H835" s="32"/>
    </row>
    <row r="836" ht="15.75" customHeight="1">
      <c r="A836" s="32"/>
      <c r="C836" s="32"/>
      <c r="D836" s="32"/>
      <c r="E836" s="32"/>
      <c r="F836" s="32"/>
      <c r="G836" s="32"/>
      <c r="H836" s="32"/>
    </row>
    <row r="837" ht="15.75" customHeight="1">
      <c r="A837" s="32"/>
      <c r="C837" s="32"/>
      <c r="D837" s="32"/>
      <c r="E837" s="32"/>
      <c r="F837" s="32"/>
      <c r="G837" s="32"/>
      <c r="H837" s="32"/>
    </row>
    <row r="838" ht="15.75" customHeight="1">
      <c r="A838" s="32"/>
      <c r="C838" s="32"/>
      <c r="D838" s="32"/>
      <c r="E838" s="32"/>
      <c r="F838" s="32"/>
      <c r="G838" s="32"/>
      <c r="H838" s="32"/>
    </row>
    <row r="839" ht="15.75" customHeight="1">
      <c r="A839" s="32"/>
      <c r="C839" s="32"/>
      <c r="D839" s="32"/>
      <c r="E839" s="32"/>
      <c r="F839" s="32"/>
      <c r="G839" s="32"/>
      <c r="H839" s="32"/>
    </row>
    <row r="840" ht="15.75" customHeight="1">
      <c r="A840" s="32"/>
      <c r="C840" s="32"/>
      <c r="D840" s="32"/>
      <c r="E840" s="32"/>
      <c r="F840" s="32"/>
      <c r="G840" s="32"/>
      <c r="H840" s="32"/>
    </row>
    <row r="841" ht="15.75" customHeight="1">
      <c r="A841" s="32"/>
      <c r="C841" s="32"/>
      <c r="D841" s="32"/>
      <c r="E841" s="32"/>
      <c r="F841" s="32"/>
      <c r="G841" s="32"/>
      <c r="H841" s="32"/>
    </row>
    <row r="842" ht="15.75" customHeight="1">
      <c r="A842" s="32"/>
      <c r="C842" s="32"/>
      <c r="D842" s="32"/>
      <c r="E842" s="32"/>
      <c r="F842" s="32"/>
      <c r="G842" s="32"/>
      <c r="H842" s="32"/>
    </row>
    <row r="843" ht="15.75" customHeight="1">
      <c r="A843" s="32"/>
      <c r="C843" s="32"/>
      <c r="D843" s="32"/>
      <c r="E843" s="32"/>
      <c r="F843" s="32"/>
      <c r="G843" s="32"/>
      <c r="H843" s="32"/>
    </row>
    <row r="844" ht="15.75" customHeight="1">
      <c r="A844" s="32"/>
      <c r="C844" s="32"/>
      <c r="D844" s="32"/>
      <c r="E844" s="32"/>
      <c r="F844" s="32"/>
      <c r="G844" s="32"/>
      <c r="H844" s="32"/>
    </row>
    <row r="845" ht="15.75" customHeight="1">
      <c r="A845" s="32"/>
      <c r="C845" s="32"/>
      <c r="D845" s="32"/>
      <c r="E845" s="32"/>
      <c r="F845" s="32"/>
      <c r="G845" s="32"/>
      <c r="H845" s="32"/>
    </row>
    <row r="846" ht="15.75" customHeight="1">
      <c r="A846" s="32"/>
      <c r="C846" s="32"/>
      <c r="D846" s="32"/>
      <c r="E846" s="32"/>
      <c r="F846" s="32"/>
      <c r="G846" s="32"/>
      <c r="H846" s="32"/>
    </row>
    <row r="847" ht="15.75" customHeight="1">
      <c r="A847" s="32"/>
      <c r="C847" s="32"/>
      <c r="D847" s="32"/>
      <c r="E847" s="32"/>
      <c r="F847" s="32"/>
      <c r="G847" s="32"/>
      <c r="H847" s="32"/>
    </row>
    <row r="848" ht="15.75" customHeight="1">
      <c r="A848" s="32"/>
      <c r="C848" s="32"/>
      <c r="D848" s="32"/>
      <c r="E848" s="32"/>
      <c r="F848" s="32"/>
      <c r="G848" s="32"/>
      <c r="H848" s="32"/>
    </row>
    <row r="849" ht="15.75" customHeight="1">
      <c r="A849" s="32"/>
      <c r="C849" s="32"/>
      <c r="D849" s="32"/>
      <c r="E849" s="32"/>
      <c r="F849" s="32"/>
      <c r="G849" s="32"/>
      <c r="H849" s="32"/>
    </row>
    <row r="850" ht="15.75" customHeight="1">
      <c r="A850" s="32"/>
      <c r="C850" s="32"/>
      <c r="D850" s="32"/>
      <c r="E850" s="32"/>
      <c r="F850" s="32"/>
      <c r="G850" s="32"/>
      <c r="H850" s="32"/>
    </row>
    <row r="851" ht="15.75" customHeight="1">
      <c r="A851" s="32"/>
      <c r="C851" s="32"/>
      <c r="D851" s="32"/>
      <c r="E851" s="32"/>
      <c r="F851" s="32"/>
      <c r="G851" s="32"/>
      <c r="H851" s="32"/>
    </row>
    <row r="852" ht="15.75" customHeight="1">
      <c r="A852" s="32"/>
      <c r="C852" s="32"/>
      <c r="D852" s="32"/>
      <c r="E852" s="32"/>
      <c r="F852" s="32"/>
      <c r="G852" s="32"/>
      <c r="H852" s="32"/>
    </row>
    <row r="853" ht="15.75" customHeight="1">
      <c r="A853" s="32"/>
      <c r="C853" s="32"/>
      <c r="D853" s="32"/>
      <c r="E853" s="32"/>
      <c r="F853" s="32"/>
      <c r="G853" s="32"/>
      <c r="H853" s="32"/>
    </row>
    <row r="854" ht="15.75" customHeight="1">
      <c r="A854" s="32"/>
      <c r="C854" s="32"/>
      <c r="D854" s="32"/>
      <c r="E854" s="32"/>
      <c r="F854" s="32"/>
      <c r="G854" s="32"/>
      <c r="H854" s="32"/>
    </row>
    <row r="855" ht="15.75" customHeight="1">
      <c r="A855" s="32"/>
      <c r="C855" s="32"/>
      <c r="D855" s="32"/>
      <c r="E855" s="32"/>
      <c r="F855" s="32"/>
      <c r="G855" s="32"/>
      <c r="H855" s="32"/>
    </row>
    <row r="856" ht="15.75" customHeight="1">
      <c r="A856" s="32"/>
      <c r="C856" s="32"/>
      <c r="D856" s="32"/>
      <c r="E856" s="32"/>
      <c r="F856" s="32"/>
      <c r="G856" s="32"/>
      <c r="H856" s="32"/>
    </row>
    <row r="857" ht="15.75" customHeight="1">
      <c r="A857" s="32"/>
      <c r="C857" s="32"/>
      <c r="D857" s="32"/>
      <c r="E857" s="32"/>
      <c r="F857" s="32"/>
      <c r="G857" s="32"/>
      <c r="H857" s="32"/>
    </row>
    <row r="858" ht="15.75" customHeight="1">
      <c r="A858" s="32"/>
      <c r="C858" s="32"/>
      <c r="D858" s="32"/>
      <c r="E858" s="32"/>
      <c r="F858" s="32"/>
      <c r="G858" s="32"/>
      <c r="H858" s="32"/>
    </row>
    <row r="859" ht="15.75" customHeight="1">
      <c r="A859" s="32"/>
      <c r="C859" s="32"/>
      <c r="D859" s="32"/>
      <c r="E859" s="32"/>
      <c r="F859" s="32"/>
      <c r="G859" s="32"/>
      <c r="H859" s="32"/>
    </row>
    <row r="860" ht="15.75" customHeight="1">
      <c r="A860" s="32"/>
      <c r="C860" s="32"/>
      <c r="D860" s="32"/>
      <c r="E860" s="32"/>
      <c r="F860" s="32"/>
      <c r="G860" s="32"/>
      <c r="H860" s="32"/>
    </row>
    <row r="861" ht="15.75" customHeight="1">
      <c r="A861" s="32"/>
      <c r="C861" s="32"/>
      <c r="D861" s="32"/>
      <c r="E861" s="32"/>
      <c r="F861" s="32"/>
      <c r="G861" s="32"/>
      <c r="H861" s="32"/>
    </row>
    <row r="862" ht="15.75" customHeight="1">
      <c r="A862" s="32"/>
      <c r="C862" s="32"/>
      <c r="D862" s="32"/>
      <c r="E862" s="32"/>
      <c r="F862" s="32"/>
      <c r="G862" s="32"/>
      <c r="H862" s="32"/>
    </row>
    <row r="863" ht="15.75" customHeight="1">
      <c r="A863" s="32"/>
      <c r="C863" s="32"/>
      <c r="D863" s="32"/>
      <c r="E863" s="32"/>
      <c r="F863" s="32"/>
      <c r="G863" s="32"/>
      <c r="H863" s="32"/>
    </row>
    <row r="864" ht="15.75" customHeight="1">
      <c r="A864" s="32"/>
      <c r="C864" s="32"/>
      <c r="D864" s="32"/>
      <c r="E864" s="32"/>
      <c r="F864" s="32"/>
      <c r="G864" s="32"/>
      <c r="H864" s="32"/>
    </row>
    <row r="865" ht="15.75" customHeight="1">
      <c r="A865" s="32"/>
      <c r="C865" s="32"/>
      <c r="D865" s="32"/>
      <c r="E865" s="32"/>
      <c r="F865" s="32"/>
      <c r="G865" s="32"/>
      <c r="H865" s="32"/>
    </row>
    <row r="866" ht="15.75" customHeight="1">
      <c r="A866" s="32"/>
      <c r="C866" s="32"/>
      <c r="D866" s="32"/>
      <c r="E866" s="32"/>
      <c r="F866" s="32"/>
      <c r="G866" s="32"/>
      <c r="H866" s="32"/>
    </row>
    <row r="867" ht="15.75" customHeight="1">
      <c r="A867" s="32"/>
      <c r="C867" s="32"/>
      <c r="D867" s="32"/>
      <c r="E867" s="32"/>
      <c r="F867" s="32"/>
      <c r="G867" s="32"/>
      <c r="H867" s="32"/>
    </row>
    <row r="868" ht="15.75" customHeight="1">
      <c r="A868" s="32"/>
      <c r="C868" s="32"/>
      <c r="D868" s="32"/>
      <c r="E868" s="32"/>
      <c r="F868" s="32"/>
      <c r="G868" s="32"/>
      <c r="H868" s="32"/>
    </row>
    <row r="869" ht="15.75" customHeight="1">
      <c r="A869" s="32"/>
      <c r="C869" s="32"/>
      <c r="D869" s="32"/>
      <c r="E869" s="32"/>
      <c r="F869" s="32"/>
      <c r="G869" s="32"/>
      <c r="H869" s="32"/>
    </row>
    <row r="870" ht="15.75" customHeight="1">
      <c r="A870" s="32"/>
      <c r="C870" s="32"/>
      <c r="D870" s="32"/>
      <c r="E870" s="32"/>
      <c r="F870" s="32"/>
      <c r="G870" s="32"/>
      <c r="H870" s="32"/>
    </row>
    <row r="871" ht="15.75" customHeight="1">
      <c r="A871" s="32"/>
      <c r="C871" s="32"/>
      <c r="D871" s="32"/>
      <c r="E871" s="32"/>
      <c r="F871" s="32"/>
      <c r="G871" s="32"/>
      <c r="H871" s="32"/>
    </row>
    <row r="872" ht="15.75" customHeight="1">
      <c r="A872" s="32"/>
      <c r="C872" s="32"/>
      <c r="D872" s="32"/>
      <c r="E872" s="32"/>
      <c r="F872" s="32"/>
      <c r="G872" s="32"/>
      <c r="H872" s="32"/>
    </row>
    <row r="873" ht="15.75" customHeight="1">
      <c r="A873" s="32"/>
      <c r="C873" s="32"/>
      <c r="D873" s="32"/>
      <c r="E873" s="32"/>
      <c r="F873" s="32"/>
      <c r="G873" s="32"/>
      <c r="H873" s="32"/>
    </row>
    <row r="874" ht="15.75" customHeight="1">
      <c r="A874" s="32"/>
      <c r="C874" s="32"/>
      <c r="D874" s="32"/>
      <c r="E874" s="32"/>
      <c r="F874" s="32"/>
      <c r="G874" s="32"/>
      <c r="H874" s="32"/>
    </row>
    <row r="875" ht="15.75" customHeight="1">
      <c r="A875" s="32"/>
      <c r="C875" s="32"/>
      <c r="D875" s="32"/>
      <c r="E875" s="32"/>
      <c r="F875" s="32"/>
      <c r="G875" s="32"/>
      <c r="H875" s="32"/>
    </row>
    <row r="876" ht="15.75" customHeight="1">
      <c r="A876" s="32"/>
      <c r="C876" s="32"/>
      <c r="D876" s="32"/>
      <c r="E876" s="32"/>
      <c r="F876" s="32"/>
      <c r="G876" s="32"/>
      <c r="H876" s="32"/>
    </row>
    <row r="877" ht="15.75" customHeight="1">
      <c r="A877" s="32"/>
      <c r="C877" s="32"/>
      <c r="D877" s="32"/>
      <c r="E877" s="32"/>
      <c r="F877" s="32"/>
      <c r="G877" s="32"/>
      <c r="H877" s="32"/>
    </row>
    <row r="878" ht="15.75" customHeight="1">
      <c r="A878" s="32"/>
      <c r="C878" s="32"/>
      <c r="D878" s="32"/>
      <c r="E878" s="32"/>
      <c r="F878" s="32"/>
      <c r="G878" s="32"/>
      <c r="H878" s="32"/>
    </row>
    <row r="879" ht="15.75" customHeight="1">
      <c r="A879" s="32"/>
      <c r="C879" s="32"/>
      <c r="D879" s="32"/>
      <c r="E879" s="32"/>
      <c r="F879" s="32"/>
      <c r="G879" s="32"/>
      <c r="H879" s="32"/>
    </row>
    <row r="880" ht="15.75" customHeight="1">
      <c r="A880" s="32"/>
      <c r="C880" s="32"/>
      <c r="D880" s="32"/>
      <c r="E880" s="32"/>
      <c r="F880" s="32"/>
      <c r="G880" s="32"/>
      <c r="H880" s="32"/>
    </row>
    <row r="881" ht="15.75" customHeight="1">
      <c r="A881" s="32"/>
      <c r="C881" s="32"/>
      <c r="D881" s="32"/>
      <c r="E881" s="32"/>
      <c r="F881" s="32"/>
      <c r="G881" s="32"/>
      <c r="H881" s="32"/>
    </row>
    <row r="882" ht="15.75" customHeight="1">
      <c r="A882" s="32"/>
      <c r="C882" s="32"/>
      <c r="D882" s="32"/>
      <c r="E882" s="32"/>
      <c r="F882" s="32"/>
      <c r="G882" s="32"/>
      <c r="H882" s="32"/>
    </row>
    <row r="883" ht="15.75" customHeight="1">
      <c r="A883" s="32"/>
      <c r="C883" s="32"/>
      <c r="D883" s="32"/>
      <c r="E883" s="32"/>
      <c r="F883" s="32"/>
      <c r="G883" s="32"/>
      <c r="H883" s="32"/>
    </row>
    <row r="884" ht="15.75" customHeight="1">
      <c r="A884" s="32"/>
      <c r="C884" s="32"/>
      <c r="D884" s="32"/>
      <c r="E884" s="32"/>
      <c r="F884" s="32"/>
      <c r="G884" s="32"/>
      <c r="H884" s="32"/>
    </row>
    <row r="885" ht="15.75" customHeight="1">
      <c r="A885" s="32"/>
      <c r="C885" s="32"/>
      <c r="D885" s="32"/>
      <c r="E885" s="32"/>
      <c r="F885" s="32"/>
      <c r="G885" s="32"/>
      <c r="H885" s="32"/>
    </row>
    <row r="886" ht="15.75" customHeight="1">
      <c r="A886" s="32"/>
      <c r="C886" s="32"/>
      <c r="D886" s="32"/>
      <c r="E886" s="32"/>
      <c r="F886" s="32"/>
      <c r="G886" s="32"/>
      <c r="H886" s="32"/>
    </row>
    <row r="887" ht="15.75" customHeight="1">
      <c r="A887" s="32"/>
      <c r="C887" s="32"/>
      <c r="D887" s="32"/>
      <c r="E887" s="32"/>
      <c r="F887" s="32"/>
      <c r="G887" s="32"/>
      <c r="H887" s="32"/>
    </row>
    <row r="888" ht="15.75" customHeight="1">
      <c r="A888" s="32"/>
      <c r="C888" s="32"/>
      <c r="D888" s="32"/>
      <c r="E888" s="32"/>
      <c r="F888" s="32"/>
      <c r="G888" s="32"/>
      <c r="H888" s="32"/>
    </row>
    <row r="889" ht="15.75" customHeight="1">
      <c r="A889" s="32"/>
      <c r="C889" s="32"/>
      <c r="D889" s="32"/>
      <c r="E889" s="32"/>
      <c r="F889" s="32"/>
      <c r="G889" s="32"/>
      <c r="H889" s="32"/>
    </row>
    <row r="890" ht="15.75" customHeight="1">
      <c r="A890" s="32"/>
      <c r="C890" s="32"/>
      <c r="D890" s="32"/>
      <c r="E890" s="32"/>
      <c r="F890" s="32"/>
      <c r="G890" s="32"/>
      <c r="H890" s="32"/>
    </row>
    <row r="891" ht="15.75" customHeight="1">
      <c r="A891" s="32"/>
      <c r="C891" s="32"/>
      <c r="D891" s="32"/>
      <c r="E891" s="32"/>
      <c r="F891" s="32"/>
      <c r="G891" s="32"/>
      <c r="H891" s="32"/>
    </row>
    <row r="892" ht="15.75" customHeight="1">
      <c r="A892" s="32"/>
      <c r="C892" s="32"/>
      <c r="D892" s="32"/>
      <c r="E892" s="32"/>
      <c r="F892" s="32"/>
      <c r="G892" s="32"/>
      <c r="H892" s="32"/>
    </row>
    <row r="893" ht="15.75" customHeight="1">
      <c r="A893" s="32"/>
      <c r="C893" s="32"/>
      <c r="D893" s="32"/>
      <c r="E893" s="32"/>
      <c r="F893" s="32"/>
      <c r="G893" s="32"/>
      <c r="H893" s="32"/>
    </row>
    <row r="894" ht="15.75" customHeight="1">
      <c r="A894" s="32"/>
      <c r="C894" s="32"/>
      <c r="D894" s="32"/>
      <c r="E894" s="32"/>
      <c r="F894" s="32"/>
      <c r="G894" s="32"/>
      <c r="H894" s="32"/>
    </row>
    <row r="895" ht="15.75" customHeight="1">
      <c r="A895" s="32"/>
      <c r="C895" s="32"/>
      <c r="D895" s="32"/>
      <c r="E895" s="32"/>
      <c r="F895" s="32"/>
      <c r="G895" s="32"/>
      <c r="H895" s="32"/>
    </row>
    <row r="896" ht="15.75" customHeight="1">
      <c r="A896" s="32"/>
      <c r="C896" s="32"/>
      <c r="D896" s="32"/>
      <c r="E896" s="32"/>
      <c r="F896" s="32"/>
      <c r="G896" s="32"/>
      <c r="H896" s="32"/>
    </row>
    <row r="897" ht="15.75" customHeight="1">
      <c r="A897" s="32"/>
      <c r="C897" s="32"/>
      <c r="D897" s="32"/>
      <c r="E897" s="32"/>
      <c r="F897" s="32"/>
      <c r="G897" s="32"/>
      <c r="H897" s="32"/>
    </row>
    <row r="898" ht="15.75" customHeight="1">
      <c r="A898" s="32"/>
      <c r="C898" s="32"/>
      <c r="D898" s="32"/>
      <c r="E898" s="32"/>
      <c r="F898" s="32"/>
      <c r="G898" s="32"/>
      <c r="H898" s="32"/>
    </row>
    <row r="899" ht="15.75" customHeight="1">
      <c r="A899" s="32"/>
      <c r="C899" s="32"/>
      <c r="D899" s="32"/>
      <c r="E899" s="32"/>
      <c r="F899" s="32"/>
      <c r="G899" s="32"/>
      <c r="H899" s="32"/>
    </row>
    <row r="900" ht="15.75" customHeight="1">
      <c r="A900" s="32"/>
      <c r="C900" s="32"/>
      <c r="D900" s="32"/>
      <c r="E900" s="32"/>
      <c r="F900" s="32"/>
      <c r="G900" s="32"/>
      <c r="H900" s="32"/>
    </row>
    <row r="901" ht="15.75" customHeight="1">
      <c r="A901" s="32"/>
      <c r="C901" s="32"/>
      <c r="D901" s="32"/>
      <c r="E901" s="32"/>
      <c r="F901" s="32"/>
      <c r="G901" s="32"/>
      <c r="H901" s="32"/>
    </row>
    <row r="902" ht="15.75" customHeight="1">
      <c r="A902" s="32"/>
      <c r="C902" s="32"/>
      <c r="D902" s="32"/>
      <c r="E902" s="32"/>
      <c r="F902" s="32"/>
      <c r="G902" s="32"/>
      <c r="H902" s="32"/>
    </row>
    <row r="903" ht="15.75" customHeight="1">
      <c r="A903" s="32"/>
      <c r="C903" s="32"/>
      <c r="D903" s="32"/>
      <c r="E903" s="32"/>
      <c r="F903" s="32"/>
      <c r="G903" s="32"/>
      <c r="H903" s="32"/>
    </row>
    <row r="904" ht="15.75" customHeight="1">
      <c r="A904" s="32"/>
      <c r="C904" s="32"/>
      <c r="D904" s="32"/>
      <c r="E904" s="32"/>
      <c r="F904" s="32"/>
      <c r="G904" s="32"/>
      <c r="H904" s="32"/>
    </row>
    <row r="905" ht="15.75" customHeight="1">
      <c r="A905" s="32"/>
      <c r="C905" s="32"/>
      <c r="D905" s="32"/>
      <c r="E905" s="32"/>
      <c r="F905" s="32"/>
      <c r="G905" s="32"/>
      <c r="H905" s="32"/>
    </row>
    <row r="906" ht="15.75" customHeight="1">
      <c r="A906" s="32"/>
      <c r="C906" s="32"/>
      <c r="D906" s="32"/>
      <c r="E906" s="32"/>
      <c r="F906" s="32"/>
      <c r="G906" s="32"/>
      <c r="H906" s="32"/>
    </row>
    <row r="907" ht="15.75" customHeight="1">
      <c r="A907" s="32"/>
      <c r="C907" s="32"/>
      <c r="D907" s="32"/>
      <c r="E907" s="32"/>
      <c r="F907" s="32"/>
      <c r="G907" s="32"/>
      <c r="H907" s="32"/>
    </row>
    <row r="908" ht="15.75" customHeight="1">
      <c r="A908" s="32"/>
      <c r="C908" s="32"/>
      <c r="D908" s="32"/>
      <c r="E908" s="32"/>
      <c r="F908" s="32"/>
      <c r="G908" s="32"/>
      <c r="H908" s="32"/>
    </row>
    <row r="909" ht="15.75" customHeight="1">
      <c r="A909" s="32"/>
      <c r="C909" s="32"/>
      <c r="D909" s="32"/>
      <c r="E909" s="32"/>
      <c r="F909" s="32"/>
      <c r="G909" s="32"/>
      <c r="H909" s="32"/>
    </row>
    <row r="910" ht="15.75" customHeight="1">
      <c r="A910" s="32"/>
      <c r="C910" s="32"/>
      <c r="D910" s="32"/>
      <c r="E910" s="32"/>
      <c r="F910" s="32"/>
      <c r="G910" s="32"/>
      <c r="H910" s="32"/>
    </row>
    <row r="911" ht="15.75" customHeight="1">
      <c r="A911" s="32"/>
      <c r="C911" s="32"/>
      <c r="D911" s="32"/>
      <c r="E911" s="32"/>
      <c r="F911" s="32"/>
      <c r="G911" s="32"/>
      <c r="H911" s="32"/>
    </row>
    <row r="912" ht="15.75" customHeight="1">
      <c r="A912" s="32"/>
      <c r="C912" s="32"/>
      <c r="D912" s="32"/>
      <c r="E912" s="32"/>
      <c r="F912" s="32"/>
      <c r="G912" s="32"/>
      <c r="H912" s="32"/>
    </row>
    <row r="913" ht="15.75" customHeight="1">
      <c r="A913" s="32"/>
      <c r="C913" s="32"/>
      <c r="D913" s="32"/>
      <c r="E913" s="32"/>
      <c r="F913" s="32"/>
      <c r="G913" s="32"/>
      <c r="H913" s="32"/>
    </row>
    <row r="914" ht="15.75" customHeight="1">
      <c r="A914" s="32"/>
      <c r="C914" s="32"/>
      <c r="D914" s="32"/>
      <c r="E914" s="32"/>
      <c r="F914" s="32"/>
      <c r="G914" s="32"/>
      <c r="H914" s="32"/>
    </row>
    <row r="915" ht="15.75" customHeight="1">
      <c r="A915" s="32"/>
      <c r="C915" s="32"/>
      <c r="D915" s="32"/>
      <c r="E915" s="32"/>
      <c r="F915" s="32"/>
      <c r="G915" s="32"/>
      <c r="H915" s="32"/>
    </row>
    <row r="916" ht="15.75" customHeight="1">
      <c r="A916" s="32"/>
      <c r="C916" s="32"/>
      <c r="D916" s="32"/>
      <c r="E916" s="32"/>
      <c r="F916" s="32"/>
      <c r="G916" s="32"/>
      <c r="H916" s="32"/>
    </row>
    <row r="917" ht="15.75" customHeight="1">
      <c r="A917" s="32"/>
      <c r="C917" s="32"/>
      <c r="D917" s="32"/>
      <c r="E917" s="32"/>
      <c r="F917" s="32"/>
      <c r="G917" s="32"/>
      <c r="H917" s="32"/>
    </row>
    <row r="918" ht="15.75" customHeight="1">
      <c r="A918" s="32"/>
      <c r="C918" s="32"/>
      <c r="D918" s="32"/>
      <c r="E918" s="32"/>
      <c r="F918" s="32"/>
      <c r="G918" s="32"/>
      <c r="H918" s="32"/>
    </row>
    <row r="919" ht="15.75" customHeight="1">
      <c r="A919" s="32"/>
      <c r="C919" s="32"/>
      <c r="D919" s="32"/>
      <c r="E919" s="32"/>
      <c r="F919" s="32"/>
      <c r="G919" s="32"/>
      <c r="H919" s="32"/>
    </row>
    <row r="920" ht="15.75" customHeight="1">
      <c r="A920" s="32"/>
      <c r="C920" s="32"/>
      <c r="D920" s="32"/>
      <c r="E920" s="32"/>
      <c r="F920" s="32"/>
      <c r="G920" s="32"/>
      <c r="H920" s="32"/>
    </row>
    <row r="921" ht="15.75" customHeight="1">
      <c r="A921" s="32"/>
      <c r="C921" s="32"/>
      <c r="D921" s="32"/>
      <c r="E921" s="32"/>
      <c r="F921" s="32"/>
      <c r="G921" s="32"/>
      <c r="H921" s="32"/>
    </row>
    <row r="922" ht="15.75" customHeight="1">
      <c r="A922" s="32"/>
      <c r="C922" s="32"/>
      <c r="D922" s="32"/>
      <c r="E922" s="32"/>
      <c r="F922" s="32"/>
      <c r="G922" s="32"/>
      <c r="H922" s="32"/>
    </row>
    <row r="923" ht="15.75" customHeight="1">
      <c r="A923" s="32"/>
      <c r="C923" s="32"/>
      <c r="D923" s="32"/>
      <c r="E923" s="32"/>
      <c r="F923" s="32"/>
      <c r="G923" s="32"/>
      <c r="H923" s="32"/>
    </row>
    <row r="924" ht="15.75" customHeight="1">
      <c r="A924" s="32"/>
      <c r="C924" s="32"/>
      <c r="D924" s="32"/>
      <c r="E924" s="32"/>
      <c r="F924" s="32"/>
      <c r="G924" s="32"/>
      <c r="H924" s="32"/>
    </row>
    <row r="925" ht="15.75" customHeight="1">
      <c r="A925" s="32"/>
      <c r="C925" s="32"/>
      <c r="D925" s="32"/>
      <c r="E925" s="32"/>
      <c r="F925" s="32"/>
      <c r="G925" s="32"/>
      <c r="H925" s="32"/>
    </row>
    <row r="926" ht="15.75" customHeight="1">
      <c r="A926" s="32"/>
      <c r="C926" s="32"/>
      <c r="D926" s="32"/>
      <c r="E926" s="32"/>
      <c r="F926" s="32"/>
      <c r="G926" s="32"/>
      <c r="H926" s="32"/>
    </row>
    <row r="927" ht="15.75" customHeight="1">
      <c r="A927" s="32"/>
      <c r="C927" s="32"/>
      <c r="D927" s="32"/>
      <c r="E927" s="32"/>
      <c r="F927" s="32"/>
      <c r="G927" s="32"/>
      <c r="H927" s="32"/>
    </row>
    <row r="928" ht="15.75" customHeight="1">
      <c r="A928" s="32"/>
      <c r="C928" s="32"/>
      <c r="D928" s="32"/>
      <c r="E928" s="32"/>
      <c r="F928" s="32"/>
      <c r="G928" s="32"/>
      <c r="H928" s="32"/>
    </row>
    <row r="929" ht="15.75" customHeight="1">
      <c r="A929" s="32"/>
      <c r="C929" s="32"/>
      <c r="D929" s="32"/>
      <c r="E929" s="32"/>
      <c r="F929" s="32"/>
      <c r="G929" s="32"/>
      <c r="H929" s="32"/>
    </row>
    <row r="930" ht="15.75" customHeight="1">
      <c r="A930" s="32"/>
      <c r="C930" s="32"/>
      <c r="D930" s="32"/>
      <c r="E930" s="32"/>
      <c r="F930" s="32"/>
      <c r="G930" s="32"/>
      <c r="H930" s="32"/>
    </row>
    <row r="931" ht="15.75" customHeight="1">
      <c r="A931" s="32"/>
      <c r="C931" s="32"/>
      <c r="D931" s="32"/>
      <c r="E931" s="32"/>
      <c r="F931" s="32"/>
      <c r="G931" s="32"/>
      <c r="H931" s="32"/>
    </row>
    <row r="932" ht="15.75" customHeight="1">
      <c r="A932" s="32"/>
      <c r="C932" s="32"/>
      <c r="D932" s="32"/>
      <c r="E932" s="32"/>
      <c r="F932" s="32"/>
      <c r="G932" s="32"/>
      <c r="H932" s="32"/>
    </row>
    <row r="933" ht="15.75" customHeight="1">
      <c r="A933" s="32"/>
      <c r="C933" s="32"/>
      <c r="D933" s="32"/>
      <c r="E933" s="32"/>
      <c r="F933" s="32"/>
      <c r="G933" s="32"/>
      <c r="H933" s="32"/>
    </row>
    <row r="934" ht="15.75" customHeight="1">
      <c r="A934" s="32"/>
      <c r="C934" s="32"/>
      <c r="D934" s="32"/>
      <c r="E934" s="32"/>
      <c r="F934" s="32"/>
      <c r="G934" s="32"/>
      <c r="H934" s="32"/>
    </row>
    <row r="935" ht="15.75" customHeight="1">
      <c r="A935" s="32"/>
      <c r="C935" s="32"/>
      <c r="D935" s="32"/>
      <c r="E935" s="32"/>
      <c r="F935" s="32"/>
      <c r="G935" s="32"/>
      <c r="H935" s="32"/>
    </row>
    <row r="936" ht="15.75" customHeight="1">
      <c r="A936" s="32"/>
      <c r="C936" s="32"/>
      <c r="D936" s="32"/>
      <c r="E936" s="32"/>
      <c r="F936" s="32"/>
      <c r="G936" s="32"/>
      <c r="H936" s="32"/>
    </row>
    <row r="937" ht="15.75" customHeight="1">
      <c r="A937" s="32"/>
      <c r="C937" s="32"/>
      <c r="D937" s="32"/>
      <c r="E937" s="32"/>
      <c r="F937" s="32"/>
      <c r="G937" s="32"/>
      <c r="H937" s="32"/>
    </row>
    <row r="938" ht="15.75" customHeight="1">
      <c r="A938" s="32"/>
      <c r="C938" s="32"/>
      <c r="D938" s="32"/>
      <c r="E938" s="32"/>
      <c r="F938" s="32"/>
      <c r="G938" s="32"/>
      <c r="H938" s="32"/>
    </row>
    <row r="939" ht="15.75" customHeight="1">
      <c r="A939" s="32"/>
      <c r="C939" s="32"/>
      <c r="D939" s="32"/>
      <c r="E939" s="32"/>
      <c r="F939" s="32"/>
      <c r="G939" s="32"/>
      <c r="H939" s="32"/>
    </row>
    <row r="940" ht="15.75" customHeight="1">
      <c r="A940" s="32"/>
      <c r="C940" s="32"/>
      <c r="D940" s="32"/>
      <c r="E940" s="32"/>
      <c r="F940" s="32"/>
      <c r="G940" s="32"/>
      <c r="H940" s="32"/>
    </row>
    <row r="941" ht="15.75" customHeight="1">
      <c r="A941" s="32"/>
      <c r="C941" s="32"/>
      <c r="D941" s="32"/>
      <c r="E941" s="32"/>
      <c r="F941" s="32"/>
      <c r="G941" s="32"/>
      <c r="H941" s="32"/>
    </row>
    <row r="942" ht="15.75" customHeight="1">
      <c r="A942" s="32"/>
      <c r="C942" s="32"/>
      <c r="D942" s="32"/>
      <c r="E942" s="32"/>
      <c r="F942" s="32"/>
      <c r="G942" s="32"/>
      <c r="H942" s="32"/>
    </row>
    <row r="943" ht="15.75" customHeight="1">
      <c r="A943" s="32"/>
      <c r="C943" s="32"/>
      <c r="D943" s="32"/>
      <c r="E943" s="32"/>
      <c r="F943" s="32"/>
      <c r="G943" s="32"/>
      <c r="H943" s="32"/>
    </row>
    <row r="944" ht="15.75" customHeight="1">
      <c r="A944" s="32"/>
      <c r="C944" s="32"/>
      <c r="D944" s="32"/>
      <c r="E944" s="32"/>
      <c r="F944" s="32"/>
      <c r="G944" s="32"/>
      <c r="H944" s="32"/>
    </row>
    <row r="945" ht="15.75" customHeight="1">
      <c r="A945" s="32"/>
      <c r="C945" s="32"/>
      <c r="D945" s="32"/>
      <c r="E945" s="32"/>
      <c r="F945" s="32"/>
      <c r="G945" s="32"/>
      <c r="H945" s="32"/>
    </row>
    <row r="946" ht="15.75" customHeight="1">
      <c r="A946" s="32"/>
      <c r="C946" s="32"/>
      <c r="D946" s="32"/>
      <c r="E946" s="32"/>
      <c r="F946" s="32"/>
      <c r="G946" s="32"/>
      <c r="H946" s="32"/>
    </row>
    <row r="947" ht="15.75" customHeight="1">
      <c r="A947" s="32"/>
      <c r="C947" s="32"/>
      <c r="D947" s="32"/>
      <c r="E947" s="32"/>
      <c r="F947" s="32"/>
      <c r="G947" s="32"/>
      <c r="H947" s="32"/>
    </row>
    <row r="948" ht="15.75" customHeight="1">
      <c r="A948" s="32"/>
      <c r="C948" s="32"/>
      <c r="D948" s="32"/>
      <c r="E948" s="32"/>
      <c r="F948" s="32"/>
      <c r="G948" s="32"/>
      <c r="H948" s="32"/>
    </row>
    <row r="949" ht="15.75" customHeight="1">
      <c r="A949" s="32"/>
      <c r="C949" s="32"/>
      <c r="D949" s="32"/>
      <c r="E949" s="32"/>
      <c r="F949" s="32"/>
      <c r="G949" s="32"/>
      <c r="H949" s="32"/>
    </row>
    <row r="950" ht="15.75" customHeight="1">
      <c r="A950" s="32"/>
      <c r="C950" s="32"/>
      <c r="D950" s="32"/>
      <c r="E950" s="32"/>
      <c r="F950" s="32"/>
      <c r="G950" s="32"/>
      <c r="H950" s="32"/>
    </row>
    <row r="951" ht="15.75" customHeight="1">
      <c r="A951" s="32"/>
      <c r="C951" s="32"/>
      <c r="D951" s="32"/>
      <c r="E951" s="32"/>
      <c r="F951" s="32"/>
      <c r="G951" s="32"/>
      <c r="H951" s="32"/>
    </row>
    <row r="952" ht="15.75" customHeight="1">
      <c r="A952" s="32"/>
      <c r="C952" s="32"/>
      <c r="D952" s="32"/>
      <c r="E952" s="32"/>
      <c r="F952" s="32"/>
      <c r="G952" s="32"/>
      <c r="H952" s="32"/>
    </row>
    <row r="953" ht="15.75" customHeight="1">
      <c r="A953" s="32"/>
      <c r="C953" s="32"/>
      <c r="D953" s="32"/>
      <c r="E953" s="32"/>
      <c r="F953" s="32"/>
      <c r="G953" s="32"/>
      <c r="H953" s="32"/>
    </row>
    <row r="954" ht="15.75" customHeight="1">
      <c r="A954" s="32"/>
      <c r="C954" s="32"/>
      <c r="D954" s="32"/>
      <c r="E954" s="32"/>
      <c r="F954" s="32"/>
      <c r="G954" s="32"/>
      <c r="H954" s="32"/>
    </row>
    <row r="955" ht="15.75" customHeight="1">
      <c r="A955" s="32"/>
      <c r="C955" s="32"/>
      <c r="D955" s="32"/>
      <c r="E955" s="32"/>
      <c r="F955" s="32"/>
      <c r="G955" s="32"/>
      <c r="H955" s="32"/>
    </row>
    <row r="956" ht="15.75" customHeight="1">
      <c r="A956" s="32"/>
      <c r="C956" s="32"/>
      <c r="D956" s="32"/>
      <c r="E956" s="32"/>
      <c r="F956" s="32"/>
      <c r="G956" s="32"/>
      <c r="H956" s="32"/>
    </row>
    <row r="957" ht="15.75" customHeight="1">
      <c r="A957" s="32"/>
      <c r="C957" s="32"/>
      <c r="D957" s="32"/>
      <c r="E957" s="32"/>
      <c r="F957" s="32"/>
      <c r="G957" s="32"/>
      <c r="H957" s="32"/>
    </row>
    <row r="958" ht="15.75" customHeight="1">
      <c r="A958" s="32"/>
      <c r="C958" s="32"/>
      <c r="D958" s="32"/>
      <c r="E958" s="32"/>
      <c r="F958" s="32"/>
      <c r="G958" s="32"/>
      <c r="H958" s="32"/>
    </row>
    <row r="959" ht="15.75" customHeight="1">
      <c r="A959" s="32"/>
      <c r="C959" s="32"/>
      <c r="D959" s="32"/>
      <c r="E959" s="32"/>
      <c r="F959" s="32"/>
      <c r="G959" s="32"/>
      <c r="H959" s="32"/>
    </row>
    <row r="960" ht="15.75" customHeight="1">
      <c r="A960" s="32"/>
      <c r="C960" s="32"/>
      <c r="D960" s="32"/>
      <c r="E960" s="32"/>
      <c r="F960" s="32"/>
      <c r="G960" s="32"/>
      <c r="H960" s="32"/>
    </row>
    <row r="961" ht="15.75" customHeight="1">
      <c r="A961" s="32"/>
      <c r="C961" s="32"/>
      <c r="D961" s="32"/>
      <c r="E961" s="32"/>
      <c r="F961" s="32"/>
      <c r="G961" s="32"/>
      <c r="H961" s="32"/>
    </row>
    <row r="962" ht="15.75" customHeight="1">
      <c r="A962" s="32"/>
      <c r="C962" s="32"/>
      <c r="D962" s="32"/>
      <c r="E962" s="32"/>
      <c r="F962" s="32"/>
      <c r="G962" s="32"/>
      <c r="H962" s="32"/>
    </row>
    <row r="963" ht="15.75" customHeight="1">
      <c r="A963" s="32"/>
      <c r="C963" s="32"/>
      <c r="D963" s="32"/>
      <c r="E963" s="32"/>
      <c r="F963" s="32"/>
      <c r="G963" s="32"/>
      <c r="H963" s="32"/>
    </row>
    <row r="964" ht="15.75" customHeight="1">
      <c r="A964" s="32"/>
      <c r="C964" s="32"/>
      <c r="D964" s="32"/>
      <c r="E964" s="32"/>
      <c r="F964" s="32"/>
      <c r="G964" s="32"/>
      <c r="H964" s="32"/>
    </row>
    <row r="965" ht="15.75" customHeight="1">
      <c r="A965" s="32"/>
      <c r="C965" s="32"/>
      <c r="D965" s="32"/>
      <c r="E965" s="32"/>
      <c r="F965" s="32"/>
      <c r="G965" s="32"/>
      <c r="H965" s="32"/>
    </row>
    <row r="966" ht="15.75" customHeight="1">
      <c r="A966" s="32"/>
      <c r="C966" s="32"/>
      <c r="D966" s="32"/>
      <c r="E966" s="32"/>
      <c r="F966" s="32"/>
      <c r="G966" s="32"/>
      <c r="H966" s="32"/>
    </row>
    <row r="967" ht="15.75" customHeight="1">
      <c r="A967" s="32"/>
      <c r="C967" s="32"/>
      <c r="D967" s="32"/>
      <c r="E967" s="32"/>
      <c r="F967" s="32"/>
      <c r="G967" s="32"/>
      <c r="H967" s="32"/>
    </row>
    <row r="968" ht="15.75" customHeight="1">
      <c r="A968" s="32"/>
      <c r="C968" s="32"/>
      <c r="D968" s="32"/>
      <c r="E968" s="32"/>
      <c r="F968" s="32"/>
      <c r="G968" s="32"/>
      <c r="H968" s="32"/>
    </row>
    <row r="969" ht="15.75" customHeight="1">
      <c r="A969" s="32"/>
      <c r="C969" s="32"/>
      <c r="D969" s="32"/>
      <c r="E969" s="32"/>
      <c r="F969" s="32"/>
      <c r="G969" s="32"/>
      <c r="H969" s="32"/>
    </row>
    <row r="970" ht="15.75" customHeight="1">
      <c r="A970" s="32"/>
      <c r="C970" s="32"/>
      <c r="D970" s="32"/>
      <c r="E970" s="32"/>
      <c r="F970" s="32"/>
      <c r="G970" s="32"/>
      <c r="H970" s="32"/>
    </row>
    <row r="971" ht="15.75" customHeight="1">
      <c r="A971" s="32"/>
      <c r="C971" s="32"/>
      <c r="D971" s="32"/>
      <c r="E971" s="32"/>
      <c r="F971" s="32"/>
      <c r="G971" s="32"/>
      <c r="H971" s="32"/>
    </row>
    <row r="972" ht="15.75" customHeight="1">
      <c r="A972" s="32"/>
      <c r="C972" s="32"/>
      <c r="D972" s="32"/>
      <c r="E972" s="32"/>
      <c r="F972" s="32"/>
      <c r="G972" s="32"/>
      <c r="H972" s="32"/>
    </row>
    <row r="973" ht="15.75" customHeight="1">
      <c r="A973" s="32"/>
      <c r="C973" s="32"/>
      <c r="D973" s="32"/>
      <c r="E973" s="32"/>
      <c r="F973" s="32"/>
      <c r="G973" s="32"/>
      <c r="H973" s="32"/>
    </row>
    <row r="974" ht="15.75" customHeight="1">
      <c r="A974" s="32"/>
      <c r="C974" s="32"/>
      <c r="D974" s="32"/>
      <c r="E974" s="32"/>
      <c r="F974" s="32"/>
      <c r="G974" s="32"/>
      <c r="H974" s="32"/>
    </row>
    <row r="975" ht="15.75" customHeight="1">
      <c r="A975" s="32"/>
      <c r="C975" s="32"/>
      <c r="D975" s="32"/>
      <c r="E975" s="32"/>
      <c r="F975" s="32"/>
      <c r="G975" s="32"/>
      <c r="H975" s="32"/>
    </row>
    <row r="976" ht="15.75" customHeight="1">
      <c r="A976" s="32"/>
      <c r="C976" s="32"/>
      <c r="D976" s="32"/>
      <c r="E976" s="32"/>
      <c r="F976" s="32"/>
      <c r="G976" s="32"/>
      <c r="H976" s="32"/>
    </row>
    <row r="977" ht="15.75" customHeight="1">
      <c r="A977" s="32"/>
      <c r="C977" s="32"/>
      <c r="D977" s="32"/>
      <c r="E977" s="32"/>
      <c r="F977" s="32"/>
      <c r="G977" s="32"/>
      <c r="H977" s="32"/>
    </row>
    <row r="978" ht="15.75" customHeight="1">
      <c r="A978" s="32"/>
      <c r="C978" s="32"/>
      <c r="D978" s="32"/>
      <c r="E978" s="32"/>
      <c r="F978" s="32"/>
      <c r="G978" s="32"/>
      <c r="H978" s="32"/>
    </row>
    <row r="979" ht="15.75" customHeight="1">
      <c r="A979" s="32"/>
      <c r="C979" s="32"/>
      <c r="D979" s="32"/>
      <c r="E979" s="32"/>
      <c r="F979" s="32"/>
      <c r="G979" s="32"/>
      <c r="H979" s="32"/>
    </row>
    <row r="980" ht="15.75" customHeight="1">
      <c r="A980" s="32"/>
      <c r="C980" s="32"/>
      <c r="D980" s="32"/>
      <c r="E980" s="32"/>
      <c r="F980" s="32"/>
      <c r="G980" s="32"/>
      <c r="H980" s="32"/>
    </row>
    <row r="981" ht="15.75" customHeight="1">
      <c r="A981" s="32"/>
      <c r="C981" s="32"/>
      <c r="D981" s="32"/>
      <c r="E981" s="32"/>
      <c r="F981" s="32"/>
      <c r="G981" s="32"/>
      <c r="H981" s="32"/>
    </row>
    <row r="982" ht="15.75" customHeight="1">
      <c r="A982" s="32"/>
      <c r="C982" s="32"/>
      <c r="D982" s="32"/>
      <c r="E982" s="32"/>
      <c r="F982" s="32"/>
      <c r="G982" s="32"/>
      <c r="H982" s="32"/>
    </row>
    <row r="983" ht="15.75" customHeight="1">
      <c r="A983" s="32"/>
      <c r="C983" s="32"/>
      <c r="D983" s="32"/>
      <c r="E983" s="32"/>
      <c r="F983" s="32"/>
      <c r="G983" s="32"/>
      <c r="H983" s="32"/>
    </row>
    <row r="984" ht="15.75" customHeight="1">
      <c r="A984" s="32"/>
      <c r="C984" s="32"/>
      <c r="D984" s="32"/>
      <c r="E984" s="32"/>
      <c r="F984" s="32"/>
      <c r="G984" s="32"/>
      <c r="H984" s="32"/>
    </row>
    <row r="985" ht="15.75" customHeight="1">
      <c r="A985" s="32"/>
      <c r="C985" s="32"/>
      <c r="D985" s="32"/>
      <c r="E985" s="32"/>
      <c r="F985" s="32"/>
      <c r="G985" s="32"/>
      <c r="H985" s="32"/>
    </row>
    <row r="986" ht="15.75" customHeight="1">
      <c r="A986" s="32"/>
      <c r="C986" s="32"/>
      <c r="D986" s="32"/>
      <c r="E986" s="32"/>
      <c r="F986" s="32"/>
      <c r="G986" s="32"/>
      <c r="H986" s="32"/>
    </row>
    <row r="987" ht="15.75" customHeight="1">
      <c r="A987" s="32"/>
      <c r="C987" s="32"/>
      <c r="D987" s="32"/>
      <c r="E987" s="32"/>
      <c r="F987" s="32"/>
      <c r="G987" s="32"/>
      <c r="H987" s="32"/>
    </row>
    <row r="988" ht="15.75" customHeight="1">
      <c r="A988" s="32"/>
      <c r="C988" s="32"/>
      <c r="D988" s="32"/>
      <c r="E988" s="32"/>
      <c r="F988" s="32"/>
      <c r="G988" s="32"/>
      <c r="H988" s="32"/>
    </row>
    <row r="989" ht="15.75" customHeight="1">
      <c r="A989" s="32"/>
      <c r="C989" s="32"/>
      <c r="D989" s="32"/>
      <c r="E989" s="32"/>
      <c r="F989" s="32"/>
      <c r="G989" s="32"/>
      <c r="H989" s="32"/>
    </row>
    <row r="990" ht="15.75" customHeight="1">
      <c r="A990" s="32"/>
      <c r="C990" s="32"/>
      <c r="D990" s="32"/>
      <c r="E990" s="32"/>
      <c r="F990" s="32"/>
      <c r="G990" s="32"/>
      <c r="H990" s="32"/>
    </row>
    <row r="991" ht="15.75" customHeight="1">
      <c r="A991" s="32"/>
      <c r="C991" s="32"/>
      <c r="D991" s="32"/>
      <c r="E991" s="32"/>
      <c r="F991" s="32"/>
      <c r="G991" s="32"/>
      <c r="H991" s="32"/>
    </row>
    <row r="992" ht="15.75" customHeight="1">
      <c r="A992" s="32"/>
      <c r="C992" s="32"/>
      <c r="D992" s="32"/>
      <c r="E992" s="32"/>
      <c r="F992" s="32"/>
      <c r="G992" s="32"/>
      <c r="H992" s="32"/>
    </row>
    <row r="993" ht="15.75" customHeight="1">
      <c r="A993" s="32"/>
      <c r="C993" s="32"/>
      <c r="D993" s="32"/>
      <c r="E993" s="32"/>
      <c r="F993" s="32"/>
      <c r="G993" s="32"/>
      <c r="H993" s="32"/>
    </row>
    <row r="994" ht="15.75" customHeight="1">
      <c r="A994" s="32"/>
      <c r="C994" s="32"/>
      <c r="D994" s="32"/>
      <c r="E994" s="32"/>
      <c r="F994" s="32"/>
      <c r="G994" s="32"/>
      <c r="H994" s="32"/>
    </row>
    <row r="995" ht="15.75" customHeight="1">
      <c r="A995" s="32"/>
      <c r="C995" s="32"/>
      <c r="D995" s="32"/>
      <c r="E995" s="32"/>
      <c r="F995" s="32"/>
      <c r="G995" s="32"/>
      <c r="H995" s="32"/>
    </row>
    <row r="996" ht="15.75" customHeight="1">
      <c r="A996" s="32"/>
      <c r="C996" s="32"/>
      <c r="D996" s="32"/>
      <c r="E996" s="32"/>
      <c r="F996" s="32"/>
      <c r="G996" s="32"/>
      <c r="H996" s="32"/>
    </row>
    <row r="997" ht="15.75" customHeight="1">
      <c r="A997" s="32"/>
      <c r="C997" s="32"/>
      <c r="D997" s="32"/>
      <c r="E997" s="32"/>
      <c r="F997" s="32"/>
      <c r="G997" s="32"/>
      <c r="H997" s="32"/>
    </row>
    <row r="998" ht="15.75" customHeight="1">
      <c r="A998" s="32"/>
      <c r="C998" s="32"/>
      <c r="D998" s="32"/>
      <c r="E998" s="32"/>
      <c r="F998" s="32"/>
      <c r="G998" s="32"/>
      <c r="H998" s="32"/>
    </row>
    <row r="999" ht="15.75" customHeight="1">
      <c r="A999" s="32"/>
      <c r="C999" s="32"/>
      <c r="D999" s="32"/>
      <c r="E999" s="32"/>
      <c r="F999" s="32"/>
      <c r="G999" s="32"/>
      <c r="H999" s="32"/>
    </row>
    <row r="1000" ht="15.75" customHeight="1">
      <c r="A1000" s="32"/>
      <c r="C1000" s="32"/>
      <c r="D1000" s="32"/>
      <c r="E1000" s="32"/>
      <c r="F1000" s="32"/>
      <c r="G1000" s="32"/>
      <c r="H1000" s="32"/>
    </row>
  </sheetData>
  <mergeCells count="6">
    <mergeCell ref="D1:H1"/>
    <mergeCell ref="A3:A15"/>
    <mergeCell ref="A17:A29"/>
    <mergeCell ref="A31:A43"/>
    <mergeCell ref="A45:A57"/>
    <mergeCell ref="A59:A7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63"/>
    <col customWidth="1" min="3" max="3" width="1.5"/>
    <col customWidth="1" min="4" max="7" width="28.88"/>
  </cols>
  <sheetData>
    <row r="1" ht="15.75" customHeight="1">
      <c r="A1" s="129"/>
      <c r="B1" s="130"/>
      <c r="C1" s="131"/>
      <c r="D1" s="132" t="s">
        <v>10</v>
      </c>
      <c r="E1" s="8"/>
      <c r="F1" s="8"/>
      <c r="G1" s="10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5.75" customHeight="1">
      <c r="A2" s="99" t="s">
        <v>20</v>
      </c>
      <c r="B2" s="99" t="s">
        <v>23</v>
      </c>
      <c r="C2" s="131"/>
      <c r="D2" s="6" t="s">
        <v>44</v>
      </c>
      <c r="E2" s="6" t="s">
        <v>45</v>
      </c>
      <c r="F2" s="6" t="s">
        <v>46</v>
      </c>
      <c r="G2" s="6" t="s">
        <v>47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5.75" customHeight="1">
      <c r="A3" s="134" t="s">
        <v>770</v>
      </c>
      <c r="B3" s="24" t="s">
        <v>126</v>
      </c>
      <c r="C3" s="131"/>
      <c r="D3" s="12" t="str">
        <f>'Horário - Graduação'!O10</f>
        <v>CÁLCULO DIFERENCIAL E INTEGRAL I (Frederico)  (3/10)</v>
      </c>
      <c r="E3" s="12" t="str">
        <f>'Horário - Graduação'!P10</f>
        <v>Programação Orientada a Objetos I (Leonardo Humberto) (Lab. 1 - Info)</v>
      </c>
      <c r="F3" s="12" t="str">
        <f>'Horário - Graduação'!Q10</f>
        <v/>
      </c>
      <c r="G3" s="12" t="str">
        <f>'Horário - Graduação'!R10</f>
        <v/>
      </c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ht="15.75" customHeight="1">
      <c r="A4" s="36"/>
      <c r="B4" s="24" t="s">
        <v>138</v>
      </c>
      <c r="C4" s="131"/>
      <c r="D4" s="12" t="str">
        <f>'Horário - Graduação'!O11</f>
        <v>CÁLCULO DIFERENCIAL E INTEGRAL I (Frederico)  (3/10)</v>
      </c>
      <c r="E4" s="12" t="str">
        <f>'Horário - Graduação'!P11</f>
        <v>Programação Orientada a Objetos I (Leonardo Humberto) (Lab. 1 - Info)</v>
      </c>
      <c r="F4" s="12" t="str">
        <f>'Horário - Graduação'!Q11</f>
        <v/>
      </c>
      <c r="G4" s="12" t="str">
        <f>'Horário - Graduação'!R11</f>
        <v/>
      </c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ht="15.75" customHeight="1">
      <c r="A5" s="36"/>
      <c r="B5" s="40" t="s">
        <v>111</v>
      </c>
      <c r="C5" s="131"/>
      <c r="D5" s="146" t="str">
        <f>'Horário - Graduação'!O12</f>
        <v/>
      </c>
      <c r="E5" s="146" t="str">
        <f>'Horário - Graduação'!P12</f>
        <v/>
      </c>
      <c r="F5" s="146" t="str">
        <f>'Horário - Graduação'!Q12</f>
        <v/>
      </c>
      <c r="G5" s="146" t="str">
        <f>'Horário - Graduação'!R12</f>
        <v/>
      </c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ht="15.75" customHeight="1">
      <c r="A6" s="36"/>
      <c r="B6" s="24" t="s">
        <v>141</v>
      </c>
      <c r="C6" s="131"/>
      <c r="D6" s="12" t="str">
        <f>'Horário - Graduação'!O13</f>
        <v>Arquitetura de Computadores (Zélia) (Lab. 2 - Info)</v>
      </c>
      <c r="E6" s="12" t="str">
        <f>'Horário - Graduação'!P13</f>
        <v>Banco de Dados (Patrícia Lucas) (Lab. 4 - Info)</v>
      </c>
      <c r="F6" s="12" t="str">
        <f>'Horário - Graduação'!Q13</f>
        <v/>
      </c>
      <c r="G6" s="12" t="str">
        <f>'Horário - Graduação'!R13</f>
        <v/>
      </c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5.75" customHeight="1">
      <c r="A7" s="36"/>
      <c r="B7" s="24" t="s">
        <v>154</v>
      </c>
      <c r="C7" s="131"/>
      <c r="D7" s="12" t="str">
        <f>'Horário - Graduação'!O14</f>
        <v>Arquitetura de Computadores (Zélia) (Lab. 2 - Info)</v>
      </c>
      <c r="E7" s="12" t="str">
        <f>'Horário - Graduação'!P14</f>
        <v>Banco de Dados (Patrícia Lucas) (Lab. 4 - Info)</v>
      </c>
      <c r="F7" s="12" t="str">
        <f>'Horário - Graduação'!Q14</f>
        <v/>
      </c>
      <c r="G7" s="12" t="str">
        <f>'Horário - Graduação'!R14</f>
        <v/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5.75" customHeight="1">
      <c r="A8" s="36"/>
      <c r="B8" s="24" t="s">
        <v>155</v>
      </c>
      <c r="C8" s="131"/>
      <c r="D8" s="88" t="str">
        <f>'Horário - Graduação'!O15</f>
        <v/>
      </c>
      <c r="E8" s="88" t="str">
        <f>'Horário - Graduação'!P15</f>
        <v>Introdução à economia (Mário) (3/9)</v>
      </c>
      <c r="F8" s="88" t="str">
        <f>'Horário - Graduação'!Q15</f>
        <v/>
      </c>
      <c r="G8" s="88" t="str">
        <f>'Horário - Graduação'!R15</f>
        <v>Sistemas Distribuídos (Zélia) (Lab. 4 - Info)</v>
      </c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5.75" customHeight="1">
      <c r="A9" s="36"/>
      <c r="B9" s="147" t="s">
        <v>111</v>
      </c>
      <c r="C9" s="131"/>
      <c r="D9" s="146" t="str">
        <f>'Horário - Graduação'!O16</f>
        <v/>
      </c>
      <c r="E9" s="146" t="str">
        <f>'Horário - Graduação'!P16</f>
        <v/>
      </c>
      <c r="F9" s="146" t="str">
        <f>'Horário - Graduação'!Q16</f>
        <v/>
      </c>
      <c r="G9" s="146" t="str">
        <f>'Horário - Graduação'!R16</f>
        <v/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5.75" customHeight="1">
      <c r="A10" s="36"/>
      <c r="B10" s="140" t="s">
        <v>164</v>
      </c>
      <c r="C10" s="131"/>
      <c r="D10" s="88" t="str">
        <f>'Horário - Graduação'!O17</f>
        <v/>
      </c>
      <c r="E10" s="88" t="str">
        <f>'Horário - Graduação'!P17</f>
        <v>Introdução à economia (Mário) (3/9)</v>
      </c>
      <c r="F10" s="88" t="str">
        <f>'Horário - Graduação'!Q17</f>
        <v/>
      </c>
      <c r="G10" s="88" t="str">
        <f>'Horário - Graduação'!R17</f>
        <v>Sistemas Distribuídos (Zélia) (Lab. 4 - Info)</v>
      </c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ht="15.75" customHeight="1">
      <c r="A11" s="36"/>
      <c r="B11" s="140" t="s">
        <v>174</v>
      </c>
      <c r="C11" s="131"/>
      <c r="D11" s="12" t="str">
        <f>'Horário - Graduação'!O18</f>
        <v/>
      </c>
      <c r="E11" s="12" t="str">
        <f>'Horário - Graduação'!P18</f>
        <v>UCE II - Ferramentas Computacionais na Educação (Geycy) (Lab. 1 - Info)</v>
      </c>
      <c r="F11" s="12" t="str">
        <f>'Horário - Graduação'!Q18</f>
        <v/>
      </c>
      <c r="G11" s="12" t="str">
        <f>'Horário - Graduação'!R18</f>
        <v>Optativa III - Métodos Ágeis (Zélia)   (Lab. 4 - Info)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5.75" customHeight="1">
      <c r="A12" s="36"/>
      <c r="B12" s="140" t="s">
        <v>193</v>
      </c>
      <c r="C12" s="131"/>
      <c r="D12" s="12" t="str">
        <f>'Horário - Graduação'!O19</f>
        <v/>
      </c>
      <c r="E12" s="12" t="str">
        <f>'Horário - Graduação'!P19</f>
        <v>UCE II - Ferramentas Computacionais na Educação (Geycy) (Lab. 1 - Info)</v>
      </c>
      <c r="F12" s="12" t="str">
        <f>'Horário - Graduação'!Q19</f>
        <v/>
      </c>
      <c r="G12" s="12" t="str">
        <f>'Horário - Graduação'!R19</f>
        <v>Optativa III - Métodos Ágeis (Zélia)  (Lab. 4 - Info)</v>
      </c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ht="15.75" customHeight="1">
      <c r="A13" s="36"/>
      <c r="B13" s="147" t="s">
        <v>111</v>
      </c>
      <c r="C13" s="131"/>
      <c r="D13" s="146" t="str">
        <f>'Horário - Graduação'!O20</f>
        <v/>
      </c>
      <c r="E13" s="146" t="str">
        <f>'Horário - Graduação'!P20</f>
        <v/>
      </c>
      <c r="F13" s="146" t="str">
        <f>'Horário - Graduação'!Q20</f>
        <v/>
      </c>
      <c r="G13" s="146" t="str">
        <f>'Horário - Graduação'!R20</f>
        <v/>
      </c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ht="15.75" customHeight="1">
      <c r="A14" s="36"/>
      <c r="B14" s="140" t="s">
        <v>198</v>
      </c>
      <c r="C14" s="131"/>
      <c r="D14" s="12" t="str">
        <f>'Horário - Graduação'!O21</f>
        <v/>
      </c>
      <c r="E14" s="12" t="str">
        <f>'Horário - Graduação'!P21</f>
        <v/>
      </c>
      <c r="F14" s="12" t="str">
        <f>'Horário - Graduação'!Q21</f>
        <v/>
      </c>
      <c r="G14" s="12" t="str">
        <f>'Horário - Graduação'!R21</f>
        <v>Optativa IV - Tópicos Especiais em Computação I (Geycy)  (Lab. 3 - Info)</v>
      </c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ht="15.75" customHeight="1">
      <c r="A15" s="66"/>
      <c r="B15" s="140" t="s">
        <v>210</v>
      </c>
      <c r="C15" s="131"/>
      <c r="D15" s="12" t="str">
        <f>'Horário - Graduação'!O22</f>
        <v/>
      </c>
      <c r="E15" s="12" t="str">
        <f>'Horário - Graduação'!P22</f>
        <v/>
      </c>
      <c r="F15" s="12" t="str">
        <f>'Horário - Graduação'!Q22</f>
        <v/>
      </c>
      <c r="G15" s="12" t="str">
        <f>'Horário - Graduação'!R22</f>
        <v>Optativa IV - Tópicos Especiais em Computação I (Geycy)  (Lab. 3 - Info)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15.75" customHeight="1">
      <c r="A16" s="99" t="s">
        <v>20</v>
      </c>
      <c r="B16" s="140" t="s">
        <v>23</v>
      </c>
      <c r="C16" s="131"/>
      <c r="D16" s="6" t="s">
        <v>44</v>
      </c>
      <c r="E16" s="6" t="s">
        <v>45</v>
      </c>
      <c r="F16" s="6" t="s">
        <v>46</v>
      </c>
      <c r="G16" s="6" t="s">
        <v>47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15.75" customHeight="1">
      <c r="A17" s="134" t="s">
        <v>11</v>
      </c>
      <c r="B17" s="24" t="s">
        <v>126</v>
      </c>
      <c r="C17" s="131"/>
      <c r="D17" s="12" t="str">
        <f>'Horário - Graduação'!O31</f>
        <v>CÁLCULO DIFERENCIAL E INTEGRAL I (Frederico) (3/10)</v>
      </c>
      <c r="E17" s="12" t="str">
        <f>'Horário - Graduação'!P31</f>
        <v>Programação Orientada a Objetos I (Leonardo Humberto) (Lab. 2 - Info)</v>
      </c>
      <c r="F17" s="12" t="str">
        <f>'Horário - Graduação'!Q31</f>
        <v>UCE IV - Projeto de Sistemas de Informação (Danielle Miranda) (Lab. 4 - Info)</v>
      </c>
      <c r="G17" s="12" t="str">
        <f>'Horário - Graduação'!R31</f>
        <v/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15.75" customHeight="1">
      <c r="A18" s="36"/>
      <c r="B18" s="24" t="s">
        <v>138</v>
      </c>
      <c r="C18" s="131"/>
      <c r="D18" s="12" t="str">
        <f>'Horário - Graduação'!O32</f>
        <v>CÁLCULO DIFERENCIAL E INTEGRAL I (Frederico) (3/10)</v>
      </c>
      <c r="E18" s="12" t="str">
        <f>'Horário - Graduação'!P32</f>
        <v>Programação Orientada a Objetos I (Leonardo Humberto) (Lab. 2 - Info)</v>
      </c>
      <c r="F18" s="12" t="str">
        <f>'Horário - Graduação'!Q32</f>
        <v>UCE IV - Projeto de Sistemas de Informação (Danielle Miranda) (Lab. 4 - Info)</v>
      </c>
      <c r="G18" s="12" t="str">
        <f>'Horário - Graduação'!R32</f>
        <v/>
      </c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15.75" customHeight="1">
      <c r="A19" s="36"/>
      <c r="B19" s="40" t="s">
        <v>111</v>
      </c>
      <c r="C19" s="131"/>
      <c r="D19" s="146" t="str">
        <f>'Horário - Graduação'!O33</f>
        <v/>
      </c>
      <c r="E19" s="146" t="str">
        <f>'Horário - Graduação'!P33</f>
        <v/>
      </c>
      <c r="F19" s="146" t="str">
        <f>'Horário - Graduação'!Q33</f>
        <v/>
      </c>
      <c r="G19" s="146" t="str">
        <f>'Horário - Graduação'!R33</f>
        <v/>
      </c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ht="15.75" customHeight="1">
      <c r="A20" s="36"/>
      <c r="B20" s="24" t="s">
        <v>141</v>
      </c>
      <c r="C20" s="131"/>
      <c r="D20" s="12" t="str">
        <f>'Horário - Graduação'!O34</f>
        <v>CÁLCULO DIFERENCIAL E INTEGRAL I (Frederico) (3/10)</v>
      </c>
      <c r="E20" s="12" t="str">
        <f>'Horário - Graduação'!P34</f>
        <v>Engenharia de Software II (Danielle Miranda) (Lab. 2 - Info)</v>
      </c>
      <c r="F20" s="12" t="str">
        <f>'Horário - Graduação'!Q34</f>
        <v/>
      </c>
      <c r="G20" s="12" t="str">
        <f>'Horário - Graduação'!R34</f>
        <v/>
      </c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5.75" customHeight="1">
      <c r="A21" s="36"/>
      <c r="B21" s="24" t="s">
        <v>154</v>
      </c>
      <c r="C21" s="131"/>
      <c r="D21" s="12" t="str">
        <f>'Horário - Graduação'!O35</f>
        <v>CÁLCULO DIFERENCIAL E INTEGRAL I (Frederico) (3/10)</v>
      </c>
      <c r="E21" s="12" t="str">
        <f>'Horário - Graduação'!P35</f>
        <v>Engenharia de Software II (Danielle Miranda) (Lab. 2 - Info)</v>
      </c>
      <c r="F21" s="12" t="str">
        <f>'Horário - Graduação'!Q35</f>
        <v/>
      </c>
      <c r="G21" s="12" t="str">
        <f>'Horário - Graduação'!R35</f>
        <v/>
      </c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36"/>
      <c r="B22" s="24" t="s">
        <v>155</v>
      </c>
      <c r="C22" s="131"/>
      <c r="D22" s="88" t="str">
        <f>'Horário - Graduação'!O36</f>
        <v>Algoritmos e Estruturas de Dados II (Alison Zille)
 (Lab. 1 - Info)</v>
      </c>
      <c r="E22" s="88" t="str">
        <f>'Horário - Graduação'!P36</f>
        <v>Banco de Dados (Patrícia Lucas) (Lab. 2 - Info)</v>
      </c>
      <c r="F22" s="88" t="str">
        <f>'Horário - Graduação'!Q36</f>
        <v> Optativa I - Sistemas de Apoi à Decisão (Zélia)   (Lab. 4 - Info)</v>
      </c>
      <c r="G22" s="88" t="str">
        <f>'Horário - Graduação'!R36</f>
        <v>Optativa IV - Tópicos Especiais em Computação I (Geycy)  (Lab. 3 - Info)</v>
      </c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36"/>
      <c r="B23" s="147" t="s">
        <v>111</v>
      </c>
      <c r="C23" s="131"/>
      <c r="D23" s="146" t="str">
        <f>'Horário - Graduação'!O37</f>
        <v/>
      </c>
      <c r="E23" s="146" t="str">
        <f>'Horário - Graduação'!P37</f>
        <v/>
      </c>
      <c r="F23" s="146" t="str">
        <f>'Horário - Graduação'!Q37</f>
        <v/>
      </c>
      <c r="G23" s="146" t="str">
        <f>'Horário - Graduação'!R37</f>
        <v/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36"/>
      <c r="B24" s="140" t="s">
        <v>164</v>
      </c>
      <c r="C24" s="131"/>
      <c r="D24" s="88" t="str">
        <f>'Horário - Graduação'!O38</f>
        <v>Algoritmos e Estruturas de Dados II (Alison Zille)
(Lab. 1 - Info)</v>
      </c>
      <c r="E24" s="88" t="str">
        <f>'Horário - Graduação'!P38</f>
        <v>Banco de Dados (Patrícia Lucas) (Lab. 2 - Info)</v>
      </c>
      <c r="F24" s="88" t="str">
        <f>'Horário - Graduação'!Q38</f>
        <v> Optativa I - Sistemas de Apoi à Decisão (Zélia)   (Lab. 4 - Info)</v>
      </c>
      <c r="G24" s="88" t="str">
        <f>'Horário - Graduação'!R38</f>
        <v>Optativa IV - Tópicos Especiais em Computação I (Geycy)  (Lab. 3 - Info)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36"/>
      <c r="B25" s="140" t="s">
        <v>174</v>
      </c>
      <c r="C25" s="131"/>
      <c r="D25" s="12" t="str">
        <f>'Horário - Graduação'!O39</f>
        <v/>
      </c>
      <c r="E25" s="12" t="str">
        <f>'Horário - Graduação'!P39</f>
        <v>Introdução à economia (Mário) (3/9)</v>
      </c>
      <c r="F25" s="12" t="str">
        <f>'Horário - Graduação'!Q39</f>
        <v>Metodologia Científica (Geycy) (Lab. 2 - Info)</v>
      </c>
      <c r="G25" s="12" t="str">
        <f>'Horário - Graduação'!R39</f>
        <v>Sistemas Distribuídos (Zélia) (Lab. 4 - Info)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36"/>
      <c r="B26" s="140" t="s">
        <v>193</v>
      </c>
      <c r="C26" s="131"/>
      <c r="D26" s="12" t="str">
        <f>'Horário - Graduação'!O40</f>
        <v/>
      </c>
      <c r="E26" s="12" t="str">
        <f>'Horário - Graduação'!P40</f>
        <v>Introdução à economia (Mário) (3/9)</v>
      </c>
      <c r="F26" s="12" t="str">
        <f>'Horário - Graduação'!Q40</f>
        <v>Metodologia Científica (Geycy) (Lab. 2 - Info)</v>
      </c>
      <c r="G26" s="12" t="str">
        <f>'Horário - Graduação'!R40</f>
        <v>Sistemas Distribuídos (Zélia)(Lab. 4 - Info)</v>
      </c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36"/>
      <c r="B27" s="147" t="s">
        <v>111</v>
      </c>
      <c r="C27" s="131"/>
      <c r="D27" s="146" t="str">
        <f>'Horário - Graduação'!O41</f>
        <v/>
      </c>
      <c r="E27" s="146" t="str">
        <f>'Horário - Graduação'!P41</f>
        <v/>
      </c>
      <c r="F27" s="146" t="str">
        <f>'Horário - Graduação'!Q41</f>
        <v/>
      </c>
      <c r="G27" s="146" t="str">
        <f>'Horário - Graduação'!R41</f>
        <v/>
      </c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36"/>
      <c r="B28" s="140" t="s">
        <v>198</v>
      </c>
      <c r="C28" s="131"/>
      <c r="D28" s="12" t="str">
        <f>'Horário - Graduação'!O42</f>
        <v/>
      </c>
      <c r="E28" s="12" t="str">
        <f>'Horário - Graduação'!P42</f>
        <v>UCE II - Ferramentas Computacionais na Educação (Geycy) (Lab. 2 - Info)</v>
      </c>
      <c r="F28" s="12" t="str">
        <f>'Horário - Graduação'!Q42</f>
        <v>Desenvolvimento WEB II (Arthur) (Lab. 1 - Info)</v>
      </c>
      <c r="G28" s="12" t="str">
        <f>'Horário - Graduação'!R42</f>
        <v/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66"/>
      <c r="B29" s="140" t="s">
        <v>210</v>
      </c>
      <c r="C29" s="131"/>
      <c r="D29" s="12" t="str">
        <f>'Horário - Graduação'!O43</f>
        <v/>
      </c>
      <c r="E29" s="12" t="str">
        <f>'Horário - Graduação'!P43</f>
        <v>UCE II - Ferramentas Computacionais na Educação (Geycy) (Lab. 2 - Info)</v>
      </c>
      <c r="F29" s="12" t="str">
        <f>'Horário - Graduação'!Q43</f>
        <v>Desenvolvimento WEB II (Arthur) (Lab. 1 - Info)</v>
      </c>
      <c r="G29" s="12" t="str">
        <f>'Horário - Graduação'!R43</f>
        <v/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99" t="s">
        <v>20</v>
      </c>
      <c r="B30" s="140" t="s">
        <v>23</v>
      </c>
      <c r="C30" s="131"/>
      <c r="D30" s="6" t="s">
        <v>44</v>
      </c>
      <c r="E30" s="6" t="s">
        <v>45</v>
      </c>
      <c r="F30" s="6" t="s">
        <v>46</v>
      </c>
      <c r="G30" s="6" t="s">
        <v>47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4" t="s">
        <v>12</v>
      </c>
      <c r="B31" s="24" t="s">
        <v>126</v>
      </c>
      <c r="C31" s="131"/>
      <c r="D31" s="12" t="str">
        <f>'Horário - Graduação'!O52</f>
        <v/>
      </c>
      <c r="E31" s="12" t="str">
        <f>'Horário - Graduação'!P52</f>
        <v>Engenharia de Software II (Danielle Miranda)(Lab. 1 - Info)</v>
      </c>
      <c r="F31" s="12" t="str">
        <f>'Horário - Graduação'!Q52</f>
        <v>Administração de Serviços de Redes de Computadores (Jamerson Jardel) (Lab. Redes)</v>
      </c>
      <c r="G31" s="12" t="str">
        <f>'Horário - Graduação'!R52</f>
        <v/>
      </c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36"/>
      <c r="B32" s="24" t="s">
        <v>138</v>
      </c>
      <c r="C32" s="131"/>
      <c r="D32" s="12" t="str">
        <f>'Horário - Graduação'!O53</f>
        <v/>
      </c>
      <c r="E32" s="12" t="str">
        <f>'Horário - Graduação'!P53</f>
        <v>Engenharia de Software II (Danielle Miranda)(Lab. 1 - Info)</v>
      </c>
      <c r="F32" s="12" t="str">
        <f>'Horário - Graduação'!Q53</f>
        <v>Administração de Serviços de Redes de Computadores (Jamerson Jardel) (Lab. Redes)</v>
      </c>
      <c r="G32" s="12" t="str">
        <f>'Horário - Graduação'!R53</f>
        <v/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36"/>
      <c r="B33" s="40" t="s">
        <v>111</v>
      </c>
      <c r="C33" s="131"/>
      <c r="D33" s="146" t="str">
        <f>'Horário - Graduação'!O54</f>
        <v/>
      </c>
      <c r="E33" s="146" t="str">
        <f>'Horário - Graduação'!P54</f>
        <v/>
      </c>
      <c r="F33" s="146" t="str">
        <f>'Horário - Graduação'!Q54</f>
        <v/>
      </c>
      <c r="G33" s="146" t="str">
        <f>'Horário - Graduação'!R54</f>
        <v/>
      </c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36"/>
      <c r="B34" s="24" t="s">
        <v>141</v>
      </c>
      <c r="C34" s="131"/>
      <c r="D34" s="128" t="str">
        <f>'Horário - Graduação'!O55</f>
        <v/>
      </c>
      <c r="E34" s="128" t="str">
        <f>'Horário - Graduação'!P55</f>
        <v/>
      </c>
      <c r="F34" s="128" t="str">
        <f>'Horário - Graduação'!Q55</f>
        <v/>
      </c>
      <c r="G34" s="128" t="str">
        <f>'Horário - Graduação'!R55</f>
        <v/>
      </c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36"/>
      <c r="B35" s="24" t="s">
        <v>154</v>
      </c>
      <c r="C35" s="131"/>
      <c r="D35" s="128" t="str">
        <f>'Horário - Graduação'!O56</f>
        <v/>
      </c>
      <c r="E35" s="128" t="str">
        <f>'Horário - Graduação'!P56</f>
        <v/>
      </c>
      <c r="F35" s="128" t="str">
        <f>'Horário - Graduação'!Q56</f>
        <v/>
      </c>
      <c r="G35" s="128" t="str">
        <f>'Horário - Graduação'!R56</f>
        <v/>
      </c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36"/>
      <c r="B36" s="24" t="s">
        <v>155</v>
      </c>
      <c r="C36" s="131"/>
      <c r="D36" s="88" t="str">
        <f>'Horário - Graduação'!O57</f>
        <v/>
      </c>
      <c r="E36" s="88" t="str">
        <f>'Horário - Graduação'!P57</f>
        <v/>
      </c>
      <c r="F36" s="88" t="str">
        <f>'Horário - Graduação'!Q57</f>
        <v>Introdução à Inteligência Artificial (Alison Zille) (Lab. 1 - Info)</v>
      </c>
      <c r="G36" s="88" t="str">
        <f>'Horário - Graduação'!R57</f>
        <v/>
      </c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36"/>
      <c r="B37" s="147" t="s">
        <v>111</v>
      </c>
      <c r="C37" s="131"/>
      <c r="D37" s="146" t="str">
        <f>'Horário - Graduação'!O58</f>
        <v/>
      </c>
      <c r="E37" s="146" t="str">
        <f>'Horário - Graduação'!P58</f>
        <v/>
      </c>
      <c r="F37" s="146" t="str">
        <f>'Horário - Graduação'!Q58</f>
        <v/>
      </c>
      <c r="G37" s="146" t="str">
        <f>'Horário - Graduação'!R58</f>
        <v/>
      </c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36"/>
      <c r="B38" s="140" t="s">
        <v>164</v>
      </c>
      <c r="C38" s="131"/>
      <c r="D38" s="88" t="str">
        <f>'Horário - Graduação'!O59</f>
        <v/>
      </c>
      <c r="E38" s="88" t="str">
        <f>'Horário - Graduação'!P59</f>
        <v/>
      </c>
      <c r="F38" s="88" t="str">
        <f>'Horário - Graduação'!Q59</f>
        <v>Introdução à Inteligência Artificial (Alison Zille) (Lab. 1 - Info)</v>
      </c>
      <c r="G38" s="88" t="str">
        <f>'Horário - Graduação'!R59</f>
        <v/>
      </c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36"/>
      <c r="B39" s="140" t="s">
        <v>174</v>
      </c>
      <c r="C39" s="131"/>
      <c r="D39" s="12" t="str">
        <f>'Horário - Graduação'!O60</f>
        <v/>
      </c>
      <c r="E39" s="12" t="str">
        <f>'Horário - Graduação'!P60</f>
        <v/>
      </c>
      <c r="F39" s="12" t="str">
        <f>'Horário - Graduação'!Q60</f>
        <v>Optativa I - Sistemas de Apoi à Decisão (Zélia)   (Lab. 1 - Info)</v>
      </c>
      <c r="G39" s="12" t="str">
        <f>'Horário - Graduação'!R60</f>
        <v/>
      </c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36"/>
      <c r="B40" s="140" t="s">
        <v>193</v>
      </c>
      <c r="C40" s="131"/>
      <c r="D40" s="12" t="str">
        <f>'Horário - Graduação'!O61</f>
        <v/>
      </c>
      <c r="E40" s="12" t="str">
        <f>'Horário - Graduação'!P61</f>
        <v/>
      </c>
      <c r="F40" s="12" t="str">
        <f>'Horário - Graduação'!Q61</f>
        <v>Optativa I - Sistemas de Apoi à Decisão (Zélia)   (Lab. 1 - Info)</v>
      </c>
      <c r="G40" s="12" t="str">
        <f>'Horário - Graduação'!R61</f>
        <v/>
      </c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36"/>
      <c r="B41" s="147" t="s">
        <v>111</v>
      </c>
      <c r="C41" s="131"/>
      <c r="D41" s="146" t="str">
        <f>'Horário - Graduação'!O62</f>
        <v/>
      </c>
      <c r="E41" s="146" t="str">
        <f>'Horário - Graduação'!P62</f>
        <v/>
      </c>
      <c r="F41" s="146" t="str">
        <f>'Horário - Graduação'!Q62</f>
        <v/>
      </c>
      <c r="G41" s="146" t="str">
        <f>'Horário - Graduação'!R62</f>
        <v/>
      </c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36"/>
      <c r="B42" s="140" t="s">
        <v>198</v>
      </c>
      <c r="C42" s="131"/>
      <c r="D42" s="12" t="str">
        <f>'Horário - Graduação'!O63</f>
        <v/>
      </c>
      <c r="E42" s="12" t="str">
        <f>'Horário - Graduação'!P63</f>
        <v/>
      </c>
      <c r="F42" s="12" t="str">
        <f>'Horário - Graduação'!Q63</f>
        <v/>
      </c>
      <c r="G42" s="12" t="str">
        <f>'Horário - Graduação'!R63</f>
        <v/>
      </c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66"/>
      <c r="B43" s="140" t="s">
        <v>210</v>
      </c>
      <c r="C43" s="131"/>
      <c r="D43" s="12" t="str">
        <f>'Horário - Graduação'!O64</f>
        <v/>
      </c>
      <c r="E43" s="12" t="str">
        <f>'Horário - Graduação'!P64</f>
        <v/>
      </c>
      <c r="F43" s="12" t="str">
        <f>'Horário - Graduação'!Q64</f>
        <v/>
      </c>
      <c r="G43" s="12" t="str">
        <f>'Horário - Graduação'!R64</f>
        <v/>
      </c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99" t="s">
        <v>20</v>
      </c>
      <c r="B44" s="140" t="s">
        <v>23</v>
      </c>
      <c r="C44" s="131"/>
      <c r="D44" s="6" t="s">
        <v>44</v>
      </c>
      <c r="E44" s="6" t="s">
        <v>45</v>
      </c>
      <c r="F44" s="6" t="s">
        <v>46</v>
      </c>
      <c r="G44" s="6" t="s">
        <v>47</v>
      </c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4" t="s">
        <v>13</v>
      </c>
      <c r="B45" s="24" t="s">
        <v>126</v>
      </c>
      <c r="C45" s="131"/>
      <c r="D45" s="12" t="str">
        <f>'Horário - Graduação'!O73</f>
        <v>Algoritmos e Estruturas de Dados II (Alison Zille) (Lab. 2 - Info)</v>
      </c>
      <c r="E45" s="12" t="str">
        <f>'Horário - Graduação'!P73</f>
        <v/>
      </c>
      <c r="F45" s="12" t="str">
        <f>'Horário - Graduação'!Q73</f>
        <v>Administração de Serviços de Redes de Computadores (Jamerson Jardel) (Lab. Redes)</v>
      </c>
      <c r="G45" s="12" t="str">
        <f>'Horário - Graduação'!R73</f>
        <v/>
      </c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36"/>
      <c r="B46" s="24" t="s">
        <v>138</v>
      </c>
      <c r="C46" s="131"/>
      <c r="D46" s="12" t="str">
        <f>'Horário - Graduação'!O74</f>
        <v>Algoritmos e Estruturas de Dados II (Alison Zille) (Lab. 2 - Info)</v>
      </c>
      <c r="E46" s="12" t="str">
        <f>'Horário - Graduação'!P74</f>
        <v/>
      </c>
      <c r="F46" s="12" t="str">
        <f>'Horário - Graduação'!Q74</f>
        <v>Administração de Serviços de Redes de Computadores (Jamerson Jardel) (Lab. Redes)</v>
      </c>
      <c r="G46" s="12" t="str">
        <f>'Horário - Graduação'!R74</f>
        <v/>
      </c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36"/>
      <c r="B47" s="40" t="s">
        <v>111</v>
      </c>
      <c r="C47" s="131"/>
      <c r="D47" s="146" t="str">
        <f>'Horário - Graduação'!O75</f>
        <v/>
      </c>
      <c r="E47" s="146" t="str">
        <f>'Horário - Graduação'!P75</f>
        <v/>
      </c>
      <c r="F47" s="146" t="str">
        <f>'Horário - Graduação'!Q75</f>
        <v/>
      </c>
      <c r="G47" s="146" t="str">
        <f>'Horário - Graduação'!R75</f>
        <v/>
      </c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36"/>
      <c r="B48" s="24" t="s">
        <v>141</v>
      </c>
      <c r="C48" s="131"/>
      <c r="D48" s="12" t="str">
        <f>'Horário - Graduação'!O76</f>
        <v>MATEMÁTICA DISCRETA (Nilmar) (3/11)</v>
      </c>
      <c r="E48" s="12" t="str">
        <f>'Horário - Graduação'!P76</f>
        <v/>
      </c>
      <c r="F48" s="12" t="str">
        <f>'Horário - Graduação'!Q76</f>
        <v>Introdução à Inteligência Artificial (Alison Zille) (Lab. 2 - Info)</v>
      </c>
      <c r="G48" s="12" t="str">
        <f>'Horário - Graduação'!R76</f>
        <v/>
      </c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36"/>
      <c r="B49" s="24" t="s">
        <v>154</v>
      </c>
      <c r="C49" s="131"/>
      <c r="D49" s="12" t="str">
        <f>'Horário - Graduação'!O77</f>
        <v>MATEMÁTICA DISCRETA (Nilmar) (3/11)</v>
      </c>
      <c r="E49" s="12" t="str">
        <f>'Horário - Graduação'!P77</f>
        <v/>
      </c>
      <c r="F49" s="12" t="str">
        <f>'Horário - Graduação'!Q77</f>
        <v>Introdução à Inteligência Artificial (Alison Zille) (Lab. 2 - Info)</v>
      </c>
      <c r="G49" s="12" t="str">
        <f>'Horário - Graduação'!R77</f>
        <v/>
      </c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36"/>
      <c r="B50" s="24" t="s">
        <v>155</v>
      </c>
      <c r="C50" s="131"/>
      <c r="D50" s="88" t="str">
        <f>'Horário - Graduação'!O78</f>
        <v>MATEMÁTICA DISCRETA (Nilmar) (3/11)</v>
      </c>
      <c r="E50" s="88" t="str">
        <f>'Horário - Graduação'!P78</f>
        <v/>
      </c>
      <c r="F50" s="88" t="str">
        <f>'Horário - Graduação'!Q78</f>
        <v/>
      </c>
      <c r="G50" s="88" t="str">
        <f>'Horário - Graduação'!R78</f>
        <v>Optativa III - Métodos Ágeis (Zélia) (Lab. 2 - Info)</v>
      </c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36"/>
      <c r="B51" s="147" t="s">
        <v>111</v>
      </c>
      <c r="C51" s="131"/>
      <c r="D51" s="146" t="str">
        <f>'Horário - Graduação'!O79</f>
        <v/>
      </c>
      <c r="E51" s="146" t="str">
        <f>'Horário - Graduação'!P79</f>
        <v/>
      </c>
      <c r="F51" s="146" t="str">
        <f>'Horário - Graduação'!Q79</f>
        <v/>
      </c>
      <c r="G51" s="146" t="str">
        <f>'Horário - Graduação'!R79</f>
        <v/>
      </c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36"/>
      <c r="B52" s="140" t="s">
        <v>164</v>
      </c>
      <c r="C52" s="131"/>
      <c r="D52" s="88" t="str">
        <f>'Horário - Graduação'!O80</f>
        <v>MATEMÁTICA DISCRETA (Nilmar) (EaD)</v>
      </c>
      <c r="E52" s="88" t="str">
        <f>'Horário - Graduação'!P80</f>
        <v/>
      </c>
      <c r="F52" s="88" t="str">
        <f>'Horário - Graduação'!Q80</f>
        <v/>
      </c>
      <c r="G52" s="88" t="str">
        <f>'Horário - Graduação'!R80</f>
        <v>Optativa III - Métodos Ágeis (Zélia) (Lab. 2 - Info)</v>
      </c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36"/>
      <c r="B53" s="140" t="s">
        <v>174</v>
      </c>
      <c r="C53" s="131"/>
      <c r="D53" s="12" t="str">
        <f>'Horário - Graduação'!O81</f>
        <v>Arquitetura de Computadores (Zélia) (Lab. 2 - Info)</v>
      </c>
      <c r="E53" s="12" t="str">
        <f>'Horário - Graduação'!P81</f>
        <v/>
      </c>
      <c r="F53" s="12" t="str">
        <f>'Horário - Graduação'!Q81</f>
        <v/>
      </c>
      <c r="G53" s="12" t="str">
        <f>'Horário - Graduação'!R81</f>
        <v>Direito Digital (Joaquim Comini) (CeaD)</v>
      </c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36"/>
      <c r="B54" s="140" t="s">
        <v>193</v>
      </c>
      <c r="C54" s="131"/>
      <c r="D54" s="12" t="str">
        <f>'Horário - Graduação'!O82</f>
        <v>Arquitetura de Computadores (Zélia) (Lab. 2 - Info)</v>
      </c>
      <c r="E54" s="12" t="str">
        <f>'Horário - Graduação'!P82</f>
        <v/>
      </c>
      <c r="F54" s="12" t="str">
        <f>'Horário - Graduação'!Q82</f>
        <v/>
      </c>
      <c r="G54" s="12" t="str">
        <f>'Horário - Graduação'!R82</f>
        <v>Direito Digital (Joaquim Comini) (CeaD)</v>
      </c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36"/>
      <c r="B55" s="147" t="s">
        <v>111</v>
      </c>
      <c r="C55" s="131"/>
      <c r="D55" s="146" t="str">
        <f>'Horário - Graduação'!O83</f>
        <v/>
      </c>
      <c r="E55" s="146" t="str">
        <f>'Horário - Graduação'!P83</f>
        <v/>
      </c>
      <c r="F55" s="146" t="str">
        <f>'Horário - Graduação'!Q83</f>
        <v/>
      </c>
      <c r="G55" s="146" t="str">
        <f>'Horário - Graduação'!R83</f>
        <v/>
      </c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36"/>
      <c r="B56" s="140" t="s">
        <v>198</v>
      </c>
      <c r="C56" s="131"/>
      <c r="D56" s="12" t="str">
        <f>'Horário - Graduação'!O84</f>
        <v/>
      </c>
      <c r="E56" s="12" t="str">
        <f>'Horário - Graduação'!P84</f>
        <v/>
      </c>
      <c r="F56" s="12" t="str">
        <f>'Horário - Graduação'!Q84</f>
        <v/>
      </c>
      <c r="G56" s="12" t="str">
        <f>'Horário - Graduação'!R84</f>
        <v>Trabalho de Conclusão de Curso II (Arthur) (Lab. 2 - Info)</v>
      </c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66"/>
      <c r="B57" s="140" t="s">
        <v>210</v>
      </c>
      <c r="C57" s="131"/>
      <c r="D57" s="12" t="str">
        <f>'Horário - Graduação'!O85</f>
        <v/>
      </c>
      <c r="E57" s="12" t="str">
        <f>'Horário - Graduação'!P85</f>
        <v/>
      </c>
      <c r="F57" s="12" t="str">
        <f>'Horário - Graduação'!Q85</f>
        <v/>
      </c>
      <c r="G57" s="12" t="str">
        <f>'Horário - Graduação'!R85</f>
        <v>Trabalho de Conclusão de Curso II (Arthur) (Lab. 2 - Info)</v>
      </c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99" t="s">
        <v>20</v>
      </c>
      <c r="B58" s="140" t="s">
        <v>23</v>
      </c>
      <c r="C58" s="131"/>
      <c r="D58" s="6" t="s">
        <v>44</v>
      </c>
      <c r="E58" s="6" t="s">
        <v>45</v>
      </c>
      <c r="F58" s="6" t="s">
        <v>46</v>
      </c>
      <c r="G58" s="6" t="s">
        <v>47</v>
      </c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4" t="s">
        <v>14</v>
      </c>
      <c r="B59" s="24" t="s">
        <v>126</v>
      </c>
      <c r="C59" s="131"/>
      <c r="D59" s="12" t="str">
        <f>'Horário - Graduação'!O94</f>
        <v/>
      </c>
      <c r="E59" s="12" t="str">
        <f>'Horário - Graduação'!P94</f>
        <v/>
      </c>
      <c r="F59" s="12" t="str">
        <f>'Horário - Graduação'!Q94</f>
        <v/>
      </c>
      <c r="G59" s="12" t="str">
        <f>'Horário - Graduação'!R94</f>
        <v/>
      </c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36"/>
      <c r="B60" s="24" t="s">
        <v>138</v>
      </c>
      <c r="C60" s="131"/>
      <c r="D60" s="12" t="str">
        <f>'Horário - Graduação'!O95</f>
        <v/>
      </c>
      <c r="E60" s="12" t="str">
        <f>'Horário - Graduação'!P95</f>
        <v/>
      </c>
      <c r="F60" s="12" t="str">
        <f>'Horário - Graduação'!Q95</f>
        <v/>
      </c>
      <c r="G60" s="12" t="str">
        <f>'Horário - Graduação'!R95</f>
        <v/>
      </c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36"/>
      <c r="B61" s="40" t="s">
        <v>111</v>
      </c>
      <c r="C61" s="131"/>
      <c r="D61" s="146" t="str">
        <f>'Horário - Graduação'!O96</f>
        <v/>
      </c>
      <c r="E61" s="146" t="str">
        <f>'Horário - Graduação'!P96</f>
        <v/>
      </c>
      <c r="F61" s="146" t="str">
        <f>'Horário - Graduação'!Q96</f>
        <v/>
      </c>
      <c r="G61" s="146" t="str">
        <f>'Horário - Graduação'!R96</f>
        <v/>
      </c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36"/>
      <c r="B62" s="24" t="s">
        <v>141</v>
      </c>
      <c r="C62" s="131"/>
      <c r="D62" s="12" t="str">
        <f>'Horário - Graduação'!O97</f>
        <v>Inglês Instrumental  (3/11)</v>
      </c>
      <c r="E62" s="12" t="str">
        <f>'Horário - Graduação'!P97</f>
        <v/>
      </c>
      <c r="F62" s="12" t="str">
        <f>'Horário - Graduação'!Q97</f>
        <v/>
      </c>
      <c r="G62" s="12" t="str">
        <f>'Horário - Graduação'!R97</f>
        <v/>
      </c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36"/>
      <c r="B63" s="24" t="s">
        <v>154</v>
      </c>
      <c r="C63" s="131"/>
      <c r="D63" s="12" t="str">
        <f>'Horário - Graduação'!O98</f>
        <v>Inglês Instrumental  (3/11)</v>
      </c>
      <c r="E63" s="12" t="str">
        <f>'Horário - Graduação'!P98</f>
        <v/>
      </c>
      <c r="F63" s="12" t="str">
        <f>'Horário - Graduação'!Q98</f>
        <v/>
      </c>
      <c r="G63" s="12" t="str">
        <f>'Horário - Graduação'!R98</f>
        <v/>
      </c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36"/>
      <c r="B64" s="24" t="s">
        <v>155</v>
      </c>
      <c r="C64" s="131"/>
      <c r="D64" s="88" t="str">
        <f>'Horário - Graduação'!O99</f>
        <v/>
      </c>
      <c r="E64" s="88" t="str">
        <f>'Horário - Graduação'!P99</f>
        <v/>
      </c>
      <c r="F64" s="88" t="str">
        <f>'Horário - Graduação'!Q99</f>
        <v/>
      </c>
      <c r="G64" s="88" t="str">
        <f>'Horário - Graduação'!R99</f>
        <v/>
      </c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36"/>
      <c r="B65" s="147" t="s">
        <v>111</v>
      </c>
      <c r="C65" s="131"/>
      <c r="D65" s="146" t="str">
        <f>'Horário - Graduação'!O100</f>
        <v/>
      </c>
      <c r="E65" s="146" t="str">
        <f>'Horário - Graduação'!P100</f>
        <v/>
      </c>
      <c r="F65" s="146" t="str">
        <f>'Horário - Graduação'!Q100</f>
        <v/>
      </c>
      <c r="G65" s="146" t="str">
        <f>'Horário - Graduação'!R100</f>
        <v/>
      </c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36"/>
      <c r="B66" s="140" t="s">
        <v>164</v>
      </c>
      <c r="C66" s="131"/>
      <c r="D66" s="88" t="str">
        <f>'Horário - Graduação'!O101</f>
        <v/>
      </c>
      <c r="E66" s="88" t="str">
        <f>'Horário - Graduação'!P101</f>
        <v/>
      </c>
      <c r="F66" s="88" t="str">
        <f>'Horário - Graduação'!Q101</f>
        <v/>
      </c>
      <c r="G66" s="88" t="str">
        <f>'Horário - Graduação'!R101</f>
        <v/>
      </c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36"/>
      <c r="B67" s="140" t="s">
        <v>174</v>
      </c>
      <c r="C67" s="131"/>
      <c r="D67" s="12" t="str">
        <f>'Horário - Graduação'!O102</f>
        <v/>
      </c>
      <c r="E67" s="12" t="str">
        <f>'Horário - Graduação'!P102</f>
        <v/>
      </c>
      <c r="F67" s="12" t="str">
        <f>'Horário - Graduação'!Q102</f>
        <v/>
      </c>
      <c r="G67" s="12" t="str">
        <f>'Horário - Graduação'!R102</f>
        <v/>
      </c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36"/>
      <c r="B68" s="140" t="s">
        <v>193</v>
      </c>
      <c r="C68" s="131"/>
      <c r="D68" s="12" t="str">
        <f>'Horário - Graduação'!O103</f>
        <v/>
      </c>
      <c r="E68" s="12" t="str">
        <f>'Horário - Graduação'!P103</f>
        <v/>
      </c>
      <c r="F68" s="12" t="str">
        <f>'Horário - Graduação'!Q103</f>
        <v/>
      </c>
      <c r="G68" s="12" t="str">
        <f>'Horário - Graduação'!R103</f>
        <v/>
      </c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36"/>
      <c r="B69" s="147" t="s">
        <v>111</v>
      </c>
      <c r="C69" s="131"/>
      <c r="D69" s="146" t="str">
        <f>'Horário - Graduação'!O104</f>
        <v/>
      </c>
      <c r="E69" s="146" t="str">
        <f>'Horário - Graduação'!P104</f>
        <v/>
      </c>
      <c r="F69" s="146" t="str">
        <f>'Horário - Graduação'!Q104</f>
        <v/>
      </c>
      <c r="G69" s="146" t="str">
        <f>'Horário - Graduação'!R104</f>
        <v/>
      </c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36"/>
      <c r="B70" s="140" t="s">
        <v>198</v>
      </c>
      <c r="C70" s="131"/>
      <c r="D70" s="12" t="str">
        <f>'Horário - Graduação'!O105</f>
        <v/>
      </c>
      <c r="E70" s="12" t="str">
        <f>'Horário - Graduação'!P105</f>
        <v/>
      </c>
      <c r="F70" s="12" t="str">
        <f>'Horário - Graduação'!Q105</f>
        <v/>
      </c>
      <c r="G70" s="12" t="str">
        <f>'Horário - Graduação'!R105</f>
        <v/>
      </c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66"/>
      <c r="B71" s="140" t="s">
        <v>210</v>
      </c>
      <c r="C71" s="131"/>
      <c r="D71" s="12" t="str">
        <f>'Horário - Graduação'!O106</f>
        <v/>
      </c>
      <c r="E71" s="12" t="str">
        <f>'Horário - Graduação'!P106</f>
        <v/>
      </c>
      <c r="F71" s="12" t="str">
        <f>'Horário - Graduação'!Q106</f>
        <v/>
      </c>
      <c r="G71" s="12" t="str">
        <f>'Horário - Graduação'!R106</f>
        <v/>
      </c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42" t="s">
        <v>20</v>
      </c>
      <c r="B72" s="140" t="s">
        <v>23</v>
      </c>
      <c r="C72" s="131"/>
      <c r="D72" s="6" t="s">
        <v>44</v>
      </c>
      <c r="E72" s="6" t="s">
        <v>45</v>
      </c>
      <c r="F72" s="6" t="s">
        <v>46</v>
      </c>
      <c r="G72" s="6" t="s">
        <v>47</v>
      </c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32"/>
      <c r="C273" s="32"/>
      <c r="D273" s="32"/>
      <c r="E273" s="32"/>
      <c r="F273" s="32"/>
      <c r="G273" s="32"/>
    </row>
    <row r="274" ht="15.75" customHeight="1">
      <c r="A274" s="32"/>
      <c r="C274" s="32"/>
      <c r="D274" s="32"/>
      <c r="E274" s="32"/>
      <c r="F274" s="32"/>
      <c r="G274" s="32"/>
    </row>
    <row r="275" ht="15.75" customHeight="1">
      <c r="A275" s="32"/>
      <c r="C275" s="32"/>
      <c r="D275" s="32"/>
      <c r="E275" s="32"/>
      <c r="F275" s="32"/>
      <c r="G275" s="32"/>
    </row>
    <row r="276" ht="15.75" customHeight="1">
      <c r="A276" s="32"/>
      <c r="C276" s="32"/>
      <c r="D276" s="32"/>
      <c r="E276" s="32"/>
      <c r="F276" s="32"/>
      <c r="G276" s="32"/>
    </row>
    <row r="277" ht="15.75" customHeight="1">
      <c r="A277" s="32"/>
      <c r="C277" s="32"/>
      <c r="D277" s="32"/>
      <c r="E277" s="32"/>
      <c r="F277" s="32"/>
      <c r="G277" s="32"/>
    </row>
    <row r="278" ht="15.75" customHeight="1">
      <c r="A278" s="32"/>
      <c r="C278" s="32"/>
      <c r="D278" s="32"/>
      <c r="E278" s="32"/>
      <c r="F278" s="32"/>
      <c r="G278" s="32"/>
    </row>
    <row r="279" ht="15.75" customHeight="1">
      <c r="A279" s="32"/>
      <c r="C279" s="32"/>
      <c r="D279" s="32"/>
      <c r="E279" s="32"/>
      <c r="F279" s="32"/>
      <c r="G279" s="32"/>
    </row>
    <row r="280" ht="15.75" customHeight="1">
      <c r="A280" s="32"/>
      <c r="C280" s="32"/>
      <c r="D280" s="32"/>
      <c r="E280" s="32"/>
      <c r="F280" s="32"/>
      <c r="G280" s="32"/>
    </row>
    <row r="281" ht="15.75" customHeight="1">
      <c r="A281" s="32"/>
      <c r="C281" s="32"/>
      <c r="D281" s="32"/>
      <c r="E281" s="32"/>
      <c r="F281" s="32"/>
      <c r="G281" s="32"/>
    </row>
    <row r="282" ht="15.75" customHeight="1">
      <c r="A282" s="32"/>
      <c r="C282" s="32"/>
      <c r="D282" s="32"/>
      <c r="E282" s="32"/>
      <c r="F282" s="32"/>
      <c r="G282" s="32"/>
    </row>
    <row r="283" ht="15.75" customHeight="1">
      <c r="A283" s="32"/>
      <c r="C283" s="32"/>
      <c r="D283" s="32"/>
      <c r="E283" s="32"/>
      <c r="F283" s="32"/>
      <c r="G283" s="32"/>
    </row>
    <row r="284" ht="15.75" customHeight="1">
      <c r="A284" s="32"/>
      <c r="C284" s="32"/>
      <c r="D284" s="32"/>
      <c r="E284" s="32"/>
      <c r="F284" s="32"/>
      <c r="G284" s="32"/>
    </row>
    <row r="285" ht="15.75" customHeight="1">
      <c r="A285" s="32"/>
      <c r="C285" s="32"/>
      <c r="D285" s="32"/>
      <c r="E285" s="32"/>
      <c r="F285" s="32"/>
      <c r="G285" s="32"/>
    </row>
    <row r="286" ht="15.75" customHeight="1">
      <c r="A286" s="32"/>
      <c r="C286" s="32"/>
      <c r="D286" s="32"/>
      <c r="E286" s="32"/>
      <c r="F286" s="32"/>
      <c r="G286" s="32"/>
    </row>
    <row r="287" ht="15.75" customHeight="1">
      <c r="A287" s="32"/>
      <c r="C287" s="32"/>
      <c r="D287" s="32"/>
      <c r="E287" s="32"/>
      <c r="F287" s="32"/>
      <c r="G287" s="32"/>
    </row>
    <row r="288" ht="15.75" customHeight="1">
      <c r="A288" s="32"/>
      <c r="C288" s="32"/>
      <c r="D288" s="32"/>
      <c r="E288" s="32"/>
      <c r="F288" s="32"/>
      <c r="G288" s="32"/>
    </row>
    <row r="289" ht="15.75" customHeight="1">
      <c r="A289" s="32"/>
      <c r="C289" s="32"/>
      <c r="D289" s="32"/>
      <c r="E289" s="32"/>
      <c r="F289" s="32"/>
      <c r="G289" s="32"/>
    </row>
    <row r="290" ht="15.75" customHeight="1">
      <c r="A290" s="32"/>
      <c r="C290" s="32"/>
      <c r="D290" s="32"/>
      <c r="E290" s="32"/>
      <c r="F290" s="32"/>
      <c r="G290" s="32"/>
    </row>
    <row r="291" ht="15.75" customHeight="1">
      <c r="A291" s="32"/>
      <c r="C291" s="32"/>
      <c r="D291" s="32"/>
      <c r="E291" s="32"/>
      <c r="F291" s="32"/>
      <c r="G291" s="32"/>
    </row>
    <row r="292" ht="15.75" customHeight="1">
      <c r="A292" s="32"/>
      <c r="C292" s="32"/>
      <c r="D292" s="32"/>
      <c r="E292" s="32"/>
      <c r="F292" s="32"/>
      <c r="G292" s="32"/>
    </row>
    <row r="293" ht="15.75" customHeight="1">
      <c r="A293" s="32"/>
      <c r="C293" s="32"/>
      <c r="D293" s="32"/>
      <c r="E293" s="32"/>
      <c r="F293" s="32"/>
      <c r="G293" s="32"/>
    </row>
    <row r="294" ht="15.75" customHeight="1">
      <c r="A294" s="32"/>
      <c r="C294" s="32"/>
      <c r="D294" s="32"/>
      <c r="E294" s="32"/>
      <c r="F294" s="32"/>
      <c r="G294" s="32"/>
    </row>
    <row r="295" ht="15.75" customHeight="1">
      <c r="A295" s="32"/>
      <c r="C295" s="32"/>
      <c r="D295" s="32"/>
      <c r="E295" s="32"/>
      <c r="F295" s="32"/>
      <c r="G295" s="32"/>
    </row>
    <row r="296" ht="15.75" customHeight="1">
      <c r="A296" s="32"/>
      <c r="C296" s="32"/>
      <c r="D296" s="32"/>
      <c r="E296" s="32"/>
      <c r="F296" s="32"/>
      <c r="G296" s="32"/>
    </row>
    <row r="297" ht="15.75" customHeight="1">
      <c r="A297" s="32"/>
      <c r="C297" s="32"/>
      <c r="D297" s="32"/>
      <c r="E297" s="32"/>
      <c r="F297" s="32"/>
      <c r="G297" s="32"/>
    </row>
    <row r="298" ht="15.75" customHeight="1">
      <c r="A298" s="32"/>
      <c r="C298" s="32"/>
      <c r="D298" s="32"/>
      <c r="E298" s="32"/>
      <c r="F298" s="32"/>
      <c r="G298" s="32"/>
    </row>
    <row r="299" ht="15.75" customHeight="1">
      <c r="A299" s="32"/>
      <c r="C299" s="32"/>
      <c r="D299" s="32"/>
      <c r="E299" s="32"/>
      <c r="F299" s="32"/>
      <c r="G299" s="32"/>
    </row>
    <row r="300" ht="15.75" customHeight="1">
      <c r="A300" s="32"/>
      <c r="C300" s="32"/>
      <c r="D300" s="32"/>
      <c r="E300" s="32"/>
      <c r="F300" s="32"/>
      <c r="G300" s="32"/>
    </row>
    <row r="301" ht="15.75" customHeight="1">
      <c r="A301" s="32"/>
      <c r="C301" s="32"/>
      <c r="D301" s="32"/>
      <c r="E301" s="32"/>
      <c r="F301" s="32"/>
      <c r="G301" s="32"/>
    </row>
    <row r="302" ht="15.75" customHeight="1">
      <c r="A302" s="32"/>
      <c r="C302" s="32"/>
      <c r="D302" s="32"/>
      <c r="E302" s="32"/>
      <c r="F302" s="32"/>
      <c r="G302" s="32"/>
    </row>
    <row r="303" ht="15.75" customHeight="1">
      <c r="A303" s="32"/>
      <c r="C303" s="32"/>
      <c r="D303" s="32"/>
      <c r="E303" s="32"/>
      <c r="F303" s="32"/>
      <c r="G303" s="32"/>
    </row>
    <row r="304" ht="15.75" customHeight="1">
      <c r="A304" s="32"/>
      <c r="C304" s="32"/>
      <c r="D304" s="32"/>
      <c r="E304" s="32"/>
      <c r="F304" s="32"/>
      <c r="G304" s="32"/>
    </row>
    <row r="305" ht="15.75" customHeight="1">
      <c r="A305" s="32"/>
      <c r="C305" s="32"/>
      <c r="D305" s="32"/>
      <c r="E305" s="32"/>
      <c r="F305" s="32"/>
      <c r="G305" s="32"/>
    </row>
    <row r="306" ht="15.75" customHeight="1">
      <c r="A306" s="32"/>
      <c r="C306" s="32"/>
      <c r="D306" s="32"/>
      <c r="E306" s="32"/>
      <c r="F306" s="32"/>
      <c r="G306" s="32"/>
    </row>
    <row r="307" ht="15.75" customHeight="1">
      <c r="A307" s="32"/>
      <c r="C307" s="32"/>
      <c r="D307" s="32"/>
      <c r="E307" s="32"/>
      <c r="F307" s="32"/>
      <c r="G307" s="32"/>
    </row>
    <row r="308" ht="15.75" customHeight="1">
      <c r="A308" s="32"/>
      <c r="C308" s="32"/>
      <c r="D308" s="32"/>
      <c r="E308" s="32"/>
      <c r="F308" s="32"/>
      <c r="G308" s="32"/>
    </row>
    <row r="309" ht="15.75" customHeight="1">
      <c r="A309" s="32"/>
      <c r="C309" s="32"/>
      <c r="D309" s="32"/>
      <c r="E309" s="32"/>
      <c r="F309" s="32"/>
      <c r="G309" s="32"/>
    </row>
    <row r="310" ht="15.75" customHeight="1">
      <c r="A310" s="32"/>
      <c r="C310" s="32"/>
      <c r="D310" s="32"/>
      <c r="E310" s="32"/>
      <c r="F310" s="32"/>
      <c r="G310" s="32"/>
    </row>
    <row r="311" ht="15.75" customHeight="1">
      <c r="A311" s="32"/>
      <c r="C311" s="32"/>
      <c r="D311" s="32"/>
      <c r="E311" s="32"/>
      <c r="F311" s="32"/>
      <c r="G311" s="32"/>
    </row>
    <row r="312" ht="15.75" customHeight="1">
      <c r="A312" s="32"/>
      <c r="C312" s="32"/>
      <c r="D312" s="32"/>
      <c r="E312" s="32"/>
      <c r="F312" s="32"/>
      <c r="G312" s="32"/>
    </row>
    <row r="313" ht="15.75" customHeight="1">
      <c r="A313" s="32"/>
      <c r="C313" s="32"/>
      <c r="D313" s="32"/>
      <c r="E313" s="32"/>
      <c r="F313" s="32"/>
      <c r="G313" s="32"/>
    </row>
    <row r="314" ht="15.75" customHeight="1">
      <c r="A314" s="32"/>
      <c r="C314" s="32"/>
      <c r="D314" s="32"/>
      <c r="E314" s="32"/>
      <c r="F314" s="32"/>
      <c r="G314" s="32"/>
    </row>
    <row r="315" ht="15.75" customHeight="1">
      <c r="A315" s="32"/>
      <c r="C315" s="32"/>
      <c r="D315" s="32"/>
      <c r="E315" s="32"/>
      <c r="F315" s="32"/>
      <c r="G315" s="32"/>
    </row>
    <row r="316" ht="15.75" customHeight="1">
      <c r="A316" s="32"/>
      <c r="C316" s="32"/>
      <c r="D316" s="32"/>
      <c r="E316" s="32"/>
      <c r="F316" s="32"/>
      <c r="G316" s="32"/>
    </row>
    <row r="317" ht="15.75" customHeight="1">
      <c r="A317" s="32"/>
      <c r="C317" s="32"/>
      <c r="D317" s="32"/>
      <c r="E317" s="32"/>
      <c r="F317" s="32"/>
      <c r="G317" s="32"/>
    </row>
    <row r="318" ht="15.75" customHeight="1">
      <c r="A318" s="32"/>
      <c r="C318" s="32"/>
      <c r="D318" s="32"/>
      <c r="E318" s="32"/>
      <c r="F318" s="32"/>
      <c r="G318" s="32"/>
    </row>
    <row r="319" ht="15.75" customHeight="1">
      <c r="A319" s="32"/>
      <c r="C319" s="32"/>
      <c r="D319" s="32"/>
      <c r="E319" s="32"/>
      <c r="F319" s="32"/>
      <c r="G319" s="32"/>
    </row>
    <row r="320" ht="15.75" customHeight="1">
      <c r="A320" s="32"/>
      <c r="C320" s="32"/>
      <c r="D320" s="32"/>
      <c r="E320" s="32"/>
      <c r="F320" s="32"/>
      <c r="G320" s="32"/>
    </row>
    <row r="321" ht="15.75" customHeight="1">
      <c r="A321" s="32"/>
      <c r="C321" s="32"/>
      <c r="D321" s="32"/>
      <c r="E321" s="32"/>
      <c r="F321" s="32"/>
      <c r="G321" s="32"/>
    </row>
    <row r="322" ht="15.75" customHeight="1">
      <c r="A322" s="32"/>
      <c r="C322" s="32"/>
      <c r="D322" s="32"/>
      <c r="E322" s="32"/>
      <c r="F322" s="32"/>
      <c r="G322" s="32"/>
    </row>
    <row r="323" ht="15.75" customHeight="1">
      <c r="A323" s="32"/>
      <c r="C323" s="32"/>
      <c r="D323" s="32"/>
      <c r="E323" s="32"/>
      <c r="F323" s="32"/>
      <c r="G323" s="32"/>
    </row>
    <row r="324" ht="15.75" customHeight="1">
      <c r="A324" s="32"/>
      <c r="C324" s="32"/>
      <c r="D324" s="32"/>
      <c r="E324" s="32"/>
      <c r="F324" s="32"/>
      <c r="G324" s="32"/>
    </row>
    <row r="325" ht="15.75" customHeight="1">
      <c r="A325" s="32"/>
      <c r="C325" s="32"/>
      <c r="D325" s="32"/>
      <c r="E325" s="32"/>
      <c r="F325" s="32"/>
      <c r="G325" s="32"/>
    </row>
    <row r="326" ht="15.75" customHeight="1">
      <c r="A326" s="32"/>
      <c r="C326" s="32"/>
      <c r="D326" s="32"/>
      <c r="E326" s="32"/>
      <c r="F326" s="32"/>
      <c r="G326" s="32"/>
    </row>
    <row r="327" ht="15.75" customHeight="1">
      <c r="A327" s="32"/>
      <c r="C327" s="32"/>
      <c r="D327" s="32"/>
      <c r="E327" s="32"/>
      <c r="F327" s="32"/>
      <c r="G327" s="32"/>
    </row>
    <row r="328" ht="15.75" customHeight="1">
      <c r="A328" s="32"/>
      <c r="C328" s="32"/>
      <c r="D328" s="32"/>
      <c r="E328" s="32"/>
      <c r="F328" s="32"/>
      <c r="G328" s="32"/>
    </row>
    <row r="329" ht="15.75" customHeight="1">
      <c r="A329" s="32"/>
      <c r="C329" s="32"/>
      <c r="D329" s="32"/>
      <c r="E329" s="32"/>
      <c r="F329" s="32"/>
      <c r="G329" s="32"/>
    </row>
    <row r="330" ht="15.75" customHeight="1">
      <c r="A330" s="32"/>
      <c r="C330" s="32"/>
      <c r="D330" s="32"/>
      <c r="E330" s="32"/>
      <c r="F330" s="32"/>
      <c r="G330" s="32"/>
    </row>
    <row r="331" ht="15.75" customHeight="1">
      <c r="A331" s="32"/>
      <c r="C331" s="32"/>
      <c r="D331" s="32"/>
      <c r="E331" s="32"/>
      <c r="F331" s="32"/>
      <c r="G331" s="32"/>
    </row>
    <row r="332" ht="15.75" customHeight="1">
      <c r="A332" s="32"/>
      <c r="C332" s="32"/>
      <c r="D332" s="32"/>
      <c r="E332" s="32"/>
      <c r="F332" s="32"/>
      <c r="G332" s="32"/>
    </row>
    <row r="333" ht="15.75" customHeight="1">
      <c r="A333" s="32"/>
      <c r="C333" s="32"/>
      <c r="D333" s="32"/>
      <c r="E333" s="32"/>
      <c r="F333" s="32"/>
      <c r="G333" s="32"/>
    </row>
    <row r="334" ht="15.75" customHeight="1">
      <c r="A334" s="32"/>
      <c r="C334" s="32"/>
      <c r="D334" s="32"/>
      <c r="E334" s="32"/>
      <c r="F334" s="32"/>
      <c r="G334" s="32"/>
    </row>
    <row r="335" ht="15.75" customHeight="1">
      <c r="A335" s="32"/>
      <c r="C335" s="32"/>
      <c r="D335" s="32"/>
      <c r="E335" s="32"/>
      <c r="F335" s="32"/>
      <c r="G335" s="32"/>
    </row>
    <row r="336" ht="15.75" customHeight="1">
      <c r="A336" s="32"/>
      <c r="C336" s="32"/>
      <c r="D336" s="32"/>
      <c r="E336" s="32"/>
      <c r="F336" s="32"/>
      <c r="G336" s="32"/>
    </row>
    <row r="337" ht="15.75" customHeight="1">
      <c r="A337" s="32"/>
      <c r="C337" s="32"/>
      <c r="D337" s="32"/>
      <c r="E337" s="32"/>
      <c r="F337" s="32"/>
      <c r="G337" s="32"/>
    </row>
    <row r="338" ht="15.75" customHeight="1">
      <c r="A338" s="32"/>
      <c r="C338" s="32"/>
      <c r="D338" s="32"/>
      <c r="E338" s="32"/>
      <c r="F338" s="32"/>
      <c r="G338" s="32"/>
    </row>
    <row r="339" ht="15.75" customHeight="1">
      <c r="A339" s="32"/>
      <c r="C339" s="32"/>
      <c r="D339" s="32"/>
      <c r="E339" s="32"/>
      <c r="F339" s="32"/>
      <c r="G339" s="32"/>
    </row>
    <row r="340" ht="15.75" customHeight="1">
      <c r="A340" s="32"/>
      <c r="C340" s="32"/>
      <c r="D340" s="32"/>
      <c r="E340" s="32"/>
      <c r="F340" s="32"/>
      <c r="G340" s="32"/>
    </row>
    <row r="341" ht="15.75" customHeight="1">
      <c r="A341" s="32"/>
      <c r="C341" s="32"/>
      <c r="D341" s="32"/>
      <c r="E341" s="32"/>
      <c r="F341" s="32"/>
      <c r="G341" s="32"/>
    </row>
    <row r="342" ht="15.75" customHeight="1">
      <c r="A342" s="32"/>
      <c r="C342" s="32"/>
      <c r="D342" s="32"/>
      <c r="E342" s="32"/>
      <c r="F342" s="32"/>
      <c r="G342" s="32"/>
    </row>
    <row r="343" ht="15.75" customHeight="1">
      <c r="A343" s="32"/>
      <c r="C343" s="32"/>
      <c r="D343" s="32"/>
      <c r="E343" s="32"/>
      <c r="F343" s="32"/>
      <c r="G343" s="32"/>
    </row>
    <row r="344" ht="15.75" customHeight="1">
      <c r="A344" s="32"/>
      <c r="C344" s="32"/>
      <c r="D344" s="32"/>
      <c r="E344" s="32"/>
      <c r="F344" s="32"/>
      <c r="G344" s="32"/>
    </row>
    <row r="345" ht="15.75" customHeight="1">
      <c r="A345" s="32"/>
      <c r="C345" s="32"/>
      <c r="D345" s="32"/>
      <c r="E345" s="32"/>
      <c r="F345" s="32"/>
      <c r="G345" s="32"/>
    </row>
    <row r="346" ht="15.75" customHeight="1">
      <c r="A346" s="32"/>
      <c r="C346" s="32"/>
      <c r="D346" s="32"/>
      <c r="E346" s="32"/>
      <c r="F346" s="32"/>
      <c r="G346" s="32"/>
    </row>
    <row r="347" ht="15.75" customHeight="1">
      <c r="A347" s="32"/>
      <c r="C347" s="32"/>
      <c r="D347" s="32"/>
      <c r="E347" s="32"/>
      <c r="F347" s="32"/>
      <c r="G347" s="32"/>
    </row>
    <row r="348" ht="15.75" customHeight="1">
      <c r="A348" s="32"/>
      <c r="C348" s="32"/>
      <c r="D348" s="32"/>
      <c r="E348" s="32"/>
      <c r="F348" s="32"/>
      <c r="G348" s="32"/>
    </row>
    <row r="349" ht="15.75" customHeight="1">
      <c r="A349" s="32"/>
      <c r="C349" s="32"/>
      <c r="D349" s="32"/>
      <c r="E349" s="32"/>
      <c r="F349" s="32"/>
      <c r="G349" s="32"/>
    </row>
    <row r="350" ht="15.75" customHeight="1">
      <c r="A350" s="32"/>
      <c r="C350" s="32"/>
      <c r="D350" s="32"/>
      <c r="E350" s="32"/>
      <c r="F350" s="32"/>
      <c r="G350" s="32"/>
    </row>
    <row r="351" ht="15.75" customHeight="1">
      <c r="A351" s="32"/>
      <c r="C351" s="32"/>
      <c r="D351" s="32"/>
      <c r="E351" s="32"/>
      <c r="F351" s="32"/>
      <c r="G351" s="32"/>
    </row>
    <row r="352" ht="15.75" customHeight="1">
      <c r="A352" s="32"/>
      <c r="C352" s="32"/>
      <c r="D352" s="32"/>
      <c r="E352" s="32"/>
      <c r="F352" s="32"/>
      <c r="G352" s="32"/>
    </row>
    <row r="353" ht="15.75" customHeight="1">
      <c r="A353" s="32"/>
      <c r="C353" s="32"/>
      <c r="D353" s="32"/>
      <c r="E353" s="32"/>
      <c r="F353" s="32"/>
      <c r="G353" s="32"/>
    </row>
    <row r="354" ht="15.75" customHeight="1">
      <c r="A354" s="32"/>
      <c r="C354" s="32"/>
      <c r="D354" s="32"/>
      <c r="E354" s="32"/>
      <c r="F354" s="32"/>
      <c r="G354" s="32"/>
    </row>
    <row r="355" ht="15.75" customHeight="1">
      <c r="A355" s="32"/>
      <c r="C355" s="32"/>
      <c r="D355" s="32"/>
      <c r="E355" s="32"/>
      <c r="F355" s="32"/>
      <c r="G355" s="32"/>
    </row>
    <row r="356" ht="15.75" customHeight="1">
      <c r="A356" s="32"/>
      <c r="C356" s="32"/>
      <c r="D356" s="32"/>
      <c r="E356" s="32"/>
      <c r="F356" s="32"/>
      <c r="G356" s="32"/>
    </row>
    <row r="357" ht="15.75" customHeight="1">
      <c r="A357" s="32"/>
      <c r="C357" s="32"/>
      <c r="D357" s="32"/>
      <c r="E357" s="32"/>
      <c r="F357" s="32"/>
      <c r="G357" s="32"/>
    </row>
    <row r="358" ht="15.75" customHeight="1">
      <c r="A358" s="32"/>
      <c r="C358" s="32"/>
      <c r="D358" s="32"/>
      <c r="E358" s="32"/>
      <c r="F358" s="32"/>
      <c r="G358" s="32"/>
    </row>
    <row r="359" ht="15.75" customHeight="1">
      <c r="A359" s="32"/>
      <c r="C359" s="32"/>
      <c r="D359" s="32"/>
      <c r="E359" s="32"/>
      <c r="F359" s="32"/>
      <c r="G359" s="32"/>
    </row>
    <row r="360" ht="15.75" customHeight="1">
      <c r="A360" s="32"/>
      <c r="C360" s="32"/>
      <c r="D360" s="32"/>
      <c r="E360" s="32"/>
      <c r="F360" s="32"/>
      <c r="G360" s="32"/>
    </row>
    <row r="361" ht="15.75" customHeight="1">
      <c r="A361" s="32"/>
      <c r="C361" s="32"/>
      <c r="D361" s="32"/>
      <c r="E361" s="32"/>
      <c r="F361" s="32"/>
      <c r="G361" s="32"/>
    </row>
    <row r="362" ht="15.75" customHeight="1">
      <c r="A362" s="32"/>
      <c r="C362" s="32"/>
      <c r="D362" s="32"/>
      <c r="E362" s="32"/>
      <c r="F362" s="32"/>
      <c r="G362" s="32"/>
    </row>
    <row r="363" ht="15.75" customHeight="1">
      <c r="A363" s="32"/>
      <c r="C363" s="32"/>
      <c r="D363" s="32"/>
      <c r="E363" s="32"/>
      <c r="F363" s="32"/>
      <c r="G363" s="32"/>
    </row>
    <row r="364" ht="15.75" customHeight="1">
      <c r="A364" s="32"/>
      <c r="C364" s="32"/>
      <c r="D364" s="32"/>
      <c r="E364" s="32"/>
      <c r="F364" s="32"/>
      <c r="G364" s="32"/>
    </row>
    <row r="365" ht="15.75" customHeight="1">
      <c r="A365" s="32"/>
      <c r="C365" s="32"/>
      <c r="D365" s="32"/>
      <c r="E365" s="32"/>
      <c r="F365" s="32"/>
      <c r="G365" s="32"/>
    </row>
    <row r="366" ht="15.75" customHeight="1">
      <c r="A366" s="32"/>
      <c r="C366" s="32"/>
      <c r="D366" s="32"/>
      <c r="E366" s="32"/>
      <c r="F366" s="32"/>
      <c r="G366" s="32"/>
    </row>
    <row r="367" ht="15.75" customHeight="1">
      <c r="A367" s="32"/>
      <c r="C367" s="32"/>
      <c r="D367" s="32"/>
      <c r="E367" s="32"/>
      <c r="F367" s="32"/>
      <c r="G367" s="32"/>
    </row>
    <row r="368" ht="15.75" customHeight="1">
      <c r="A368" s="32"/>
      <c r="C368" s="32"/>
      <c r="D368" s="32"/>
      <c r="E368" s="32"/>
      <c r="F368" s="32"/>
      <c r="G368" s="32"/>
    </row>
    <row r="369" ht="15.75" customHeight="1">
      <c r="A369" s="32"/>
      <c r="C369" s="32"/>
      <c r="D369" s="32"/>
      <c r="E369" s="32"/>
      <c r="F369" s="32"/>
      <c r="G369" s="32"/>
    </row>
    <row r="370" ht="15.75" customHeight="1">
      <c r="A370" s="32"/>
      <c r="C370" s="32"/>
      <c r="D370" s="32"/>
      <c r="E370" s="32"/>
      <c r="F370" s="32"/>
      <c r="G370" s="32"/>
    </row>
    <row r="371" ht="15.75" customHeight="1">
      <c r="A371" s="32"/>
      <c r="C371" s="32"/>
      <c r="D371" s="32"/>
      <c r="E371" s="32"/>
      <c r="F371" s="32"/>
      <c r="G371" s="32"/>
    </row>
    <row r="372" ht="15.75" customHeight="1">
      <c r="A372" s="32"/>
      <c r="C372" s="32"/>
      <c r="D372" s="32"/>
      <c r="E372" s="32"/>
      <c r="F372" s="32"/>
      <c r="G372" s="32"/>
    </row>
    <row r="373" ht="15.75" customHeight="1">
      <c r="A373" s="32"/>
      <c r="C373" s="32"/>
      <c r="D373" s="32"/>
      <c r="E373" s="32"/>
      <c r="F373" s="32"/>
      <c r="G373" s="32"/>
    </row>
    <row r="374" ht="15.75" customHeight="1">
      <c r="A374" s="32"/>
      <c r="C374" s="32"/>
      <c r="D374" s="32"/>
      <c r="E374" s="32"/>
      <c r="F374" s="32"/>
      <c r="G374" s="32"/>
    </row>
    <row r="375" ht="15.75" customHeight="1">
      <c r="A375" s="32"/>
      <c r="C375" s="32"/>
      <c r="D375" s="32"/>
      <c r="E375" s="32"/>
      <c r="F375" s="32"/>
      <c r="G375" s="32"/>
    </row>
    <row r="376" ht="15.75" customHeight="1">
      <c r="A376" s="32"/>
      <c r="C376" s="32"/>
      <c r="D376" s="32"/>
      <c r="E376" s="32"/>
      <c r="F376" s="32"/>
      <c r="G376" s="32"/>
    </row>
    <row r="377" ht="15.75" customHeight="1">
      <c r="A377" s="32"/>
      <c r="C377" s="32"/>
      <c r="D377" s="32"/>
      <c r="E377" s="32"/>
      <c r="F377" s="32"/>
      <c r="G377" s="32"/>
    </row>
    <row r="378" ht="15.75" customHeight="1">
      <c r="A378" s="32"/>
      <c r="C378" s="32"/>
      <c r="D378" s="32"/>
      <c r="E378" s="32"/>
      <c r="F378" s="32"/>
      <c r="G378" s="32"/>
    </row>
    <row r="379" ht="15.75" customHeight="1">
      <c r="A379" s="32"/>
      <c r="C379" s="32"/>
      <c r="D379" s="32"/>
      <c r="E379" s="32"/>
      <c r="F379" s="32"/>
      <c r="G379" s="32"/>
    </row>
    <row r="380" ht="15.75" customHeight="1">
      <c r="A380" s="32"/>
      <c r="C380" s="32"/>
      <c r="D380" s="32"/>
      <c r="E380" s="32"/>
      <c r="F380" s="32"/>
      <c r="G380" s="32"/>
    </row>
    <row r="381" ht="15.75" customHeight="1">
      <c r="A381" s="32"/>
      <c r="C381" s="32"/>
      <c r="D381" s="32"/>
      <c r="E381" s="32"/>
      <c r="F381" s="32"/>
      <c r="G381" s="32"/>
    </row>
    <row r="382" ht="15.75" customHeight="1">
      <c r="A382" s="32"/>
      <c r="C382" s="32"/>
      <c r="D382" s="32"/>
      <c r="E382" s="32"/>
      <c r="F382" s="32"/>
      <c r="G382" s="32"/>
    </row>
    <row r="383" ht="15.75" customHeight="1">
      <c r="A383" s="32"/>
      <c r="C383" s="32"/>
      <c r="D383" s="32"/>
      <c r="E383" s="32"/>
      <c r="F383" s="32"/>
      <c r="G383" s="32"/>
    </row>
    <row r="384" ht="15.75" customHeight="1">
      <c r="A384" s="32"/>
      <c r="C384" s="32"/>
      <c r="D384" s="32"/>
      <c r="E384" s="32"/>
      <c r="F384" s="32"/>
      <c r="G384" s="32"/>
    </row>
    <row r="385" ht="15.75" customHeight="1">
      <c r="A385" s="32"/>
      <c r="C385" s="32"/>
      <c r="D385" s="32"/>
      <c r="E385" s="32"/>
      <c r="F385" s="32"/>
      <c r="G385" s="32"/>
    </row>
    <row r="386" ht="15.75" customHeight="1">
      <c r="A386" s="32"/>
      <c r="C386" s="32"/>
      <c r="D386" s="32"/>
      <c r="E386" s="32"/>
      <c r="F386" s="32"/>
      <c r="G386" s="32"/>
    </row>
    <row r="387" ht="15.75" customHeight="1">
      <c r="A387" s="32"/>
      <c r="C387" s="32"/>
      <c r="D387" s="32"/>
      <c r="E387" s="32"/>
      <c r="F387" s="32"/>
      <c r="G387" s="32"/>
    </row>
    <row r="388" ht="15.75" customHeight="1">
      <c r="A388" s="32"/>
      <c r="C388" s="32"/>
      <c r="D388" s="32"/>
      <c r="E388" s="32"/>
      <c r="F388" s="32"/>
      <c r="G388" s="32"/>
    </row>
    <row r="389" ht="15.75" customHeight="1">
      <c r="A389" s="32"/>
      <c r="C389" s="32"/>
      <c r="D389" s="32"/>
      <c r="E389" s="32"/>
      <c r="F389" s="32"/>
      <c r="G389" s="32"/>
    </row>
    <row r="390" ht="15.75" customHeight="1">
      <c r="A390" s="32"/>
      <c r="C390" s="32"/>
      <c r="D390" s="32"/>
      <c r="E390" s="32"/>
      <c r="F390" s="32"/>
      <c r="G390" s="32"/>
    </row>
    <row r="391" ht="15.75" customHeight="1">
      <c r="A391" s="32"/>
      <c r="C391" s="32"/>
      <c r="D391" s="32"/>
      <c r="E391" s="32"/>
      <c r="F391" s="32"/>
      <c r="G391" s="32"/>
    </row>
    <row r="392" ht="15.75" customHeight="1">
      <c r="A392" s="32"/>
      <c r="C392" s="32"/>
      <c r="D392" s="32"/>
      <c r="E392" s="32"/>
      <c r="F392" s="32"/>
      <c r="G392" s="32"/>
    </row>
    <row r="393" ht="15.75" customHeight="1">
      <c r="A393" s="32"/>
      <c r="C393" s="32"/>
      <c r="D393" s="32"/>
      <c r="E393" s="32"/>
      <c r="F393" s="32"/>
      <c r="G393" s="32"/>
    </row>
    <row r="394" ht="15.75" customHeight="1">
      <c r="A394" s="32"/>
      <c r="C394" s="32"/>
      <c r="D394" s="32"/>
      <c r="E394" s="32"/>
      <c r="F394" s="32"/>
      <c r="G394" s="32"/>
    </row>
    <row r="395" ht="15.75" customHeight="1">
      <c r="A395" s="32"/>
      <c r="C395" s="32"/>
      <c r="D395" s="32"/>
      <c r="E395" s="32"/>
      <c r="F395" s="32"/>
      <c r="G395" s="32"/>
    </row>
    <row r="396" ht="15.75" customHeight="1">
      <c r="A396" s="32"/>
      <c r="C396" s="32"/>
      <c r="D396" s="32"/>
      <c r="E396" s="32"/>
      <c r="F396" s="32"/>
      <c r="G396" s="32"/>
    </row>
    <row r="397" ht="15.75" customHeight="1">
      <c r="A397" s="32"/>
      <c r="C397" s="32"/>
      <c r="D397" s="32"/>
      <c r="E397" s="32"/>
      <c r="F397" s="32"/>
      <c r="G397" s="32"/>
    </row>
    <row r="398" ht="15.75" customHeight="1">
      <c r="A398" s="32"/>
      <c r="C398" s="32"/>
      <c r="D398" s="32"/>
      <c r="E398" s="32"/>
      <c r="F398" s="32"/>
      <c r="G398" s="32"/>
    </row>
    <row r="399" ht="15.75" customHeight="1">
      <c r="A399" s="32"/>
      <c r="C399" s="32"/>
      <c r="D399" s="32"/>
      <c r="E399" s="32"/>
      <c r="F399" s="32"/>
      <c r="G399" s="32"/>
    </row>
    <row r="400" ht="15.75" customHeight="1">
      <c r="A400" s="32"/>
      <c r="C400" s="32"/>
      <c r="D400" s="32"/>
      <c r="E400" s="32"/>
      <c r="F400" s="32"/>
      <c r="G400" s="32"/>
    </row>
    <row r="401" ht="15.75" customHeight="1">
      <c r="A401" s="32"/>
      <c r="C401" s="32"/>
      <c r="D401" s="32"/>
      <c r="E401" s="32"/>
      <c r="F401" s="32"/>
      <c r="G401" s="32"/>
    </row>
    <row r="402" ht="15.75" customHeight="1">
      <c r="A402" s="32"/>
      <c r="C402" s="32"/>
      <c r="D402" s="32"/>
      <c r="E402" s="32"/>
      <c r="F402" s="32"/>
      <c r="G402" s="32"/>
    </row>
    <row r="403" ht="15.75" customHeight="1">
      <c r="A403" s="32"/>
      <c r="C403" s="32"/>
      <c r="D403" s="32"/>
      <c r="E403" s="32"/>
      <c r="F403" s="32"/>
      <c r="G403" s="32"/>
    </row>
    <row r="404" ht="15.75" customHeight="1">
      <c r="A404" s="32"/>
      <c r="C404" s="32"/>
      <c r="D404" s="32"/>
      <c r="E404" s="32"/>
      <c r="F404" s="32"/>
      <c r="G404" s="32"/>
    </row>
    <row r="405" ht="15.75" customHeight="1">
      <c r="A405" s="32"/>
      <c r="C405" s="32"/>
      <c r="D405" s="32"/>
      <c r="E405" s="32"/>
      <c r="F405" s="32"/>
      <c r="G405" s="32"/>
    </row>
    <row r="406" ht="15.75" customHeight="1">
      <c r="A406" s="32"/>
      <c r="C406" s="32"/>
      <c r="D406" s="32"/>
      <c r="E406" s="32"/>
      <c r="F406" s="32"/>
      <c r="G406" s="32"/>
    </row>
    <row r="407" ht="15.75" customHeight="1">
      <c r="A407" s="32"/>
      <c r="C407" s="32"/>
      <c r="D407" s="32"/>
      <c r="E407" s="32"/>
      <c r="F407" s="32"/>
      <c r="G407" s="32"/>
    </row>
    <row r="408" ht="15.75" customHeight="1">
      <c r="A408" s="32"/>
      <c r="C408" s="32"/>
      <c r="D408" s="32"/>
      <c r="E408" s="32"/>
      <c r="F408" s="32"/>
      <c r="G408" s="32"/>
    </row>
    <row r="409" ht="15.75" customHeight="1">
      <c r="A409" s="32"/>
      <c r="C409" s="32"/>
      <c r="D409" s="32"/>
      <c r="E409" s="32"/>
      <c r="F409" s="32"/>
      <c r="G409" s="32"/>
    </row>
    <row r="410" ht="15.75" customHeight="1">
      <c r="A410" s="32"/>
      <c r="C410" s="32"/>
      <c r="D410" s="32"/>
      <c r="E410" s="32"/>
      <c r="F410" s="32"/>
      <c r="G410" s="32"/>
    </row>
    <row r="411" ht="15.75" customHeight="1">
      <c r="A411" s="32"/>
      <c r="C411" s="32"/>
      <c r="D411" s="32"/>
      <c r="E411" s="32"/>
      <c r="F411" s="32"/>
      <c r="G411" s="32"/>
    </row>
    <row r="412" ht="15.75" customHeight="1">
      <c r="A412" s="32"/>
      <c r="C412" s="32"/>
      <c r="D412" s="32"/>
      <c r="E412" s="32"/>
      <c r="F412" s="32"/>
      <c r="G412" s="32"/>
    </row>
    <row r="413" ht="15.75" customHeight="1">
      <c r="A413" s="32"/>
      <c r="C413" s="32"/>
      <c r="D413" s="32"/>
      <c r="E413" s="32"/>
      <c r="F413" s="32"/>
      <c r="G413" s="32"/>
    </row>
    <row r="414" ht="15.75" customHeight="1">
      <c r="A414" s="32"/>
      <c r="C414" s="32"/>
      <c r="D414" s="32"/>
      <c r="E414" s="32"/>
      <c r="F414" s="32"/>
      <c r="G414" s="32"/>
    </row>
    <row r="415" ht="15.75" customHeight="1">
      <c r="A415" s="32"/>
      <c r="C415" s="32"/>
      <c r="D415" s="32"/>
      <c r="E415" s="32"/>
      <c r="F415" s="32"/>
      <c r="G415" s="32"/>
    </row>
    <row r="416" ht="15.75" customHeight="1">
      <c r="A416" s="32"/>
      <c r="C416" s="32"/>
      <c r="D416" s="32"/>
      <c r="E416" s="32"/>
      <c r="F416" s="32"/>
      <c r="G416" s="32"/>
    </row>
    <row r="417" ht="15.75" customHeight="1">
      <c r="A417" s="32"/>
      <c r="C417" s="32"/>
      <c r="D417" s="32"/>
      <c r="E417" s="32"/>
      <c r="F417" s="32"/>
      <c r="G417" s="32"/>
    </row>
    <row r="418" ht="15.75" customHeight="1">
      <c r="A418" s="32"/>
      <c r="C418" s="32"/>
      <c r="D418" s="32"/>
      <c r="E418" s="32"/>
      <c r="F418" s="32"/>
      <c r="G418" s="32"/>
    </row>
    <row r="419" ht="15.75" customHeight="1">
      <c r="A419" s="32"/>
      <c r="C419" s="32"/>
      <c r="D419" s="32"/>
      <c r="E419" s="32"/>
      <c r="F419" s="32"/>
      <c r="G419" s="32"/>
    </row>
    <row r="420" ht="15.75" customHeight="1">
      <c r="A420" s="32"/>
      <c r="C420" s="32"/>
      <c r="D420" s="32"/>
      <c r="E420" s="32"/>
      <c r="F420" s="32"/>
      <c r="G420" s="32"/>
    </row>
    <row r="421" ht="15.75" customHeight="1">
      <c r="A421" s="32"/>
      <c r="C421" s="32"/>
      <c r="D421" s="32"/>
      <c r="E421" s="32"/>
      <c r="F421" s="32"/>
      <c r="G421" s="32"/>
    </row>
    <row r="422" ht="15.75" customHeight="1">
      <c r="A422" s="32"/>
      <c r="C422" s="32"/>
      <c r="D422" s="32"/>
      <c r="E422" s="32"/>
      <c r="F422" s="32"/>
      <c r="G422" s="32"/>
    </row>
    <row r="423" ht="15.75" customHeight="1">
      <c r="A423" s="32"/>
      <c r="C423" s="32"/>
      <c r="D423" s="32"/>
      <c r="E423" s="32"/>
      <c r="F423" s="32"/>
      <c r="G423" s="32"/>
    </row>
    <row r="424" ht="15.75" customHeight="1">
      <c r="A424" s="32"/>
      <c r="C424" s="32"/>
      <c r="D424" s="32"/>
      <c r="E424" s="32"/>
      <c r="F424" s="32"/>
      <c r="G424" s="32"/>
    </row>
    <row r="425" ht="15.75" customHeight="1">
      <c r="A425" s="32"/>
      <c r="C425" s="32"/>
      <c r="D425" s="32"/>
      <c r="E425" s="32"/>
      <c r="F425" s="32"/>
      <c r="G425" s="32"/>
    </row>
    <row r="426" ht="15.75" customHeight="1">
      <c r="A426" s="32"/>
      <c r="C426" s="32"/>
      <c r="D426" s="32"/>
      <c r="E426" s="32"/>
      <c r="F426" s="32"/>
      <c r="G426" s="32"/>
    </row>
    <row r="427" ht="15.75" customHeight="1">
      <c r="A427" s="32"/>
      <c r="C427" s="32"/>
      <c r="D427" s="32"/>
      <c r="E427" s="32"/>
      <c r="F427" s="32"/>
      <c r="G427" s="32"/>
    </row>
    <row r="428" ht="15.75" customHeight="1">
      <c r="A428" s="32"/>
      <c r="C428" s="32"/>
      <c r="D428" s="32"/>
      <c r="E428" s="32"/>
      <c r="F428" s="32"/>
      <c r="G428" s="32"/>
    </row>
    <row r="429" ht="15.75" customHeight="1">
      <c r="A429" s="32"/>
      <c r="C429" s="32"/>
      <c r="D429" s="32"/>
      <c r="E429" s="32"/>
      <c r="F429" s="32"/>
      <c r="G429" s="32"/>
    </row>
    <row r="430" ht="15.75" customHeight="1">
      <c r="A430" s="32"/>
      <c r="C430" s="32"/>
      <c r="D430" s="32"/>
      <c r="E430" s="32"/>
      <c r="F430" s="32"/>
      <c r="G430" s="32"/>
    </row>
    <row r="431" ht="15.75" customHeight="1">
      <c r="A431" s="32"/>
      <c r="C431" s="32"/>
      <c r="D431" s="32"/>
      <c r="E431" s="32"/>
      <c r="F431" s="32"/>
      <c r="G431" s="32"/>
    </row>
    <row r="432" ht="15.75" customHeight="1">
      <c r="A432" s="32"/>
      <c r="C432" s="32"/>
      <c r="D432" s="32"/>
      <c r="E432" s="32"/>
      <c r="F432" s="32"/>
      <c r="G432" s="32"/>
    </row>
    <row r="433" ht="15.75" customHeight="1">
      <c r="A433" s="32"/>
      <c r="C433" s="32"/>
      <c r="D433" s="32"/>
      <c r="E433" s="32"/>
      <c r="F433" s="32"/>
      <c r="G433" s="32"/>
    </row>
    <row r="434" ht="15.75" customHeight="1">
      <c r="A434" s="32"/>
      <c r="C434" s="32"/>
      <c r="D434" s="32"/>
      <c r="E434" s="32"/>
      <c r="F434" s="32"/>
      <c r="G434" s="32"/>
    </row>
    <row r="435" ht="15.75" customHeight="1">
      <c r="A435" s="32"/>
      <c r="C435" s="32"/>
      <c r="D435" s="32"/>
      <c r="E435" s="32"/>
      <c r="F435" s="32"/>
      <c r="G435" s="32"/>
    </row>
    <row r="436" ht="15.75" customHeight="1">
      <c r="A436" s="32"/>
      <c r="C436" s="32"/>
      <c r="D436" s="32"/>
      <c r="E436" s="32"/>
      <c r="F436" s="32"/>
      <c r="G436" s="32"/>
    </row>
    <row r="437" ht="15.75" customHeight="1">
      <c r="A437" s="32"/>
      <c r="C437" s="32"/>
      <c r="D437" s="32"/>
      <c r="E437" s="32"/>
      <c r="F437" s="32"/>
      <c r="G437" s="32"/>
    </row>
    <row r="438" ht="15.75" customHeight="1">
      <c r="A438" s="32"/>
      <c r="C438" s="32"/>
      <c r="D438" s="32"/>
      <c r="E438" s="32"/>
      <c r="F438" s="32"/>
      <c r="G438" s="32"/>
    </row>
    <row r="439" ht="15.75" customHeight="1">
      <c r="A439" s="32"/>
      <c r="C439" s="32"/>
      <c r="D439" s="32"/>
      <c r="E439" s="32"/>
      <c r="F439" s="32"/>
      <c r="G439" s="32"/>
    </row>
    <row r="440" ht="15.75" customHeight="1">
      <c r="A440" s="32"/>
      <c r="C440" s="32"/>
      <c r="D440" s="32"/>
      <c r="E440" s="32"/>
      <c r="F440" s="32"/>
      <c r="G440" s="32"/>
    </row>
    <row r="441" ht="15.75" customHeight="1">
      <c r="A441" s="32"/>
      <c r="C441" s="32"/>
      <c r="D441" s="32"/>
      <c r="E441" s="32"/>
      <c r="F441" s="32"/>
      <c r="G441" s="32"/>
    </row>
    <row r="442" ht="15.75" customHeight="1">
      <c r="A442" s="32"/>
      <c r="C442" s="32"/>
      <c r="D442" s="32"/>
      <c r="E442" s="32"/>
      <c r="F442" s="32"/>
      <c r="G442" s="32"/>
    </row>
    <row r="443" ht="15.75" customHeight="1">
      <c r="A443" s="32"/>
      <c r="C443" s="32"/>
      <c r="D443" s="32"/>
      <c r="E443" s="32"/>
      <c r="F443" s="32"/>
      <c r="G443" s="32"/>
    </row>
    <row r="444" ht="15.75" customHeight="1">
      <c r="A444" s="32"/>
      <c r="C444" s="32"/>
      <c r="D444" s="32"/>
      <c r="E444" s="32"/>
      <c r="F444" s="32"/>
      <c r="G444" s="32"/>
    </row>
    <row r="445" ht="15.75" customHeight="1">
      <c r="A445" s="32"/>
      <c r="C445" s="32"/>
      <c r="D445" s="32"/>
      <c r="E445" s="32"/>
      <c r="F445" s="32"/>
      <c r="G445" s="32"/>
    </row>
    <row r="446" ht="15.75" customHeight="1">
      <c r="A446" s="32"/>
      <c r="C446" s="32"/>
      <c r="D446" s="32"/>
      <c r="E446" s="32"/>
      <c r="F446" s="32"/>
      <c r="G446" s="32"/>
    </row>
    <row r="447" ht="15.75" customHeight="1">
      <c r="A447" s="32"/>
      <c r="C447" s="32"/>
      <c r="D447" s="32"/>
      <c r="E447" s="32"/>
      <c r="F447" s="32"/>
      <c r="G447" s="32"/>
    </row>
    <row r="448" ht="15.75" customHeight="1">
      <c r="A448" s="32"/>
      <c r="C448" s="32"/>
      <c r="D448" s="32"/>
      <c r="E448" s="32"/>
      <c r="F448" s="32"/>
      <c r="G448" s="32"/>
    </row>
    <row r="449" ht="15.75" customHeight="1">
      <c r="A449" s="32"/>
      <c r="C449" s="32"/>
      <c r="D449" s="32"/>
      <c r="E449" s="32"/>
      <c r="F449" s="32"/>
      <c r="G449" s="32"/>
    </row>
    <row r="450" ht="15.75" customHeight="1">
      <c r="A450" s="32"/>
      <c r="C450" s="32"/>
      <c r="D450" s="32"/>
      <c r="E450" s="32"/>
      <c r="F450" s="32"/>
      <c r="G450" s="32"/>
    </row>
    <row r="451" ht="15.75" customHeight="1">
      <c r="A451" s="32"/>
      <c r="C451" s="32"/>
      <c r="D451" s="32"/>
      <c r="E451" s="32"/>
      <c r="F451" s="32"/>
      <c r="G451" s="32"/>
    </row>
    <row r="452" ht="15.75" customHeight="1">
      <c r="A452" s="32"/>
      <c r="C452" s="32"/>
      <c r="D452" s="32"/>
      <c r="E452" s="32"/>
      <c r="F452" s="32"/>
      <c r="G452" s="32"/>
    </row>
    <row r="453" ht="15.75" customHeight="1">
      <c r="A453" s="32"/>
      <c r="C453" s="32"/>
      <c r="D453" s="32"/>
      <c r="E453" s="32"/>
      <c r="F453" s="32"/>
      <c r="G453" s="32"/>
    </row>
    <row r="454" ht="15.75" customHeight="1">
      <c r="A454" s="32"/>
      <c r="C454" s="32"/>
      <c r="D454" s="32"/>
      <c r="E454" s="32"/>
      <c r="F454" s="32"/>
      <c r="G454" s="32"/>
    </row>
    <row r="455" ht="15.75" customHeight="1">
      <c r="A455" s="32"/>
      <c r="C455" s="32"/>
      <c r="D455" s="32"/>
      <c r="E455" s="32"/>
      <c r="F455" s="32"/>
      <c r="G455" s="32"/>
    </row>
    <row r="456" ht="15.75" customHeight="1">
      <c r="A456" s="32"/>
      <c r="C456" s="32"/>
      <c r="D456" s="32"/>
      <c r="E456" s="32"/>
      <c r="F456" s="32"/>
      <c r="G456" s="32"/>
    </row>
    <row r="457" ht="15.75" customHeight="1">
      <c r="A457" s="32"/>
      <c r="C457" s="32"/>
      <c r="D457" s="32"/>
      <c r="E457" s="32"/>
      <c r="F457" s="32"/>
      <c r="G457" s="32"/>
    </row>
    <row r="458" ht="15.75" customHeight="1">
      <c r="A458" s="32"/>
      <c r="C458" s="32"/>
      <c r="D458" s="32"/>
      <c r="E458" s="32"/>
      <c r="F458" s="32"/>
      <c r="G458" s="32"/>
    </row>
    <row r="459" ht="15.75" customHeight="1">
      <c r="A459" s="32"/>
      <c r="C459" s="32"/>
      <c r="D459" s="32"/>
      <c r="E459" s="32"/>
      <c r="F459" s="32"/>
      <c r="G459" s="32"/>
    </row>
    <row r="460" ht="15.75" customHeight="1">
      <c r="A460" s="32"/>
      <c r="C460" s="32"/>
      <c r="D460" s="32"/>
      <c r="E460" s="32"/>
      <c r="F460" s="32"/>
      <c r="G460" s="32"/>
    </row>
    <row r="461" ht="15.75" customHeight="1">
      <c r="A461" s="32"/>
      <c r="C461" s="32"/>
      <c r="D461" s="32"/>
      <c r="E461" s="32"/>
      <c r="F461" s="32"/>
      <c r="G461" s="32"/>
    </row>
    <row r="462" ht="15.75" customHeight="1">
      <c r="A462" s="32"/>
      <c r="C462" s="32"/>
      <c r="D462" s="32"/>
      <c r="E462" s="32"/>
      <c r="F462" s="32"/>
      <c r="G462" s="32"/>
    </row>
    <row r="463" ht="15.75" customHeight="1">
      <c r="A463" s="32"/>
      <c r="C463" s="32"/>
      <c r="D463" s="32"/>
      <c r="E463" s="32"/>
      <c r="F463" s="32"/>
      <c r="G463" s="32"/>
    </row>
    <row r="464" ht="15.75" customHeight="1">
      <c r="A464" s="32"/>
      <c r="C464" s="32"/>
      <c r="D464" s="32"/>
      <c r="E464" s="32"/>
      <c r="F464" s="32"/>
      <c r="G464" s="32"/>
    </row>
    <row r="465" ht="15.75" customHeight="1">
      <c r="A465" s="32"/>
      <c r="C465" s="32"/>
      <c r="D465" s="32"/>
      <c r="E465" s="32"/>
      <c r="F465" s="32"/>
      <c r="G465" s="32"/>
    </row>
    <row r="466" ht="15.75" customHeight="1">
      <c r="A466" s="32"/>
      <c r="C466" s="32"/>
      <c r="D466" s="32"/>
      <c r="E466" s="32"/>
      <c r="F466" s="32"/>
      <c r="G466" s="32"/>
    </row>
    <row r="467" ht="15.75" customHeight="1">
      <c r="A467" s="32"/>
      <c r="C467" s="32"/>
      <c r="D467" s="32"/>
      <c r="E467" s="32"/>
      <c r="F467" s="32"/>
      <c r="G467" s="32"/>
    </row>
    <row r="468" ht="15.75" customHeight="1">
      <c r="A468" s="32"/>
      <c r="C468" s="32"/>
      <c r="D468" s="32"/>
      <c r="E468" s="32"/>
      <c r="F468" s="32"/>
      <c r="G468" s="32"/>
    </row>
    <row r="469" ht="15.75" customHeight="1">
      <c r="A469" s="32"/>
      <c r="C469" s="32"/>
      <c r="D469" s="32"/>
      <c r="E469" s="32"/>
      <c r="F469" s="32"/>
      <c r="G469" s="32"/>
    </row>
    <row r="470" ht="15.75" customHeight="1">
      <c r="A470" s="32"/>
      <c r="C470" s="32"/>
      <c r="D470" s="32"/>
      <c r="E470" s="32"/>
      <c r="F470" s="32"/>
      <c r="G470" s="32"/>
    </row>
    <row r="471" ht="15.75" customHeight="1">
      <c r="A471" s="32"/>
      <c r="C471" s="32"/>
      <c r="D471" s="32"/>
      <c r="E471" s="32"/>
      <c r="F471" s="32"/>
      <c r="G471" s="32"/>
    </row>
    <row r="472" ht="15.75" customHeight="1">
      <c r="A472" s="32"/>
      <c r="C472" s="32"/>
      <c r="D472" s="32"/>
      <c r="E472" s="32"/>
      <c r="F472" s="32"/>
      <c r="G472" s="32"/>
    </row>
    <row r="473" ht="15.75" customHeight="1">
      <c r="A473" s="32"/>
      <c r="C473" s="32"/>
      <c r="D473" s="32"/>
      <c r="E473" s="32"/>
      <c r="F473" s="32"/>
      <c r="G473" s="32"/>
    </row>
    <row r="474" ht="15.75" customHeight="1">
      <c r="A474" s="32"/>
      <c r="C474" s="32"/>
      <c r="D474" s="32"/>
      <c r="E474" s="32"/>
      <c r="F474" s="32"/>
      <c r="G474" s="32"/>
    </row>
    <row r="475" ht="15.75" customHeight="1">
      <c r="A475" s="32"/>
      <c r="C475" s="32"/>
      <c r="D475" s="32"/>
      <c r="E475" s="32"/>
      <c r="F475" s="32"/>
      <c r="G475" s="32"/>
    </row>
    <row r="476" ht="15.75" customHeight="1">
      <c r="A476" s="32"/>
      <c r="C476" s="32"/>
      <c r="D476" s="32"/>
      <c r="E476" s="32"/>
      <c r="F476" s="32"/>
      <c r="G476" s="32"/>
    </row>
    <row r="477" ht="15.75" customHeight="1">
      <c r="A477" s="32"/>
      <c r="C477" s="32"/>
      <c r="D477" s="32"/>
      <c r="E477" s="32"/>
      <c r="F477" s="32"/>
      <c r="G477" s="32"/>
    </row>
    <row r="478" ht="15.75" customHeight="1">
      <c r="A478" s="32"/>
      <c r="C478" s="32"/>
      <c r="D478" s="32"/>
      <c r="E478" s="32"/>
      <c r="F478" s="32"/>
      <c r="G478" s="32"/>
    </row>
    <row r="479" ht="15.75" customHeight="1">
      <c r="A479" s="32"/>
      <c r="C479" s="32"/>
      <c r="D479" s="32"/>
      <c r="E479" s="32"/>
      <c r="F479" s="32"/>
      <c r="G479" s="32"/>
    </row>
    <row r="480" ht="15.75" customHeight="1">
      <c r="A480" s="32"/>
      <c r="C480" s="32"/>
      <c r="D480" s="32"/>
      <c r="E480" s="32"/>
      <c r="F480" s="32"/>
      <c r="G480" s="32"/>
    </row>
    <row r="481" ht="15.75" customHeight="1">
      <c r="A481" s="32"/>
      <c r="C481" s="32"/>
      <c r="D481" s="32"/>
      <c r="E481" s="32"/>
      <c r="F481" s="32"/>
      <c r="G481" s="32"/>
    </row>
    <row r="482" ht="15.75" customHeight="1">
      <c r="A482" s="32"/>
      <c r="C482" s="32"/>
      <c r="D482" s="32"/>
      <c r="E482" s="32"/>
      <c r="F482" s="32"/>
      <c r="G482" s="32"/>
    </row>
    <row r="483" ht="15.75" customHeight="1">
      <c r="A483" s="32"/>
      <c r="C483" s="32"/>
      <c r="D483" s="32"/>
      <c r="E483" s="32"/>
      <c r="F483" s="32"/>
      <c r="G483" s="32"/>
    </row>
    <row r="484" ht="15.75" customHeight="1">
      <c r="A484" s="32"/>
      <c r="C484" s="32"/>
      <c r="D484" s="32"/>
      <c r="E484" s="32"/>
      <c r="F484" s="32"/>
      <c r="G484" s="32"/>
    </row>
    <row r="485" ht="15.75" customHeight="1">
      <c r="A485" s="32"/>
      <c r="C485" s="32"/>
      <c r="D485" s="32"/>
      <c r="E485" s="32"/>
      <c r="F485" s="32"/>
      <c r="G485" s="32"/>
    </row>
    <row r="486" ht="15.75" customHeight="1">
      <c r="A486" s="32"/>
      <c r="C486" s="32"/>
      <c r="D486" s="32"/>
      <c r="E486" s="32"/>
      <c r="F486" s="32"/>
      <c r="G486" s="32"/>
    </row>
    <row r="487" ht="15.75" customHeight="1">
      <c r="A487" s="32"/>
      <c r="C487" s="32"/>
      <c r="D487" s="32"/>
      <c r="E487" s="32"/>
      <c r="F487" s="32"/>
      <c r="G487" s="32"/>
    </row>
    <row r="488" ht="15.75" customHeight="1">
      <c r="A488" s="32"/>
      <c r="C488" s="32"/>
      <c r="D488" s="32"/>
      <c r="E488" s="32"/>
      <c r="F488" s="32"/>
      <c r="G488" s="32"/>
    </row>
    <row r="489" ht="15.75" customHeight="1">
      <c r="A489" s="32"/>
      <c r="C489" s="32"/>
      <c r="D489" s="32"/>
      <c r="E489" s="32"/>
      <c r="F489" s="32"/>
      <c r="G489" s="32"/>
    </row>
    <row r="490" ht="15.75" customHeight="1">
      <c r="A490" s="32"/>
      <c r="C490" s="32"/>
      <c r="D490" s="32"/>
      <c r="E490" s="32"/>
      <c r="F490" s="32"/>
      <c r="G490" s="32"/>
    </row>
    <row r="491" ht="15.75" customHeight="1">
      <c r="A491" s="32"/>
      <c r="C491" s="32"/>
      <c r="D491" s="32"/>
      <c r="E491" s="32"/>
      <c r="F491" s="32"/>
      <c r="G491" s="32"/>
    </row>
    <row r="492" ht="15.75" customHeight="1">
      <c r="A492" s="32"/>
      <c r="C492" s="32"/>
      <c r="D492" s="32"/>
      <c r="E492" s="32"/>
      <c r="F492" s="32"/>
      <c r="G492" s="32"/>
    </row>
    <row r="493" ht="15.75" customHeight="1">
      <c r="A493" s="32"/>
      <c r="C493" s="32"/>
      <c r="D493" s="32"/>
      <c r="E493" s="32"/>
      <c r="F493" s="32"/>
      <c r="G493" s="32"/>
    </row>
    <row r="494" ht="15.75" customHeight="1">
      <c r="A494" s="32"/>
      <c r="C494" s="32"/>
      <c r="D494" s="32"/>
      <c r="E494" s="32"/>
      <c r="F494" s="32"/>
      <c r="G494" s="32"/>
    </row>
    <row r="495" ht="15.75" customHeight="1">
      <c r="A495" s="32"/>
      <c r="C495" s="32"/>
      <c r="D495" s="32"/>
      <c r="E495" s="32"/>
      <c r="F495" s="32"/>
      <c r="G495" s="32"/>
    </row>
    <row r="496" ht="15.75" customHeight="1">
      <c r="A496" s="32"/>
      <c r="C496" s="32"/>
      <c r="D496" s="32"/>
      <c r="E496" s="32"/>
      <c r="F496" s="32"/>
      <c r="G496" s="32"/>
    </row>
    <row r="497" ht="15.75" customHeight="1">
      <c r="A497" s="32"/>
      <c r="C497" s="32"/>
      <c r="D497" s="32"/>
      <c r="E497" s="32"/>
      <c r="F497" s="32"/>
      <c r="G497" s="32"/>
    </row>
    <row r="498" ht="15.75" customHeight="1">
      <c r="A498" s="32"/>
      <c r="C498" s="32"/>
      <c r="D498" s="32"/>
      <c r="E498" s="32"/>
      <c r="F498" s="32"/>
      <c r="G498" s="32"/>
    </row>
    <row r="499" ht="15.75" customHeight="1">
      <c r="A499" s="32"/>
      <c r="C499" s="32"/>
      <c r="D499" s="32"/>
      <c r="E499" s="32"/>
      <c r="F499" s="32"/>
      <c r="G499" s="32"/>
    </row>
    <row r="500" ht="15.75" customHeight="1">
      <c r="A500" s="32"/>
      <c r="C500" s="32"/>
      <c r="D500" s="32"/>
      <c r="E500" s="32"/>
      <c r="F500" s="32"/>
      <c r="G500" s="32"/>
    </row>
    <row r="501" ht="15.75" customHeight="1">
      <c r="A501" s="32"/>
      <c r="C501" s="32"/>
      <c r="D501" s="32"/>
      <c r="E501" s="32"/>
      <c r="F501" s="32"/>
      <c r="G501" s="32"/>
    </row>
    <row r="502" ht="15.75" customHeight="1">
      <c r="A502" s="32"/>
      <c r="C502" s="32"/>
      <c r="D502" s="32"/>
      <c r="E502" s="32"/>
      <c r="F502" s="32"/>
      <c r="G502" s="32"/>
    </row>
    <row r="503" ht="15.75" customHeight="1">
      <c r="A503" s="32"/>
      <c r="C503" s="32"/>
      <c r="D503" s="32"/>
      <c r="E503" s="32"/>
      <c r="F503" s="32"/>
      <c r="G503" s="32"/>
    </row>
    <row r="504" ht="15.75" customHeight="1">
      <c r="A504" s="32"/>
      <c r="C504" s="32"/>
      <c r="D504" s="32"/>
      <c r="E504" s="32"/>
      <c r="F504" s="32"/>
      <c r="G504" s="32"/>
    </row>
    <row r="505" ht="15.75" customHeight="1">
      <c r="A505" s="32"/>
      <c r="C505" s="32"/>
      <c r="D505" s="32"/>
      <c r="E505" s="32"/>
      <c r="F505" s="32"/>
      <c r="G505" s="32"/>
    </row>
    <row r="506" ht="15.75" customHeight="1">
      <c r="A506" s="32"/>
      <c r="C506" s="32"/>
      <c r="D506" s="32"/>
      <c r="E506" s="32"/>
      <c r="F506" s="32"/>
      <c r="G506" s="32"/>
    </row>
    <row r="507" ht="15.75" customHeight="1">
      <c r="A507" s="32"/>
      <c r="C507" s="32"/>
      <c r="D507" s="32"/>
      <c r="E507" s="32"/>
      <c r="F507" s="32"/>
      <c r="G507" s="32"/>
    </row>
    <row r="508" ht="15.75" customHeight="1">
      <c r="A508" s="32"/>
      <c r="C508" s="32"/>
      <c r="D508" s="32"/>
      <c r="E508" s="32"/>
      <c r="F508" s="32"/>
      <c r="G508" s="32"/>
    </row>
    <row r="509" ht="15.75" customHeight="1">
      <c r="A509" s="32"/>
      <c r="C509" s="32"/>
      <c r="D509" s="32"/>
      <c r="E509" s="32"/>
      <c r="F509" s="32"/>
      <c r="G509" s="32"/>
    </row>
    <row r="510" ht="15.75" customHeight="1">
      <c r="A510" s="32"/>
      <c r="C510" s="32"/>
      <c r="D510" s="32"/>
      <c r="E510" s="32"/>
      <c r="F510" s="32"/>
      <c r="G510" s="32"/>
    </row>
    <row r="511" ht="15.75" customHeight="1">
      <c r="A511" s="32"/>
      <c r="C511" s="32"/>
      <c r="D511" s="32"/>
      <c r="E511" s="32"/>
      <c r="F511" s="32"/>
      <c r="G511" s="32"/>
    </row>
    <row r="512" ht="15.75" customHeight="1">
      <c r="A512" s="32"/>
      <c r="C512" s="32"/>
      <c r="D512" s="32"/>
      <c r="E512" s="32"/>
      <c r="F512" s="32"/>
      <c r="G512" s="32"/>
    </row>
    <row r="513" ht="15.75" customHeight="1">
      <c r="A513" s="32"/>
      <c r="C513" s="32"/>
      <c r="D513" s="32"/>
      <c r="E513" s="32"/>
      <c r="F513" s="32"/>
      <c r="G513" s="32"/>
    </row>
    <row r="514" ht="15.75" customHeight="1">
      <c r="A514" s="32"/>
      <c r="C514" s="32"/>
      <c r="D514" s="32"/>
      <c r="E514" s="32"/>
      <c r="F514" s="32"/>
      <c r="G514" s="32"/>
    </row>
    <row r="515" ht="15.75" customHeight="1">
      <c r="A515" s="32"/>
      <c r="C515" s="32"/>
      <c r="D515" s="32"/>
      <c r="E515" s="32"/>
      <c r="F515" s="32"/>
      <c r="G515" s="32"/>
    </row>
    <row r="516" ht="15.75" customHeight="1">
      <c r="A516" s="32"/>
      <c r="C516" s="32"/>
      <c r="D516" s="32"/>
      <c r="E516" s="32"/>
      <c r="F516" s="32"/>
      <c r="G516" s="32"/>
    </row>
    <row r="517" ht="15.75" customHeight="1">
      <c r="A517" s="32"/>
      <c r="C517" s="32"/>
      <c r="D517" s="32"/>
      <c r="E517" s="32"/>
      <c r="F517" s="32"/>
      <c r="G517" s="32"/>
    </row>
    <row r="518" ht="15.75" customHeight="1">
      <c r="A518" s="32"/>
      <c r="C518" s="32"/>
      <c r="D518" s="32"/>
      <c r="E518" s="32"/>
      <c r="F518" s="32"/>
      <c r="G518" s="32"/>
    </row>
    <row r="519" ht="15.75" customHeight="1">
      <c r="A519" s="32"/>
      <c r="C519" s="32"/>
      <c r="D519" s="32"/>
      <c r="E519" s="32"/>
      <c r="F519" s="32"/>
      <c r="G519" s="32"/>
    </row>
    <row r="520" ht="15.75" customHeight="1">
      <c r="A520" s="32"/>
      <c r="C520" s="32"/>
      <c r="D520" s="32"/>
      <c r="E520" s="32"/>
      <c r="F520" s="32"/>
      <c r="G520" s="32"/>
    </row>
    <row r="521" ht="15.75" customHeight="1">
      <c r="A521" s="32"/>
      <c r="C521" s="32"/>
      <c r="D521" s="32"/>
      <c r="E521" s="32"/>
      <c r="F521" s="32"/>
      <c r="G521" s="32"/>
    </row>
    <row r="522" ht="15.75" customHeight="1">
      <c r="A522" s="32"/>
      <c r="C522" s="32"/>
      <c r="D522" s="32"/>
      <c r="E522" s="32"/>
      <c r="F522" s="32"/>
      <c r="G522" s="32"/>
    </row>
    <row r="523" ht="15.75" customHeight="1">
      <c r="A523" s="32"/>
      <c r="C523" s="32"/>
      <c r="D523" s="32"/>
      <c r="E523" s="32"/>
      <c r="F523" s="32"/>
      <c r="G523" s="32"/>
    </row>
    <row r="524" ht="15.75" customHeight="1">
      <c r="A524" s="32"/>
      <c r="C524" s="32"/>
      <c r="D524" s="32"/>
      <c r="E524" s="32"/>
      <c r="F524" s="32"/>
      <c r="G524" s="32"/>
    </row>
    <row r="525" ht="15.75" customHeight="1">
      <c r="A525" s="32"/>
      <c r="C525" s="32"/>
      <c r="D525" s="32"/>
      <c r="E525" s="32"/>
      <c r="F525" s="32"/>
      <c r="G525" s="32"/>
    </row>
    <row r="526" ht="15.75" customHeight="1">
      <c r="A526" s="32"/>
      <c r="C526" s="32"/>
      <c r="D526" s="32"/>
      <c r="E526" s="32"/>
      <c r="F526" s="32"/>
      <c r="G526" s="32"/>
    </row>
    <row r="527" ht="15.75" customHeight="1">
      <c r="A527" s="32"/>
      <c r="C527" s="32"/>
      <c r="D527" s="32"/>
      <c r="E527" s="32"/>
      <c r="F527" s="32"/>
      <c r="G527" s="32"/>
    </row>
    <row r="528" ht="15.75" customHeight="1">
      <c r="A528" s="32"/>
      <c r="C528" s="32"/>
      <c r="D528" s="32"/>
      <c r="E528" s="32"/>
      <c r="F528" s="32"/>
      <c r="G528" s="32"/>
    </row>
    <row r="529" ht="15.75" customHeight="1">
      <c r="A529" s="32"/>
      <c r="C529" s="32"/>
      <c r="D529" s="32"/>
      <c r="E529" s="32"/>
      <c r="F529" s="32"/>
      <c r="G529" s="32"/>
    </row>
    <row r="530" ht="15.75" customHeight="1">
      <c r="A530" s="32"/>
      <c r="C530" s="32"/>
      <c r="D530" s="32"/>
      <c r="E530" s="32"/>
      <c r="F530" s="32"/>
      <c r="G530" s="32"/>
    </row>
    <row r="531" ht="15.75" customHeight="1">
      <c r="A531" s="32"/>
      <c r="C531" s="32"/>
      <c r="D531" s="32"/>
      <c r="E531" s="32"/>
      <c r="F531" s="32"/>
      <c r="G531" s="32"/>
    </row>
    <row r="532" ht="15.75" customHeight="1">
      <c r="A532" s="32"/>
      <c r="C532" s="32"/>
      <c r="D532" s="32"/>
      <c r="E532" s="32"/>
      <c r="F532" s="32"/>
      <c r="G532" s="32"/>
    </row>
    <row r="533" ht="15.75" customHeight="1">
      <c r="A533" s="32"/>
      <c r="C533" s="32"/>
      <c r="D533" s="32"/>
      <c r="E533" s="32"/>
      <c r="F533" s="32"/>
      <c r="G533" s="32"/>
    </row>
    <row r="534" ht="15.75" customHeight="1">
      <c r="A534" s="32"/>
      <c r="C534" s="32"/>
      <c r="D534" s="32"/>
      <c r="E534" s="32"/>
      <c r="F534" s="32"/>
      <c r="G534" s="32"/>
    </row>
    <row r="535" ht="15.75" customHeight="1">
      <c r="A535" s="32"/>
      <c r="C535" s="32"/>
      <c r="D535" s="32"/>
      <c r="E535" s="32"/>
      <c r="F535" s="32"/>
      <c r="G535" s="32"/>
    </row>
    <row r="536" ht="15.75" customHeight="1">
      <c r="A536" s="32"/>
      <c r="C536" s="32"/>
      <c r="D536" s="32"/>
      <c r="E536" s="32"/>
      <c r="F536" s="32"/>
      <c r="G536" s="32"/>
    </row>
    <row r="537" ht="15.75" customHeight="1">
      <c r="A537" s="32"/>
      <c r="C537" s="32"/>
      <c r="D537" s="32"/>
      <c r="E537" s="32"/>
      <c r="F537" s="32"/>
      <c r="G537" s="32"/>
    </row>
    <row r="538" ht="15.75" customHeight="1">
      <c r="A538" s="32"/>
      <c r="C538" s="32"/>
      <c r="D538" s="32"/>
      <c r="E538" s="32"/>
      <c r="F538" s="32"/>
      <c r="G538" s="32"/>
    </row>
    <row r="539" ht="15.75" customHeight="1">
      <c r="A539" s="32"/>
      <c r="C539" s="32"/>
      <c r="D539" s="32"/>
      <c r="E539" s="32"/>
      <c r="F539" s="32"/>
      <c r="G539" s="32"/>
    </row>
    <row r="540" ht="15.75" customHeight="1">
      <c r="A540" s="32"/>
      <c r="C540" s="32"/>
      <c r="D540" s="32"/>
      <c r="E540" s="32"/>
      <c r="F540" s="32"/>
      <c r="G540" s="32"/>
    </row>
    <row r="541" ht="15.75" customHeight="1">
      <c r="A541" s="32"/>
      <c r="C541" s="32"/>
      <c r="D541" s="32"/>
      <c r="E541" s="32"/>
      <c r="F541" s="32"/>
      <c r="G541" s="32"/>
    </row>
    <row r="542" ht="15.75" customHeight="1">
      <c r="A542" s="32"/>
      <c r="C542" s="32"/>
      <c r="D542" s="32"/>
      <c r="E542" s="32"/>
      <c r="F542" s="32"/>
      <c r="G542" s="32"/>
    </row>
    <row r="543" ht="15.75" customHeight="1">
      <c r="A543" s="32"/>
      <c r="C543" s="32"/>
      <c r="D543" s="32"/>
      <c r="E543" s="32"/>
      <c r="F543" s="32"/>
      <c r="G543" s="32"/>
    </row>
    <row r="544" ht="15.75" customHeight="1">
      <c r="A544" s="32"/>
      <c r="C544" s="32"/>
      <c r="D544" s="32"/>
      <c r="E544" s="32"/>
      <c r="F544" s="32"/>
      <c r="G544" s="32"/>
    </row>
    <row r="545" ht="15.75" customHeight="1">
      <c r="A545" s="32"/>
      <c r="C545" s="32"/>
      <c r="D545" s="32"/>
      <c r="E545" s="32"/>
      <c r="F545" s="32"/>
      <c r="G545" s="32"/>
    </row>
    <row r="546" ht="15.75" customHeight="1">
      <c r="A546" s="32"/>
      <c r="C546" s="32"/>
      <c r="D546" s="32"/>
      <c r="E546" s="32"/>
      <c r="F546" s="32"/>
      <c r="G546" s="32"/>
    </row>
    <row r="547" ht="15.75" customHeight="1">
      <c r="A547" s="32"/>
      <c r="C547" s="32"/>
      <c r="D547" s="32"/>
      <c r="E547" s="32"/>
      <c r="F547" s="32"/>
      <c r="G547" s="32"/>
    </row>
    <row r="548" ht="15.75" customHeight="1">
      <c r="A548" s="32"/>
      <c r="C548" s="32"/>
      <c r="D548" s="32"/>
      <c r="E548" s="32"/>
      <c r="F548" s="32"/>
      <c r="G548" s="32"/>
    </row>
    <row r="549" ht="15.75" customHeight="1">
      <c r="A549" s="32"/>
      <c r="C549" s="32"/>
      <c r="D549" s="32"/>
      <c r="E549" s="32"/>
      <c r="F549" s="32"/>
      <c r="G549" s="32"/>
    </row>
    <row r="550" ht="15.75" customHeight="1">
      <c r="A550" s="32"/>
      <c r="C550" s="32"/>
      <c r="D550" s="32"/>
      <c r="E550" s="32"/>
      <c r="F550" s="32"/>
      <c r="G550" s="32"/>
    </row>
    <row r="551" ht="15.75" customHeight="1">
      <c r="A551" s="32"/>
      <c r="C551" s="32"/>
      <c r="D551" s="32"/>
      <c r="E551" s="32"/>
      <c r="F551" s="32"/>
      <c r="G551" s="32"/>
    </row>
    <row r="552" ht="15.75" customHeight="1">
      <c r="A552" s="32"/>
      <c r="C552" s="32"/>
      <c r="D552" s="32"/>
      <c r="E552" s="32"/>
      <c r="F552" s="32"/>
      <c r="G552" s="32"/>
    </row>
    <row r="553" ht="15.75" customHeight="1">
      <c r="A553" s="32"/>
      <c r="C553" s="32"/>
      <c r="D553" s="32"/>
      <c r="E553" s="32"/>
      <c r="F553" s="32"/>
      <c r="G553" s="32"/>
    </row>
    <row r="554" ht="15.75" customHeight="1">
      <c r="A554" s="32"/>
      <c r="C554" s="32"/>
      <c r="D554" s="32"/>
      <c r="E554" s="32"/>
      <c r="F554" s="32"/>
      <c r="G554" s="32"/>
    </row>
    <row r="555" ht="15.75" customHeight="1">
      <c r="A555" s="32"/>
      <c r="C555" s="32"/>
      <c r="D555" s="32"/>
      <c r="E555" s="32"/>
      <c r="F555" s="32"/>
      <c r="G555" s="32"/>
    </row>
    <row r="556" ht="15.75" customHeight="1">
      <c r="A556" s="32"/>
      <c r="C556" s="32"/>
      <c r="D556" s="32"/>
      <c r="E556" s="32"/>
      <c r="F556" s="32"/>
      <c r="G556" s="32"/>
    </row>
    <row r="557" ht="15.75" customHeight="1">
      <c r="A557" s="32"/>
      <c r="C557" s="32"/>
      <c r="D557" s="32"/>
      <c r="E557" s="32"/>
      <c r="F557" s="32"/>
      <c r="G557" s="32"/>
    </row>
    <row r="558" ht="15.75" customHeight="1">
      <c r="A558" s="32"/>
      <c r="C558" s="32"/>
      <c r="D558" s="32"/>
      <c r="E558" s="32"/>
      <c r="F558" s="32"/>
      <c r="G558" s="32"/>
    </row>
    <row r="559" ht="15.75" customHeight="1">
      <c r="A559" s="32"/>
      <c r="C559" s="32"/>
      <c r="D559" s="32"/>
      <c r="E559" s="32"/>
      <c r="F559" s="32"/>
      <c r="G559" s="32"/>
    </row>
    <row r="560" ht="15.75" customHeight="1">
      <c r="A560" s="32"/>
      <c r="C560" s="32"/>
      <c r="D560" s="32"/>
      <c r="E560" s="32"/>
      <c r="F560" s="32"/>
      <c r="G560" s="32"/>
    </row>
    <row r="561" ht="15.75" customHeight="1">
      <c r="A561" s="32"/>
      <c r="C561" s="32"/>
      <c r="D561" s="32"/>
      <c r="E561" s="32"/>
      <c r="F561" s="32"/>
      <c r="G561" s="32"/>
    </row>
    <row r="562" ht="15.75" customHeight="1">
      <c r="A562" s="32"/>
      <c r="C562" s="32"/>
      <c r="D562" s="32"/>
      <c r="E562" s="32"/>
      <c r="F562" s="32"/>
      <c r="G562" s="32"/>
    </row>
    <row r="563" ht="15.75" customHeight="1">
      <c r="A563" s="32"/>
      <c r="C563" s="32"/>
      <c r="D563" s="32"/>
      <c r="E563" s="32"/>
      <c r="F563" s="32"/>
      <c r="G563" s="32"/>
    </row>
    <row r="564" ht="15.75" customHeight="1">
      <c r="A564" s="32"/>
      <c r="C564" s="32"/>
      <c r="D564" s="32"/>
      <c r="E564" s="32"/>
      <c r="F564" s="32"/>
      <c r="G564" s="32"/>
    </row>
    <row r="565" ht="15.75" customHeight="1">
      <c r="A565" s="32"/>
      <c r="C565" s="32"/>
      <c r="D565" s="32"/>
      <c r="E565" s="32"/>
      <c r="F565" s="32"/>
      <c r="G565" s="32"/>
    </row>
    <row r="566" ht="15.75" customHeight="1">
      <c r="A566" s="32"/>
      <c r="C566" s="32"/>
      <c r="D566" s="32"/>
      <c r="E566" s="32"/>
      <c r="F566" s="32"/>
      <c r="G566" s="32"/>
    </row>
    <row r="567" ht="15.75" customHeight="1">
      <c r="A567" s="32"/>
      <c r="C567" s="32"/>
      <c r="D567" s="32"/>
      <c r="E567" s="32"/>
      <c r="F567" s="32"/>
      <c r="G567" s="32"/>
    </row>
    <row r="568" ht="15.75" customHeight="1">
      <c r="A568" s="32"/>
      <c r="C568" s="32"/>
      <c r="D568" s="32"/>
      <c r="E568" s="32"/>
      <c r="F568" s="32"/>
      <c r="G568" s="32"/>
    </row>
    <row r="569" ht="15.75" customHeight="1">
      <c r="A569" s="32"/>
      <c r="C569" s="32"/>
      <c r="D569" s="32"/>
      <c r="E569" s="32"/>
      <c r="F569" s="32"/>
      <c r="G569" s="32"/>
    </row>
    <row r="570" ht="15.75" customHeight="1">
      <c r="A570" s="32"/>
      <c r="C570" s="32"/>
      <c r="D570" s="32"/>
      <c r="E570" s="32"/>
      <c r="F570" s="32"/>
      <c r="G570" s="32"/>
    </row>
    <row r="571" ht="15.75" customHeight="1">
      <c r="A571" s="32"/>
      <c r="C571" s="32"/>
      <c r="D571" s="32"/>
      <c r="E571" s="32"/>
      <c r="F571" s="32"/>
      <c r="G571" s="32"/>
    </row>
    <row r="572" ht="15.75" customHeight="1">
      <c r="A572" s="32"/>
      <c r="C572" s="32"/>
      <c r="D572" s="32"/>
      <c r="E572" s="32"/>
      <c r="F572" s="32"/>
      <c r="G572" s="32"/>
    </row>
    <row r="573" ht="15.75" customHeight="1">
      <c r="A573" s="32"/>
      <c r="C573" s="32"/>
      <c r="D573" s="32"/>
      <c r="E573" s="32"/>
      <c r="F573" s="32"/>
      <c r="G573" s="32"/>
    </row>
    <row r="574" ht="15.75" customHeight="1">
      <c r="A574" s="32"/>
      <c r="C574" s="32"/>
      <c r="D574" s="32"/>
      <c r="E574" s="32"/>
      <c r="F574" s="32"/>
      <c r="G574" s="32"/>
    </row>
    <row r="575" ht="15.75" customHeight="1">
      <c r="A575" s="32"/>
      <c r="C575" s="32"/>
      <c r="D575" s="32"/>
      <c r="E575" s="32"/>
      <c r="F575" s="32"/>
      <c r="G575" s="32"/>
    </row>
    <row r="576" ht="15.75" customHeight="1">
      <c r="A576" s="32"/>
      <c r="C576" s="32"/>
      <c r="D576" s="32"/>
      <c r="E576" s="32"/>
      <c r="F576" s="32"/>
      <c r="G576" s="32"/>
    </row>
    <row r="577" ht="15.75" customHeight="1">
      <c r="A577" s="32"/>
      <c r="C577" s="32"/>
      <c r="D577" s="32"/>
      <c r="E577" s="32"/>
      <c r="F577" s="32"/>
      <c r="G577" s="32"/>
    </row>
    <row r="578" ht="15.75" customHeight="1">
      <c r="A578" s="32"/>
      <c r="C578" s="32"/>
      <c r="D578" s="32"/>
      <c r="E578" s="32"/>
      <c r="F578" s="32"/>
      <c r="G578" s="32"/>
    </row>
    <row r="579" ht="15.75" customHeight="1">
      <c r="A579" s="32"/>
      <c r="C579" s="32"/>
      <c r="D579" s="32"/>
      <c r="E579" s="32"/>
      <c r="F579" s="32"/>
      <c r="G579" s="32"/>
    </row>
    <row r="580" ht="15.75" customHeight="1">
      <c r="A580" s="32"/>
      <c r="C580" s="32"/>
      <c r="D580" s="32"/>
      <c r="E580" s="32"/>
      <c r="F580" s="32"/>
      <c r="G580" s="32"/>
    </row>
    <row r="581" ht="15.75" customHeight="1">
      <c r="A581" s="32"/>
      <c r="C581" s="32"/>
      <c r="D581" s="32"/>
      <c r="E581" s="32"/>
      <c r="F581" s="32"/>
      <c r="G581" s="32"/>
    </row>
    <row r="582" ht="15.75" customHeight="1">
      <c r="A582" s="32"/>
      <c r="C582" s="32"/>
      <c r="D582" s="32"/>
      <c r="E582" s="32"/>
      <c r="F582" s="32"/>
      <c r="G582" s="32"/>
    </row>
    <row r="583" ht="15.75" customHeight="1">
      <c r="A583" s="32"/>
      <c r="C583" s="32"/>
      <c r="D583" s="32"/>
      <c r="E583" s="32"/>
      <c r="F583" s="32"/>
      <c r="G583" s="32"/>
    </row>
    <row r="584" ht="15.75" customHeight="1">
      <c r="A584" s="32"/>
      <c r="C584" s="32"/>
      <c r="D584" s="32"/>
      <c r="E584" s="32"/>
      <c r="F584" s="32"/>
      <c r="G584" s="32"/>
    </row>
    <row r="585" ht="15.75" customHeight="1">
      <c r="A585" s="32"/>
      <c r="C585" s="32"/>
      <c r="D585" s="32"/>
      <c r="E585" s="32"/>
      <c r="F585" s="32"/>
      <c r="G585" s="32"/>
    </row>
    <row r="586" ht="15.75" customHeight="1">
      <c r="A586" s="32"/>
      <c r="C586" s="32"/>
      <c r="D586" s="32"/>
      <c r="E586" s="32"/>
      <c r="F586" s="32"/>
      <c r="G586" s="32"/>
    </row>
    <row r="587" ht="15.75" customHeight="1">
      <c r="A587" s="32"/>
      <c r="C587" s="32"/>
      <c r="D587" s="32"/>
      <c r="E587" s="32"/>
      <c r="F587" s="32"/>
      <c r="G587" s="32"/>
    </row>
    <row r="588" ht="15.75" customHeight="1">
      <c r="A588" s="32"/>
      <c r="C588" s="32"/>
      <c r="D588" s="32"/>
      <c r="E588" s="32"/>
      <c r="F588" s="32"/>
      <c r="G588" s="32"/>
    </row>
    <row r="589" ht="15.75" customHeight="1">
      <c r="A589" s="32"/>
      <c r="C589" s="32"/>
      <c r="D589" s="32"/>
      <c r="E589" s="32"/>
      <c r="F589" s="32"/>
      <c r="G589" s="32"/>
    </row>
    <row r="590" ht="15.75" customHeight="1">
      <c r="A590" s="32"/>
      <c r="C590" s="32"/>
      <c r="D590" s="32"/>
      <c r="E590" s="32"/>
      <c r="F590" s="32"/>
      <c r="G590" s="32"/>
    </row>
    <row r="591" ht="15.75" customHeight="1">
      <c r="A591" s="32"/>
      <c r="C591" s="32"/>
      <c r="D591" s="32"/>
      <c r="E591" s="32"/>
      <c r="F591" s="32"/>
      <c r="G591" s="32"/>
    </row>
    <row r="592" ht="15.75" customHeight="1">
      <c r="A592" s="32"/>
      <c r="C592" s="32"/>
      <c r="D592" s="32"/>
      <c r="E592" s="32"/>
      <c r="F592" s="32"/>
      <c r="G592" s="32"/>
    </row>
    <row r="593" ht="15.75" customHeight="1">
      <c r="A593" s="32"/>
      <c r="C593" s="32"/>
      <c r="D593" s="32"/>
      <c r="E593" s="32"/>
      <c r="F593" s="32"/>
      <c r="G593" s="32"/>
    </row>
    <row r="594" ht="15.75" customHeight="1">
      <c r="A594" s="32"/>
      <c r="C594" s="32"/>
      <c r="D594" s="32"/>
      <c r="E594" s="32"/>
      <c r="F594" s="32"/>
      <c r="G594" s="32"/>
    </row>
    <row r="595" ht="15.75" customHeight="1">
      <c r="A595" s="32"/>
      <c r="C595" s="32"/>
      <c r="D595" s="32"/>
      <c r="E595" s="32"/>
      <c r="F595" s="32"/>
      <c r="G595" s="32"/>
    </row>
    <row r="596" ht="15.75" customHeight="1">
      <c r="A596" s="32"/>
      <c r="C596" s="32"/>
      <c r="D596" s="32"/>
      <c r="E596" s="32"/>
      <c r="F596" s="32"/>
      <c r="G596" s="32"/>
    </row>
    <row r="597" ht="15.75" customHeight="1">
      <c r="A597" s="32"/>
      <c r="C597" s="32"/>
      <c r="D597" s="32"/>
      <c r="E597" s="32"/>
      <c r="F597" s="32"/>
      <c r="G597" s="32"/>
    </row>
    <row r="598" ht="15.75" customHeight="1">
      <c r="A598" s="32"/>
      <c r="C598" s="32"/>
      <c r="D598" s="32"/>
      <c r="E598" s="32"/>
      <c r="F598" s="32"/>
      <c r="G598" s="32"/>
    </row>
    <row r="599" ht="15.75" customHeight="1">
      <c r="A599" s="32"/>
      <c r="C599" s="32"/>
      <c r="D599" s="32"/>
      <c r="E599" s="32"/>
      <c r="F599" s="32"/>
      <c r="G599" s="32"/>
    </row>
    <row r="600" ht="15.75" customHeight="1">
      <c r="A600" s="32"/>
      <c r="C600" s="32"/>
      <c r="D600" s="32"/>
      <c r="E600" s="32"/>
      <c r="F600" s="32"/>
      <c r="G600" s="32"/>
    </row>
    <row r="601" ht="15.75" customHeight="1">
      <c r="A601" s="32"/>
      <c r="C601" s="32"/>
      <c r="D601" s="32"/>
      <c r="E601" s="32"/>
      <c r="F601" s="32"/>
      <c r="G601" s="32"/>
    </row>
    <row r="602" ht="15.75" customHeight="1">
      <c r="A602" s="32"/>
      <c r="C602" s="32"/>
      <c r="D602" s="32"/>
      <c r="E602" s="32"/>
      <c r="F602" s="32"/>
      <c r="G602" s="32"/>
    </row>
    <row r="603" ht="15.75" customHeight="1">
      <c r="A603" s="32"/>
      <c r="C603" s="32"/>
      <c r="D603" s="32"/>
      <c r="E603" s="32"/>
      <c r="F603" s="32"/>
      <c r="G603" s="32"/>
    </row>
    <row r="604" ht="15.75" customHeight="1">
      <c r="A604" s="32"/>
      <c r="C604" s="32"/>
      <c r="D604" s="32"/>
      <c r="E604" s="32"/>
      <c r="F604" s="32"/>
      <c r="G604" s="32"/>
    </row>
    <row r="605" ht="15.75" customHeight="1">
      <c r="A605" s="32"/>
      <c r="C605" s="32"/>
      <c r="D605" s="32"/>
      <c r="E605" s="32"/>
      <c r="F605" s="32"/>
      <c r="G605" s="32"/>
    </row>
    <row r="606" ht="15.75" customHeight="1">
      <c r="A606" s="32"/>
      <c r="C606" s="32"/>
      <c r="D606" s="32"/>
      <c r="E606" s="32"/>
      <c r="F606" s="32"/>
      <c r="G606" s="32"/>
    </row>
    <row r="607" ht="15.75" customHeight="1">
      <c r="A607" s="32"/>
      <c r="C607" s="32"/>
      <c r="D607" s="32"/>
      <c r="E607" s="32"/>
      <c r="F607" s="32"/>
      <c r="G607" s="32"/>
    </row>
    <row r="608" ht="15.75" customHeight="1">
      <c r="A608" s="32"/>
      <c r="C608" s="32"/>
      <c r="D608" s="32"/>
      <c r="E608" s="32"/>
      <c r="F608" s="32"/>
      <c r="G608" s="32"/>
    </row>
    <row r="609" ht="15.75" customHeight="1">
      <c r="A609" s="32"/>
      <c r="C609" s="32"/>
      <c r="D609" s="32"/>
      <c r="E609" s="32"/>
      <c r="F609" s="32"/>
      <c r="G609" s="32"/>
    </row>
    <row r="610" ht="15.75" customHeight="1">
      <c r="A610" s="32"/>
      <c r="C610" s="32"/>
      <c r="D610" s="32"/>
      <c r="E610" s="32"/>
      <c r="F610" s="32"/>
      <c r="G610" s="32"/>
    </row>
    <row r="611" ht="15.75" customHeight="1">
      <c r="A611" s="32"/>
      <c r="C611" s="32"/>
      <c r="D611" s="32"/>
      <c r="E611" s="32"/>
      <c r="F611" s="32"/>
      <c r="G611" s="32"/>
    </row>
    <row r="612" ht="15.75" customHeight="1">
      <c r="A612" s="32"/>
      <c r="C612" s="32"/>
      <c r="D612" s="32"/>
      <c r="E612" s="32"/>
      <c r="F612" s="32"/>
      <c r="G612" s="32"/>
    </row>
    <row r="613" ht="15.75" customHeight="1">
      <c r="A613" s="32"/>
      <c r="C613" s="32"/>
      <c r="D613" s="32"/>
      <c r="E613" s="32"/>
      <c r="F613" s="32"/>
      <c r="G613" s="32"/>
    </row>
    <row r="614" ht="15.75" customHeight="1">
      <c r="A614" s="32"/>
      <c r="C614" s="32"/>
      <c r="D614" s="32"/>
      <c r="E614" s="32"/>
      <c r="F614" s="32"/>
      <c r="G614" s="32"/>
    </row>
    <row r="615" ht="15.75" customHeight="1">
      <c r="A615" s="32"/>
      <c r="C615" s="32"/>
      <c r="D615" s="32"/>
      <c r="E615" s="32"/>
      <c r="F615" s="32"/>
      <c r="G615" s="32"/>
    </row>
    <row r="616" ht="15.75" customHeight="1">
      <c r="A616" s="32"/>
      <c r="C616" s="32"/>
      <c r="D616" s="32"/>
      <c r="E616" s="32"/>
      <c r="F616" s="32"/>
      <c r="G616" s="32"/>
    </row>
    <row r="617" ht="15.75" customHeight="1">
      <c r="A617" s="32"/>
      <c r="C617" s="32"/>
      <c r="D617" s="32"/>
      <c r="E617" s="32"/>
      <c r="F617" s="32"/>
      <c r="G617" s="32"/>
    </row>
    <row r="618" ht="15.75" customHeight="1">
      <c r="A618" s="32"/>
      <c r="C618" s="32"/>
      <c r="D618" s="32"/>
      <c r="E618" s="32"/>
      <c r="F618" s="32"/>
      <c r="G618" s="32"/>
    </row>
    <row r="619" ht="15.75" customHeight="1">
      <c r="A619" s="32"/>
      <c r="C619" s="32"/>
      <c r="D619" s="32"/>
      <c r="E619" s="32"/>
      <c r="F619" s="32"/>
      <c r="G619" s="32"/>
    </row>
    <row r="620" ht="15.75" customHeight="1">
      <c r="A620" s="32"/>
      <c r="C620" s="32"/>
      <c r="D620" s="32"/>
      <c r="E620" s="32"/>
      <c r="F620" s="32"/>
      <c r="G620" s="32"/>
    </row>
    <row r="621" ht="15.75" customHeight="1">
      <c r="A621" s="32"/>
      <c r="C621" s="32"/>
      <c r="D621" s="32"/>
      <c r="E621" s="32"/>
      <c r="F621" s="32"/>
      <c r="G621" s="32"/>
    </row>
    <row r="622" ht="15.75" customHeight="1">
      <c r="A622" s="32"/>
      <c r="C622" s="32"/>
      <c r="D622" s="32"/>
      <c r="E622" s="32"/>
      <c r="F622" s="32"/>
      <c r="G622" s="32"/>
    </row>
    <row r="623" ht="15.75" customHeight="1">
      <c r="A623" s="32"/>
      <c r="C623" s="32"/>
      <c r="D623" s="32"/>
      <c r="E623" s="32"/>
      <c r="F623" s="32"/>
      <c r="G623" s="32"/>
    </row>
    <row r="624" ht="15.75" customHeight="1">
      <c r="A624" s="32"/>
      <c r="C624" s="32"/>
      <c r="D624" s="32"/>
      <c r="E624" s="32"/>
      <c r="F624" s="32"/>
      <c r="G624" s="32"/>
    </row>
    <row r="625" ht="15.75" customHeight="1">
      <c r="A625" s="32"/>
      <c r="C625" s="32"/>
      <c r="D625" s="32"/>
      <c r="E625" s="32"/>
      <c r="F625" s="32"/>
      <c r="G625" s="32"/>
    </row>
    <row r="626" ht="15.75" customHeight="1">
      <c r="A626" s="32"/>
      <c r="C626" s="32"/>
      <c r="D626" s="32"/>
      <c r="E626" s="32"/>
      <c r="F626" s="32"/>
      <c r="G626" s="32"/>
    </row>
    <row r="627" ht="15.75" customHeight="1">
      <c r="A627" s="32"/>
      <c r="C627" s="32"/>
      <c r="D627" s="32"/>
      <c r="E627" s="32"/>
      <c r="F627" s="32"/>
      <c r="G627" s="32"/>
    </row>
    <row r="628" ht="15.75" customHeight="1">
      <c r="A628" s="32"/>
      <c r="C628" s="32"/>
      <c r="D628" s="32"/>
      <c r="E628" s="32"/>
      <c r="F628" s="32"/>
      <c r="G628" s="32"/>
    </row>
    <row r="629" ht="15.75" customHeight="1">
      <c r="A629" s="32"/>
      <c r="C629" s="32"/>
      <c r="D629" s="32"/>
      <c r="E629" s="32"/>
      <c r="F629" s="32"/>
      <c r="G629" s="32"/>
    </row>
    <row r="630" ht="15.75" customHeight="1">
      <c r="A630" s="32"/>
      <c r="C630" s="32"/>
      <c r="D630" s="32"/>
      <c r="E630" s="32"/>
      <c r="F630" s="32"/>
      <c r="G630" s="32"/>
    </row>
    <row r="631" ht="15.75" customHeight="1">
      <c r="A631" s="32"/>
      <c r="C631" s="32"/>
      <c r="D631" s="32"/>
      <c r="E631" s="32"/>
      <c r="F631" s="32"/>
      <c r="G631" s="32"/>
    </row>
    <row r="632" ht="15.75" customHeight="1">
      <c r="A632" s="32"/>
      <c r="C632" s="32"/>
      <c r="D632" s="32"/>
      <c r="E632" s="32"/>
      <c r="F632" s="32"/>
      <c r="G632" s="32"/>
    </row>
    <row r="633" ht="15.75" customHeight="1">
      <c r="A633" s="32"/>
      <c r="C633" s="32"/>
      <c r="D633" s="32"/>
      <c r="E633" s="32"/>
      <c r="F633" s="32"/>
      <c r="G633" s="32"/>
    </row>
    <row r="634" ht="15.75" customHeight="1">
      <c r="A634" s="32"/>
      <c r="C634" s="32"/>
      <c r="D634" s="32"/>
      <c r="E634" s="32"/>
      <c r="F634" s="32"/>
      <c r="G634" s="32"/>
    </row>
    <row r="635" ht="15.75" customHeight="1">
      <c r="A635" s="32"/>
      <c r="C635" s="32"/>
      <c r="D635" s="32"/>
      <c r="E635" s="32"/>
      <c r="F635" s="32"/>
      <c r="G635" s="32"/>
    </row>
    <row r="636" ht="15.75" customHeight="1">
      <c r="A636" s="32"/>
      <c r="C636" s="32"/>
      <c r="D636" s="32"/>
      <c r="E636" s="32"/>
      <c r="F636" s="32"/>
      <c r="G636" s="32"/>
    </row>
    <row r="637" ht="15.75" customHeight="1">
      <c r="A637" s="32"/>
      <c r="C637" s="32"/>
      <c r="D637" s="32"/>
      <c r="E637" s="32"/>
      <c r="F637" s="32"/>
      <c r="G637" s="32"/>
    </row>
    <row r="638" ht="15.75" customHeight="1">
      <c r="A638" s="32"/>
      <c r="C638" s="32"/>
      <c r="D638" s="32"/>
      <c r="E638" s="32"/>
      <c r="F638" s="32"/>
      <c r="G638" s="32"/>
    </row>
    <row r="639" ht="15.75" customHeight="1">
      <c r="A639" s="32"/>
      <c r="C639" s="32"/>
      <c r="D639" s="32"/>
      <c r="E639" s="32"/>
      <c r="F639" s="32"/>
      <c r="G639" s="32"/>
    </row>
    <row r="640" ht="15.75" customHeight="1">
      <c r="A640" s="32"/>
      <c r="C640" s="32"/>
      <c r="D640" s="32"/>
      <c r="E640" s="32"/>
      <c r="F640" s="32"/>
      <c r="G640" s="32"/>
    </row>
    <row r="641" ht="15.75" customHeight="1">
      <c r="A641" s="32"/>
      <c r="C641" s="32"/>
      <c r="D641" s="32"/>
      <c r="E641" s="32"/>
      <c r="F641" s="32"/>
      <c r="G641" s="32"/>
    </row>
    <row r="642" ht="15.75" customHeight="1">
      <c r="A642" s="32"/>
      <c r="C642" s="32"/>
      <c r="D642" s="32"/>
      <c r="E642" s="32"/>
      <c r="F642" s="32"/>
      <c r="G642" s="32"/>
    </row>
    <row r="643" ht="15.75" customHeight="1">
      <c r="A643" s="32"/>
      <c r="C643" s="32"/>
      <c r="D643" s="32"/>
      <c r="E643" s="32"/>
      <c r="F643" s="32"/>
      <c r="G643" s="32"/>
    </row>
    <row r="644" ht="15.75" customHeight="1">
      <c r="A644" s="32"/>
      <c r="C644" s="32"/>
      <c r="D644" s="32"/>
      <c r="E644" s="32"/>
      <c r="F644" s="32"/>
      <c r="G644" s="32"/>
    </row>
    <row r="645" ht="15.75" customHeight="1">
      <c r="A645" s="32"/>
      <c r="C645" s="32"/>
      <c r="D645" s="32"/>
      <c r="E645" s="32"/>
      <c r="F645" s="32"/>
      <c r="G645" s="32"/>
    </row>
    <row r="646" ht="15.75" customHeight="1">
      <c r="A646" s="32"/>
      <c r="C646" s="32"/>
      <c r="D646" s="32"/>
      <c r="E646" s="32"/>
      <c r="F646" s="32"/>
      <c r="G646" s="32"/>
    </row>
    <row r="647" ht="15.75" customHeight="1">
      <c r="A647" s="32"/>
      <c r="C647" s="32"/>
      <c r="D647" s="32"/>
      <c r="E647" s="32"/>
      <c r="F647" s="32"/>
      <c r="G647" s="32"/>
    </row>
    <row r="648" ht="15.75" customHeight="1">
      <c r="A648" s="32"/>
      <c r="C648" s="32"/>
      <c r="D648" s="32"/>
      <c r="E648" s="32"/>
      <c r="F648" s="32"/>
      <c r="G648" s="32"/>
    </row>
    <row r="649" ht="15.75" customHeight="1">
      <c r="A649" s="32"/>
      <c r="C649" s="32"/>
      <c r="D649" s="32"/>
      <c r="E649" s="32"/>
      <c r="F649" s="32"/>
      <c r="G649" s="32"/>
    </row>
    <row r="650" ht="15.75" customHeight="1">
      <c r="A650" s="32"/>
      <c r="C650" s="32"/>
      <c r="D650" s="32"/>
      <c r="E650" s="32"/>
      <c r="F650" s="32"/>
      <c r="G650" s="32"/>
    </row>
    <row r="651" ht="15.75" customHeight="1">
      <c r="A651" s="32"/>
      <c r="C651" s="32"/>
      <c r="D651" s="32"/>
      <c r="E651" s="32"/>
      <c r="F651" s="32"/>
      <c r="G651" s="32"/>
    </row>
    <row r="652" ht="15.75" customHeight="1">
      <c r="A652" s="32"/>
      <c r="C652" s="32"/>
      <c r="D652" s="32"/>
      <c r="E652" s="32"/>
      <c r="F652" s="32"/>
      <c r="G652" s="32"/>
    </row>
    <row r="653" ht="15.75" customHeight="1">
      <c r="A653" s="32"/>
      <c r="C653" s="32"/>
      <c r="D653" s="32"/>
      <c r="E653" s="32"/>
      <c r="F653" s="32"/>
      <c r="G653" s="32"/>
    </row>
    <row r="654" ht="15.75" customHeight="1">
      <c r="A654" s="32"/>
      <c r="C654" s="32"/>
      <c r="D654" s="32"/>
      <c r="E654" s="32"/>
      <c r="F654" s="32"/>
      <c r="G654" s="32"/>
    </row>
    <row r="655" ht="15.75" customHeight="1">
      <c r="A655" s="32"/>
      <c r="C655" s="32"/>
      <c r="D655" s="32"/>
      <c r="E655" s="32"/>
      <c r="F655" s="32"/>
      <c r="G655" s="32"/>
    </row>
    <row r="656" ht="15.75" customHeight="1">
      <c r="A656" s="32"/>
      <c r="C656" s="32"/>
      <c r="D656" s="32"/>
      <c r="E656" s="32"/>
      <c r="F656" s="32"/>
      <c r="G656" s="32"/>
    </row>
    <row r="657" ht="15.75" customHeight="1">
      <c r="A657" s="32"/>
      <c r="C657" s="32"/>
      <c r="D657" s="32"/>
      <c r="E657" s="32"/>
      <c r="F657" s="32"/>
      <c r="G657" s="32"/>
    </row>
    <row r="658" ht="15.75" customHeight="1">
      <c r="A658" s="32"/>
      <c r="C658" s="32"/>
      <c r="D658" s="32"/>
      <c r="E658" s="32"/>
      <c r="F658" s="32"/>
      <c r="G658" s="32"/>
    </row>
    <row r="659" ht="15.75" customHeight="1">
      <c r="A659" s="32"/>
      <c r="C659" s="32"/>
      <c r="D659" s="32"/>
      <c r="E659" s="32"/>
      <c r="F659" s="32"/>
      <c r="G659" s="32"/>
    </row>
    <row r="660" ht="15.75" customHeight="1">
      <c r="A660" s="32"/>
      <c r="C660" s="32"/>
      <c r="D660" s="32"/>
      <c r="E660" s="32"/>
      <c r="F660" s="32"/>
      <c r="G660" s="32"/>
    </row>
    <row r="661" ht="15.75" customHeight="1">
      <c r="A661" s="32"/>
      <c r="C661" s="32"/>
      <c r="D661" s="32"/>
      <c r="E661" s="32"/>
      <c r="F661" s="32"/>
      <c r="G661" s="32"/>
    </row>
    <row r="662" ht="15.75" customHeight="1">
      <c r="A662" s="32"/>
      <c r="C662" s="32"/>
      <c r="D662" s="32"/>
      <c r="E662" s="32"/>
      <c r="F662" s="32"/>
      <c r="G662" s="32"/>
    </row>
    <row r="663" ht="15.75" customHeight="1">
      <c r="A663" s="32"/>
      <c r="C663" s="32"/>
      <c r="D663" s="32"/>
      <c r="E663" s="32"/>
      <c r="F663" s="32"/>
      <c r="G663" s="32"/>
    </row>
    <row r="664" ht="15.75" customHeight="1">
      <c r="A664" s="32"/>
      <c r="C664" s="32"/>
      <c r="D664" s="32"/>
      <c r="E664" s="32"/>
      <c r="F664" s="32"/>
      <c r="G664" s="32"/>
    </row>
    <row r="665" ht="15.75" customHeight="1">
      <c r="A665" s="32"/>
      <c r="C665" s="32"/>
      <c r="D665" s="32"/>
      <c r="E665" s="32"/>
      <c r="F665" s="32"/>
      <c r="G665" s="32"/>
    </row>
    <row r="666" ht="15.75" customHeight="1">
      <c r="A666" s="32"/>
      <c r="C666" s="32"/>
      <c r="D666" s="32"/>
      <c r="E666" s="32"/>
      <c r="F666" s="32"/>
      <c r="G666" s="32"/>
    </row>
    <row r="667" ht="15.75" customHeight="1">
      <c r="A667" s="32"/>
      <c r="C667" s="32"/>
      <c r="D667" s="32"/>
      <c r="E667" s="32"/>
      <c r="F667" s="32"/>
      <c r="G667" s="32"/>
    </row>
    <row r="668" ht="15.75" customHeight="1">
      <c r="A668" s="32"/>
      <c r="C668" s="32"/>
      <c r="D668" s="32"/>
      <c r="E668" s="32"/>
      <c r="F668" s="32"/>
      <c r="G668" s="32"/>
    </row>
    <row r="669" ht="15.75" customHeight="1">
      <c r="A669" s="32"/>
      <c r="C669" s="32"/>
      <c r="D669" s="32"/>
      <c r="E669" s="32"/>
      <c r="F669" s="32"/>
      <c r="G669" s="32"/>
    </row>
    <row r="670" ht="15.75" customHeight="1">
      <c r="A670" s="32"/>
      <c r="C670" s="32"/>
      <c r="D670" s="32"/>
      <c r="E670" s="32"/>
      <c r="F670" s="32"/>
      <c r="G670" s="32"/>
    </row>
    <row r="671" ht="15.75" customHeight="1">
      <c r="A671" s="32"/>
      <c r="C671" s="32"/>
      <c r="D671" s="32"/>
      <c r="E671" s="32"/>
      <c r="F671" s="32"/>
      <c r="G671" s="32"/>
    </row>
    <row r="672" ht="15.75" customHeight="1">
      <c r="A672" s="32"/>
      <c r="C672" s="32"/>
      <c r="D672" s="32"/>
      <c r="E672" s="32"/>
      <c r="F672" s="32"/>
      <c r="G672" s="32"/>
    </row>
    <row r="673" ht="15.75" customHeight="1">
      <c r="A673" s="32"/>
      <c r="C673" s="32"/>
      <c r="D673" s="32"/>
      <c r="E673" s="32"/>
      <c r="F673" s="32"/>
      <c r="G673" s="32"/>
    </row>
    <row r="674" ht="15.75" customHeight="1">
      <c r="A674" s="32"/>
      <c r="C674" s="32"/>
      <c r="D674" s="32"/>
      <c r="E674" s="32"/>
      <c r="F674" s="32"/>
      <c r="G674" s="32"/>
    </row>
    <row r="675" ht="15.75" customHeight="1">
      <c r="A675" s="32"/>
      <c r="C675" s="32"/>
      <c r="D675" s="32"/>
      <c r="E675" s="32"/>
      <c r="F675" s="32"/>
      <c r="G675" s="32"/>
    </row>
    <row r="676" ht="15.75" customHeight="1">
      <c r="A676" s="32"/>
      <c r="C676" s="32"/>
      <c r="D676" s="32"/>
      <c r="E676" s="32"/>
      <c r="F676" s="32"/>
      <c r="G676" s="32"/>
    </row>
    <row r="677" ht="15.75" customHeight="1">
      <c r="A677" s="32"/>
      <c r="C677" s="32"/>
      <c r="D677" s="32"/>
      <c r="E677" s="32"/>
      <c r="F677" s="32"/>
      <c r="G677" s="32"/>
    </row>
    <row r="678" ht="15.75" customHeight="1">
      <c r="A678" s="32"/>
      <c r="C678" s="32"/>
      <c r="D678" s="32"/>
      <c r="E678" s="32"/>
      <c r="F678" s="32"/>
      <c r="G678" s="32"/>
    </row>
    <row r="679" ht="15.75" customHeight="1">
      <c r="A679" s="32"/>
      <c r="C679" s="32"/>
      <c r="D679" s="32"/>
      <c r="E679" s="32"/>
      <c r="F679" s="32"/>
      <c r="G679" s="32"/>
    </row>
    <row r="680" ht="15.75" customHeight="1">
      <c r="A680" s="32"/>
      <c r="C680" s="32"/>
      <c r="D680" s="32"/>
      <c r="E680" s="32"/>
      <c r="F680" s="32"/>
      <c r="G680" s="32"/>
    </row>
    <row r="681" ht="15.75" customHeight="1">
      <c r="A681" s="32"/>
      <c r="C681" s="32"/>
      <c r="D681" s="32"/>
      <c r="E681" s="32"/>
      <c r="F681" s="32"/>
      <c r="G681" s="32"/>
    </row>
    <row r="682" ht="15.75" customHeight="1">
      <c r="A682" s="32"/>
      <c r="C682" s="32"/>
      <c r="D682" s="32"/>
      <c r="E682" s="32"/>
      <c r="F682" s="32"/>
      <c r="G682" s="32"/>
    </row>
    <row r="683" ht="15.75" customHeight="1">
      <c r="A683" s="32"/>
      <c r="C683" s="32"/>
      <c r="D683" s="32"/>
      <c r="E683" s="32"/>
      <c r="F683" s="32"/>
      <c r="G683" s="32"/>
    </row>
    <row r="684" ht="15.75" customHeight="1">
      <c r="A684" s="32"/>
      <c r="C684" s="32"/>
      <c r="D684" s="32"/>
      <c r="E684" s="32"/>
      <c r="F684" s="32"/>
      <c r="G684" s="32"/>
    </row>
    <row r="685" ht="15.75" customHeight="1">
      <c r="A685" s="32"/>
      <c r="C685" s="32"/>
      <c r="D685" s="32"/>
      <c r="E685" s="32"/>
      <c r="F685" s="32"/>
      <c r="G685" s="32"/>
    </row>
    <row r="686" ht="15.75" customHeight="1">
      <c r="A686" s="32"/>
      <c r="C686" s="32"/>
      <c r="D686" s="32"/>
      <c r="E686" s="32"/>
      <c r="F686" s="32"/>
      <c r="G686" s="32"/>
    </row>
    <row r="687" ht="15.75" customHeight="1">
      <c r="A687" s="32"/>
      <c r="C687" s="32"/>
      <c r="D687" s="32"/>
      <c r="E687" s="32"/>
      <c r="F687" s="32"/>
      <c r="G687" s="32"/>
    </row>
    <row r="688" ht="15.75" customHeight="1">
      <c r="A688" s="32"/>
      <c r="C688" s="32"/>
      <c r="D688" s="32"/>
      <c r="E688" s="32"/>
      <c r="F688" s="32"/>
      <c r="G688" s="32"/>
    </row>
    <row r="689" ht="15.75" customHeight="1">
      <c r="A689" s="32"/>
      <c r="C689" s="32"/>
      <c r="D689" s="32"/>
      <c r="E689" s="32"/>
      <c r="F689" s="32"/>
      <c r="G689" s="32"/>
    </row>
    <row r="690" ht="15.75" customHeight="1">
      <c r="A690" s="32"/>
      <c r="C690" s="32"/>
      <c r="D690" s="32"/>
      <c r="E690" s="32"/>
      <c r="F690" s="32"/>
      <c r="G690" s="32"/>
    </row>
    <row r="691" ht="15.75" customHeight="1">
      <c r="A691" s="32"/>
      <c r="C691" s="32"/>
      <c r="D691" s="32"/>
      <c r="E691" s="32"/>
      <c r="F691" s="32"/>
      <c r="G691" s="32"/>
    </row>
    <row r="692" ht="15.75" customHeight="1">
      <c r="A692" s="32"/>
      <c r="C692" s="32"/>
      <c r="D692" s="32"/>
      <c r="E692" s="32"/>
      <c r="F692" s="32"/>
      <c r="G692" s="32"/>
    </row>
    <row r="693" ht="15.75" customHeight="1">
      <c r="A693" s="32"/>
      <c r="C693" s="32"/>
      <c r="D693" s="32"/>
      <c r="E693" s="32"/>
      <c r="F693" s="32"/>
      <c r="G693" s="32"/>
    </row>
    <row r="694" ht="15.75" customHeight="1">
      <c r="A694" s="32"/>
      <c r="C694" s="32"/>
      <c r="D694" s="32"/>
      <c r="E694" s="32"/>
      <c r="F694" s="32"/>
      <c r="G694" s="32"/>
    </row>
    <row r="695" ht="15.75" customHeight="1">
      <c r="A695" s="32"/>
      <c r="C695" s="32"/>
      <c r="D695" s="32"/>
      <c r="E695" s="32"/>
      <c r="F695" s="32"/>
      <c r="G695" s="32"/>
    </row>
    <row r="696" ht="15.75" customHeight="1">
      <c r="A696" s="32"/>
      <c r="C696" s="32"/>
      <c r="D696" s="32"/>
      <c r="E696" s="32"/>
      <c r="F696" s="32"/>
      <c r="G696" s="32"/>
    </row>
    <row r="697" ht="15.75" customHeight="1">
      <c r="A697" s="32"/>
      <c r="C697" s="32"/>
      <c r="D697" s="32"/>
      <c r="E697" s="32"/>
      <c r="F697" s="32"/>
      <c r="G697" s="32"/>
    </row>
    <row r="698" ht="15.75" customHeight="1">
      <c r="A698" s="32"/>
      <c r="C698" s="32"/>
      <c r="D698" s="32"/>
      <c r="E698" s="32"/>
      <c r="F698" s="32"/>
      <c r="G698" s="32"/>
    </row>
    <row r="699" ht="15.75" customHeight="1">
      <c r="A699" s="32"/>
      <c r="C699" s="32"/>
      <c r="D699" s="32"/>
      <c r="E699" s="32"/>
      <c r="F699" s="32"/>
      <c r="G699" s="32"/>
    </row>
    <row r="700" ht="15.75" customHeight="1">
      <c r="A700" s="32"/>
      <c r="C700" s="32"/>
      <c r="D700" s="32"/>
      <c r="E700" s="32"/>
      <c r="F700" s="32"/>
      <c r="G700" s="32"/>
    </row>
    <row r="701" ht="15.75" customHeight="1">
      <c r="A701" s="32"/>
      <c r="C701" s="32"/>
      <c r="D701" s="32"/>
      <c r="E701" s="32"/>
      <c r="F701" s="32"/>
      <c r="G701" s="32"/>
    </row>
    <row r="702" ht="15.75" customHeight="1">
      <c r="A702" s="32"/>
      <c r="C702" s="32"/>
      <c r="D702" s="32"/>
      <c r="E702" s="32"/>
      <c r="F702" s="32"/>
      <c r="G702" s="32"/>
    </row>
    <row r="703" ht="15.75" customHeight="1">
      <c r="A703" s="32"/>
      <c r="C703" s="32"/>
      <c r="D703" s="32"/>
      <c r="E703" s="32"/>
      <c r="F703" s="32"/>
      <c r="G703" s="32"/>
    </row>
    <row r="704" ht="15.75" customHeight="1">
      <c r="A704" s="32"/>
      <c r="C704" s="32"/>
      <c r="D704" s="32"/>
      <c r="E704" s="32"/>
      <c r="F704" s="32"/>
      <c r="G704" s="32"/>
    </row>
    <row r="705" ht="15.75" customHeight="1">
      <c r="A705" s="32"/>
      <c r="C705" s="32"/>
      <c r="D705" s="32"/>
      <c r="E705" s="32"/>
      <c r="F705" s="32"/>
      <c r="G705" s="32"/>
    </row>
    <row r="706" ht="15.75" customHeight="1">
      <c r="A706" s="32"/>
      <c r="C706" s="32"/>
      <c r="D706" s="32"/>
      <c r="E706" s="32"/>
      <c r="F706" s="32"/>
      <c r="G706" s="32"/>
    </row>
    <row r="707" ht="15.75" customHeight="1">
      <c r="A707" s="32"/>
      <c r="C707" s="32"/>
      <c r="D707" s="32"/>
      <c r="E707" s="32"/>
      <c r="F707" s="32"/>
      <c r="G707" s="32"/>
    </row>
    <row r="708" ht="15.75" customHeight="1">
      <c r="A708" s="32"/>
      <c r="C708" s="32"/>
      <c r="D708" s="32"/>
      <c r="E708" s="32"/>
      <c r="F708" s="32"/>
      <c r="G708" s="32"/>
    </row>
    <row r="709" ht="15.75" customHeight="1">
      <c r="A709" s="32"/>
      <c r="C709" s="32"/>
      <c r="D709" s="32"/>
      <c r="E709" s="32"/>
      <c r="F709" s="32"/>
      <c r="G709" s="32"/>
    </row>
    <row r="710" ht="15.75" customHeight="1">
      <c r="A710" s="32"/>
      <c r="C710" s="32"/>
      <c r="D710" s="32"/>
      <c r="E710" s="32"/>
      <c r="F710" s="32"/>
      <c r="G710" s="32"/>
    </row>
    <row r="711" ht="15.75" customHeight="1">
      <c r="A711" s="32"/>
      <c r="C711" s="32"/>
      <c r="D711" s="32"/>
      <c r="E711" s="32"/>
      <c r="F711" s="32"/>
      <c r="G711" s="32"/>
    </row>
    <row r="712" ht="15.75" customHeight="1">
      <c r="A712" s="32"/>
      <c r="C712" s="32"/>
      <c r="D712" s="32"/>
      <c r="E712" s="32"/>
      <c r="F712" s="32"/>
      <c r="G712" s="32"/>
    </row>
    <row r="713" ht="15.75" customHeight="1">
      <c r="A713" s="32"/>
      <c r="C713" s="32"/>
      <c r="D713" s="32"/>
      <c r="E713" s="32"/>
      <c r="F713" s="32"/>
      <c r="G713" s="32"/>
    </row>
    <row r="714" ht="15.75" customHeight="1">
      <c r="A714" s="32"/>
      <c r="C714" s="32"/>
      <c r="D714" s="32"/>
      <c r="E714" s="32"/>
      <c r="F714" s="32"/>
      <c r="G714" s="32"/>
    </row>
    <row r="715" ht="15.75" customHeight="1">
      <c r="A715" s="32"/>
      <c r="C715" s="32"/>
      <c r="D715" s="32"/>
      <c r="E715" s="32"/>
      <c r="F715" s="32"/>
      <c r="G715" s="32"/>
    </row>
    <row r="716" ht="15.75" customHeight="1">
      <c r="A716" s="32"/>
      <c r="C716" s="32"/>
      <c r="D716" s="32"/>
      <c r="E716" s="32"/>
      <c r="F716" s="32"/>
      <c r="G716" s="32"/>
    </row>
    <row r="717" ht="15.75" customHeight="1">
      <c r="A717" s="32"/>
      <c r="C717" s="32"/>
      <c r="D717" s="32"/>
      <c r="E717" s="32"/>
      <c r="F717" s="32"/>
      <c r="G717" s="32"/>
    </row>
    <row r="718" ht="15.75" customHeight="1">
      <c r="A718" s="32"/>
      <c r="C718" s="32"/>
      <c r="D718" s="32"/>
      <c r="E718" s="32"/>
      <c r="F718" s="32"/>
      <c r="G718" s="32"/>
    </row>
    <row r="719" ht="15.75" customHeight="1">
      <c r="A719" s="32"/>
      <c r="C719" s="32"/>
      <c r="D719" s="32"/>
      <c r="E719" s="32"/>
      <c r="F719" s="32"/>
      <c r="G719" s="32"/>
    </row>
    <row r="720" ht="15.75" customHeight="1">
      <c r="A720" s="32"/>
      <c r="C720" s="32"/>
      <c r="D720" s="32"/>
      <c r="E720" s="32"/>
      <c r="F720" s="32"/>
      <c r="G720" s="32"/>
    </row>
    <row r="721" ht="15.75" customHeight="1">
      <c r="A721" s="32"/>
      <c r="C721" s="32"/>
      <c r="D721" s="32"/>
      <c r="E721" s="32"/>
      <c r="F721" s="32"/>
      <c r="G721" s="32"/>
    </row>
    <row r="722" ht="15.75" customHeight="1">
      <c r="A722" s="32"/>
      <c r="C722" s="32"/>
      <c r="D722" s="32"/>
      <c r="E722" s="32"/>
      <c r="F722" s="32"/>
      <c r="G722" s="32"/>
    </row>
    <row r="723" ht="15.75" customHeight="1">
      <c r="A723" s="32"/>
      <c r="C723" s="32"/>
      <c r="D723" s="32"/>
      <c r="E723" s="32"/>
      <c r="F723" s="32"/>
      <c r="G723" s="32"/>
    </row>
    <row r="724" ht="15.75" customHeight="1">
      <c r="A724" s="32"/>
      <c r="C724" s="32"/>
      <c r="D724" s="32"/>
      <c r="E724" s="32"/>
      <c r="F724" s="32"/>
      <c r="G724" s="32"/>
    </row>
    <row r="725" ht="15.75" customHeight="1">
      <c r="A725" s="32"/>
      <c r="C725" s="32"/>
      <c r="D725" s="32"/>
      <c r="E725" s="32"/>
      <c r="F725" s="32"/>
      <c r="G725" s="32"/>
    </row>
    <row r="726" ht="15.75" customHeight="1">
      <c r="A726" s="32"/>
      <c r="C726" s="32"/>
      <c r="D726" s="32"/>
      <c r="E726" s="32"/>
      <c r="F726" s="32"/>
      <c r="G726" s="32"/>
    </row>
    <row r="727" ht="15.75" customHeight="1">
      <c r="A727" s="32"/>
      <c r="C727" s="32"/>
      <c r="D727" s="32"/>
      <c r="E727" s="32"/>
      <c r="F727" s="32"/>
      <c r="G727" s="32"/>
    </row>
    <row r="728" ht="15.75" customHeight="1">
      <c r="A728" s="32"/>
      <c r="C728" s="32"/>
      <c r="D728" s="32"/>
      <c r="E728" s="32"/>
      <c r="F728" s="32"/>
      <c r="G728" s="32"/>
    </row>
    <row r="729" ht="15.75" customHeight="1">
      <c r="A729" s="32"/>
      <c r="C729" s="32"/>
      <c r="D729" s="32"/>
      <c r="E729" s="32"/>
      <c r="F729" s="32"/>
      <c r="G729" s="32"/>
    </row>
    <row r="730" ht="15.75" customHeight="1">
      <c r="A730" s="32"/>
      <c r="C730" s="32"/>
      <c r="D730" s="32"/>
      <c r="E730" s="32"/>
      <c r="F730" s="32"/>
      <c r="G730" s="32"/>
    </row>
    <row r="731" ht="15.75" customHeight="1">
      <c r="A731" s="32"/>
      <c r="C731" s="32"/>
      <c r="D731" s="32"/>
      <c r="E731" s="32"/>
      <c r="F731" s="32"/>
      <c r="G731" s="32"/>
    </row>
    <row r="732" ht="15.75" customHeight="1">
      <c r="A732" s="32"/>
      <c r="C732" s="32"/>
      <c r="D732" s="32"/>
      <c r="E732" s="32"/>
      <c r="F732" s="32"/>
      <c r="G732" s="32"/>
    </row>
    <row r="733" ht="15.75" customHeight="1">
      <c r="A733" s="32"/>
      <c r="C733" s="32"/>
      <c r="D733" s="32"/>
      <c r="E733" s="32"/>
      <c r="F733" s="32"/>
      <c r="G733" s="32"/>
    </row>
    <row r="734" ht="15.75" customHeight="1">
      <c r="A734" s="32"/>
      <c r="C734" s="32"/>
      <c r="D734" s="32"/>
      <c r="E734" s="32"/>
      <c r="F734" s="32"/>
      <c r="G734" s="32"/>
    </row>
    <row r="735" ht="15.75" customHeight="1">
      <c r="A735" s="32"/>
      <c r="C735" s="32"/>
      <c r="D735" s="32"/>
      <c r="E735" s="32"/>
      <c r="F735" s="32"/>
      <c r="G735" s="32"/>
    </row>
    <row r="736" ht="15.75" customHeight="1">
      <c r="A736" s="32"/>
      <c r="C736" s="32"/>
      <c r="D736" s="32"/>
      <c r="E736" s="32"/>
      <c r="F736" s="32"/>
      <c r="G736" s="32"/>
    </row>
    <row r="737" ht="15.75" customHeight="1">
      <c r="A737" s="32"/>
      <c r="C737" s="32"/>
      <c r="D737" s="32"/>
      <c r="E737" s="32"/>
      <c r="F737" s="32"/>
      <c r="G737" s="32"/>
    </row>
    <row r="738" ht="15.75" customHeight="1">
      <c r="A738" s="32"/>
      <c r="C738" s="32"/>
      <c r="D738" s="32"/>
      <c r="E738" s="32"/>
      <c r="F738" s="32"/>
      <c r="G738" s="32"/>
    </row>
    <row r="739" ht="15.75" customHeight="1">
      <c r="A739" s="32"/>
      <c r="C739" s="32"/>
      <c r="D739" s="32"/>
      <c r="E739" s="32"/>
      <c r="F739" s="32"/>
      <c r="G739" s="32"/>
    </row>
    <row r="740" ht="15.75" customHeight="1">
      <c r="A740" s="32"/>
      <c r="C740" s="32"/>
      <c r="D740" s="32"/>
      <c r="E740" s="32"/>
      <c r="F740" s="32"/>
      <c r="G740" s="32"/>
    </row>
    <row r="741" ht="15.75" customHeight="1">
      <c r="A741" s="32"/>
      <c r="C741" s="32"/>
      <c r="D741" s="32"/>
      <c r="E741" s="32"/>
      <c r="F741" s="32"/>
      <c r="G741" s="32"/>
    </row>
    <row r="742" ht="15.75" customHeight="1">
      <c r="A742" s="32"/>
      <c r="C742" s="32"/>
      <c r="D742" s="32"/>
      <c r="E742" s="32"/>
      <c r="F742" s="32"/>
      <c r="G742" s="32"/>
    </row>
    <row r="743" ht="15.75" customHeight="1">
      <c r="A743" s="32"/>
      <c r="C743" s="32"/>
      <c r="D743" s="32"/>
      <c r="E743" s="32"/>
      <c r="F743" s="32"/>
      <c r="G743" s="32"/>
    </row>
    <row r="744" ht="15.75" customHeight="1">
      <c r="A744" s="32"/>
      <c r="C744" s="32"/>
      <c r="D744" s="32"/>
      <c r="E744" s="32"/>
      <c r="F744" s="32"/>
      <c r="G744" s="32"/>
    </row>
    <row r="745" ht="15.75" customHeight="1">
      <c r="A745" s="32"/>
      <c r="C745" s="32"/>
      <c r="D745" s="32"/>
      <c r="E745" s="32"/>
      <c r="F745" s="32"/>
      <c r="G745" s="32"/>
    </row>
    <row r="746" ht="15.75" customHeight="1">
      <c r="A746" s="32"/>
      <c r="C746" s="32"/>
      <c r="D746" s="32"/>
      <c r="E746" s="32"/>
      <c r="F746" s="32"/>
      <c r="G746" s="32"/>
    </row>
    <row r="747" ht="15.75" customHeight="1">
      <c r="A747" s="32"/>
      <c r="C747" s="32"/>
      <c r="D747" s="32"/>
      <c r="E747" s="32"/>
      <c r="F747" s="32"/>
      <c r="G747" s="32"/>
    </row>
    <row r="748" ht="15.75" customHeight="1">
      <c r="A748" s="32"/>
      <c r="C748" s="32"/>
      <c r="D748" s="32"/>
      <c r="E748" s="32"/>
      <c r="F748" s="32"/>
      <c r="G748" s="32"/>
    </row>
    <row r="749" ht="15.75" customHeight="1">
      <c r="A749" s="32"/>
      <c r="C749" s="32"/>
      <c r="D749" s="32"/>
      <c r="E749" s="32"/>
      <c r="F749" s="32"/>
      <c r="G749" s="32"/>
    </row>
    <row r="750" ht="15.75" customHeight="1">
      <c r="A750" s="32"/>
      <c r="C750" s="32"/>
      <c r="D750" s="32"/>
      <c r="E750" s="32"/>
      <c r="F750" s="32"/>
      <c r="G750" s="32"/>
    </row>
    <row r="751" ht="15.75" customHeight="1">
      <c r="A751" s="32"/>
      <c r="C751" s="32"/>
      <c r="D751" s="32"/>
      <c r="E751" s="32"/>
      <c r="F751" s="32"/>
      <c r="G751" s="32"/>
    </row>
    <row r="752" ht="15.75" customHeight="1">
      <c r="A752" s="32"/>
      <c r="C752" s="32"/>
      <c r="D752" s="32"/>
      <c r="E752" s="32"/>
      <c r="F752" s="32"/>
      <c r="G752" s="32"/>
    </row>
    <row r="753" ht="15.75" customHeight="1">
      <c r="A753" s="32"/>
      <c r="C753" s="32"/>
      <c r="D753" s="32"/>
      <c r="E753" s="32"/>
      <c r="F753" s="32"/>
      <c r="G753" s="32"/>
    </row>
    <row r="754" ht="15.75" customHeight="1">
      <c r="A754" s="32"/>
      <c r="C754" s="32"/>
      <c r="D754" s="32"/>
      <c r="E754" s="32"/>
      <c r="F754" s="32"/>
      <c r="G754" s="32"/>
    </row>
    <row r="755" ht="15.75" customHeight="1">
      <c r="A755" s="32"/>
      <c r="C755" s="32"/>
      <c r="D755" s="32"/>
      <c r="E755" s="32"/>
      <c r="F755" s="32"/>
      <c r="G755" s="32"/>
    </row>
    <row r="756" ht="15.75" customHeight="1">
      <c r="A756" s="32"/>
      <c r="C756" s="32"/>
      <c r="D756" s="32"/>
      <c r="E756" s="32"/>
      <c r="F756" s="32"/>
      <c r="G756" s="32"/>
    </row>
    <row r="757" ht="15.75" customHeight="1">
      <c r="A757" s="32"/>
      <c r="C757" s="32"/>
      <c r="D757" s="32"/>
      <c r="E757" s="32"/>
      <c r="F757" s="32"/>
      <c r="G757" s="32"/>
    </row>
    <row r="758" ht="15.75" customHeight="1">
      <c r="A758" s="32"/>
      <c r="C758" s="32"/>
      <c r="D758" s="32"/>
      <c r="E758" s="32"/>
      <c r="F758" s="32"/>
      <c r="G758" s="32"/>
    </row>
    <row r="759" ht="15.75" customHeight="1">
      <c r="A759" s="32"/>
      <c r="C759" s="32"/>
      <c r="D759" s="32"/>
      <c r="E759" s="32"/>
      <c r="F759" s="32"/>
      <c r="G759" s="32"/>
    </row>
    <row r="760" ht="15.75" customHeight="1">
      <c r="A760" s="32"/>
      <c r="C760" s="32"/>
      <c r="D760" s="32"/>
      <c r="E760" s="32"/>
      <c r="F760" s="32"/>
      <c r="G760" s="32"/>
    </row>
    <row r="761" ht="15.75" customHeight="1">
      <c r="A761" s="32"/>
      <c r="C761" s="32"/>
      <c r="D761" s="32"/>
      <c r="E761" s="32"/>
      <c r="F761" s="32"/>
      <c r="G761" s="32"/>
    </row>
    <row r="762" ht="15.75" customHeight="1">
      <c r="A762" s="32"/>
      <c r="C762" s="32"/>
      <c r="D762" s="32"/>
      <c r="E762" s="32"/>
      <c r="F762" s="32"/>
      <c r="G762" s="32"/>
    </row>
    <row r="763" ht="15.75" customHeight="1">
      <c r="A763" s="32"/>
      <c r="C763" s="32"/>
      <c r="D763" s="32"/>
      <c r="E763" s="32"/>
      <c r="F763" s="32"/>
      <c r="G763" s="32"/>
    </row>
    <row r="764" ht="15.75" customHeight="1">
      <c r="A764" s="32"/>
      <c r="C764" s="32"/>
      <c r="D764" s="32"/>
      <c r="E764" s="32"/>
      <c r="F764" s="32"/>
      <c r="G764" s="32"/>
    </row>
    <row r="765" ht="15.75" customHeight="1">
      <c r="A765" s="32"/>
      <c r="C765" s="32"/>
      <c r="D765" s="32"/>
      <c r="E765" s="32"/>
      <c r="F765" s="32"/>
      <c r="G765" s="32"/>
    </row>
    <row r="766" ht="15.75" customHeight="1">
      <c r="A766" s="32"/>
      <c r="C766" s="32"/>
      <c r="D766" s="32"/>
      <c r="E766" s="32"/>
      <c r="F766" s="32"/>
      <c r="G766" s="32"/>
    </row>
    <row r="767" ht="15.75" customHeight="1">
      <c r="A767" s="32"/>
      <c r="C767" s="32"/>
      <c r="D767" s="32"/>
      <c r="E767" s="32"/>
      <c r="F767" s="32"/>
      <c r="G767" s="32"/>
    </row>
    <row r="768" ht="15.75" customHeight="1">
      <c r="A768" s="32"/>
      <c r="C768" s="32"/>
      <c r="D768" s="32"/>
      <c r="E768" s="32"/>
      <c r="F768" s="32"/>
      <c r="G768" s="32"/>
    </row>
    <row r="769" ht="15.75" customHeight="1">
      <c r="A769" s="32"/>
      <c r="C769" s="32"/>
      <c r="D769" s="32"/>
      <c r="E769" s="32"/>
      <c r="F769" s="32"/>
      <c r="G769" s="32"/>
    </row>
    <row r="770" ht="15.75" customHeight="1">
      <c r="A770" s="32"/>
      <c r="C770" s="32"/>
      <c r="D770" s="32"/>
      <c r="E770" s="32"/>
      <c r="F770" s="32"/>
      <c r="G770" s="32"/>
    </row>
    <row r="771" ht="15.75" customHeight="1">
      <c r="A771" s="32"/>
      <c r="C771" s="32"/>
      <c r="D771" s="32"/>
      <c r="E771" s="32"/>
      <c r="F771" s="32"/>
      <c r="G771" s="32"/>
    </row>
    <row r="772" ht="15.75" customHeight="1">
      <c r="A772" s="32"/>
      <c r="C772" s="32"/>
      <c r="D772" s="32"/>
      <c r="E772" s="32"/>
      <c r="F772" s="32"/>
      <c r="G772" s="32"/>
    </row>
    <row r="773" ht="15.75" customHeight="1">
      <c r="A773" s="32"/>
      <c r="C773" s="32"/>
      <c r="D773" s="32"/>
      <c r="E773" s="32"/>
      <c r="F773" s="32"/>
      <c r="G773" s="32"/>
    </row>
    <row r="774" ht="15.75" customHeight="1">
      <c r="A774" s="32"/>
      <c r="C774" s="32"/>
      <c r="D774" s="32"/>
      <c r="E774" s="32"/>
      <c r="F774" s="32"/>
      <c r="G774" s="32"/>
    </row>
    <row r="775" ht="15.75" customHeight="1">
      <c r="A775" s="32"/>
      <c r="C775" s="32"/>
      <c r="D775" s="32"/>
      <c r="E775" s="32"/>
      <c r="F775" s="32"/>
      <c r="G775" s="32"/>
    </row>
    <row r="776" ht="15.75" customHeight="1">
      <c r="A776" s="32"/>
      <c r="C776" s="32"/>
      <c r="D776" s="32"/>
      <c r="E776" s="32"/>
      <c r="F776" s="32"/>
      <c r="G776" s="32"/>
    </row>
    <row r="777" ht="15.75" customHeight="1">
      <c r="A777" s="32"/>
      <c r="C777" s="32"/>
      <c r="D777" s="32"/>
      <c r="E777" s="32"/>
      <c r="F777" s="32"/>
      <c r="G777" s="32"/>
    </row>
    <row r="778" ht="15.75" customHeight="1">
      <c r="A778" s="32"/>
      <c r="C778" s="32"/>
      <c r="D778" s="32"/>
      <c r="E778" s="32"/>
      <c r="F778" s="32"/>
      <c r="G778" s="32"/>
    </row>
    <row r="779" ht="15.75" customHeight="1">
      <c r="A779" s="32"/>
      <c r="C779" s="32"/>
      <c r="D779" s="32"/>
      <c r="E779" s="32"/>
      <c r="F779" s="32"/>
      <c r="G779" s="32"/>
    </row>
    <row r="780" ht="15.75" customHeight="1">
      <c r="A780" s="32"/>
      <c r="C780" s="32"/>
      <c r="D780" s="32"/>
      <c r="E780" s="32"/>
      <c r="F780" s="32"/>
      <c r="G780" s="32"/>
    </row>
    <row r="781" ht="15.75" customHeight="1">
      <c r="A781" s="32"/>
      <c r="C781" s="32"/>
      <c r="D781" s="32"/>
      <c r="E781" s="32"/>
      <c r="F781" s="32"/>
      <c r="G781" s="32"/>
    </row>
    <row r="782" ht="15.75" customHeight="1">
      <c r="A782" s="32"/>
      <c r="C782" s="32"/>
      <c r="D782" s="32"/>
      <c r="E782" s="32"/>
      <c r="F782" s="32"/>
      <c r="G782" s="32"/>
    </row>
    <row r="783" ht="15.75" customHeight="1">
      <c r="A783" s="32"/>
      <c r="C783" s="32"/>
      <c r="D783" s="32"/>
      <c r="E783" s="32"/>
      <c r="F783" s="32"/>
      <c r="G783" s="32"/>
    </row>
    <row r="784" ht="15.75" customHeight="1">
      <c r="A784" s="32"/>
      <c r="C784" s="32"/>
      <c r="D784" s="32"/>
      <c r="E784" s="32"/>
      <c r="F784" s="32"/>
      <c r="G784" s="32"/>
    </row>
    <row r="785" ht="15.75" customHeight="1">
      <c r="A785" s="32"/>
      <c r="C785" s="32"/>
      <c r="D785" s="32"/>
      <c r="E785" s="32"/>
      <c r="F785" s="32"/>
      <c r="G785" s="32"/>
    </row>
    <row r="786" ht="15.75" customHeight="1">
      <c r="A786" s="32"/>
      <c r="C786" s="32"/>
      <c r="D786" s="32"/>
      <c r="E786" s="32"/>
      <c r="F786" s="32"/>
      <c r="G786" s="32"/>
    </row>
    <row r="787" ht="15.75" customHeight="1">
      <c r="A787" s="32"/>
      <c r="C787" s="32"/>
      <c r="D787" s="32"/>
      <c r="E787" s="32"/>
      <c r="F787" s="32"/>
      <c r="G787" s="32"/>
    </row>
    <row r="788" ht="15.75" customHeight="1">
      <c r="A788" s="32"/>
      <c r="C788" s="32"/>
      <c r="D788" s="32"/>
      <c r="E788" s="32"/>
      <c r="F788" s="32"/>
      <c r="G788" s="32"/>
    </row>
    <row r="789" ht="15.75" customHeight="1">
      <c r="A789" s="32"/>
      <c r="C789" s="32"/>
      <c r="D789" s="32"/>
      <c r="E789" s="32"/>
      <c r="F789" s="32"/>
      <c r="G789" s="32"/>
    </row>
    <row r="790" ht="15.75" customHeight="1">
      <c r="A790" s="32"/>
      <c r="C790" s="32"/>
      <c r="D790" s="32"/>
      <c r="E790" s="32"/>
      <c r="F790" s="32"/>
      <c r="G790" s="32"/>
    </row>
    <row r="791" ht="15.75" customHeight="1">
      <c r="A791" s="32"/>
      <c r="C791" s="32"/>
      <c r="D791" s="32"/>
      <c r="E791" s="32"/>
      <c r="F791" s="32"/>
      <c r="G791" s="32"/>
    </row>
    <row r="792" ht="15.75" customHeight="1">
      <c r="A792" s="32"/>
      <c r="C792" s="32"/>
      <c r="D792" s="32"/>
      <c r="E792" s="32"/>
      <c r="F792" s="32"/>
      <c r="G792" s="32"/>
    </row>
    <row r="793" ht="15.75" customHeight="1">
      <c r="A793" s="32"/>
      <c r="C793" s="32"/>
      <c r="D793" s="32"/>
      <c r="E793" s="32"/>
      <c r="F793" s="32"/>
      <c r="G793" s="32"/>
    </row>
    <row r="794" ht="15.75" customHeight="1">
      <c r="A794" s="32"/>
      <c r="C794" s="32"/>
      <c r="D794" s="32"/>
      <c r="E794" s="32"/>
      <c r="F794" s="32"/>
      <c r="G794" s="32"/>
    </row>
    <row r="795" ht="15.75" customHeight="1">
      <c r="A795" s="32"/>
      <c r="C795" s="32"/>
      <c r="D795" s="32"/>
      <c r="E795" s="32"/>
      <c r="F795" s="32"/>
      <c r="G795" s="32"/>
    </row>
    <row r="796" ht="15.75" customHeight="1">
      <c r="A796" s="32"/>
      <c r="C796" s="32"/>
      <c r="D796" s="32"/>
      <c r="E796" s="32"/>
      <c r="F796" s="32"/>
      <c r="G796" s="32"/>
    </row>
    <row r="797" ht="15.75" customHeight="1">
      <c r="A797" s="32"/>
      <c r="C797" s="32"/>
      <c r="D797" s="32"/>
      <c r="E797" s="32"/>
      <c r="F797" s="32"/>
      <c r="G797" s="32"/>
    </row>
    <row r="798" ht="15.75" customHeight="1">
      <c r="A798" s="32"/>
      <c r="C798" s="32"/>
      <c r="D798" s="32"/>
      <c r="E798" s="32"/>
      <c r="F798" s="32"/>
      <c r="G798" s="32"/>
    </row>
    <row r="799" ht="15.75" customHeight="1">
      <c r="A799" s="32"/>
      <c r="C799" s="32"/>
      <c r="D799" s="32"/>
      <c r="E799" s="32"/>
      <c r="F799" s="32"/>
      <c r="G799" s="32"/>
    </row>
    <row r="800" ht="15.75" customHeight="1">
      <c r="A800" s="32"/>
      <c r="C800" s="32"/>
      <c r="D800" s="32"/>
      <c r="E800" s="32"/>
      <c r="F800" s="32"/>
      <c r="G800" s="32"/>
    </row>
    <row r="801" ht="15.75" customHeight="1">
      <c r="A801" s="32"/>
      <c r="C801" s="32"/>
      <c r="D801" s="32"/>
      <c r="E801" s="32"/>
      <c r="F801" s="32"/>
      <c r="G801" s="32"/>
    </row>
    <row r="802" ht="15.75" customHeight="1">
      <c r="A802" s="32"/>
      <c r="C802" s="32"/>
      <c r="D802" s="32"/>
      <c r="E802" s="32"/>
      <c r="F802" s="32"/>
      <c r="G802" s="32"/>
    </row>
    <row r="803" ht="15.75" customHeight="1">
      <c r="A803" s="32"/>
      <c r="C803" s="32"/>
      <c r="D803" s="32"/>
      <c r="E803" s="32"/>
      <c r="F803" s="32"/>
      <c r="G803" s="32"/>
    </row>
    <row r="804" ht="15.75" customHeight="1">
      <c r="A804" s="32"/>
      <c r="C804" s="32"/>
      <c r="D804" s="32"/>
      <c r="E804" s="32"/>
      <c r="F804" s="32"/>
      <c r="G804" s="32"/>
    </row>
    <row r="805" ht="15.75" customHeight="1">
      <c r="A805" s="32"/>
      <c r="C805" s="32"/>
      <c r="D805" s="32"/>
      <c r="E805" s="32"/>
      <c r="F805" s="32"/>
      <c r="G805" s="32"/>
    </row>
    <row r="806" ht="15.75" customHeight="1">
      <c r="A806" s="32"/>
      <c r="C806" s="32"/>
      <c r="D806" s="32"/>
      <c r="E806" s="32"/>
      <c r="F806" s="32"/>
      <c r="G806" s="32"/>
    </row>
    <row r="807" ht="15.75" customHeight="1">
      <c r="A807" s="32"/>
      <c r="C807" s="32"/>
      <c r="D807" s="32"/>
      <c r="E807" s="32"/>
      <c r="F807" s="32"/>
      <c r="G807" s="32"/>
    </row>
    <row r="808" ht="15.75" customHeight="1">
      <c r="A808" s="32"/>
      <c r="C808" s="32"/>
      <c r="D808" s="32"/>
      <c r="E808" s="32"/>
      <c r="F808" s="32"/>
      <c r="G808" s="32"/>
    </row>
    <row r="809" ht="15.75" customHeight="1">
      <c r="A809" s="32"/>
      <c r="C809" s="32"/>
      <c r="D809" s="32"/>
      <c r="E809" s="32"/>
      <c r="F809" s="32"/>
      <c r="G809" s="32"/>
    </row>
    <row r="810" ht="15.75" customHeight="1">
      <c r="A810" s="32"/>
      <c r="C810" s="32"/>
      <c r="D810" s="32"/>
      <c r="E810" s="32"/>
      <c r="F810" s="32"/>
      <c r="G810" s="32"/>
    </row>
    <row r="811" ht="15.75" customHeight="1">
      <c r="A811" s="32"/>
      <c r="C811" s="32"/>
      <c r="D811" s="32"/>
      <c r="E811" s="32"/>
      <c r="F811" s="32"/>
      <c r="G811" s="32"/>
    </row>
    <row r="812" ht="15.75" customHeight="1">
      <c r="A812" s="32"/>
      <c r="C812" s="32"/>
      <c r="D812" s="32"/>
      <c r="E812" s="32"/>
      <c r="F812" s="32"/>
      <c r="G812" s="32"/>
    </row>
    <row r="813" ht="15.75" customHeight="1">
      <c r="A813" s="32"/>
      <c r="C813" s="32"/>
      <c r="D813" s="32"/>
      <c r="E813" s="32"/>
      <c r="F813" s="32"/>
      <c r="G813" s="32"/>
    </row>
    <row r="814" ht="15.75" customHeight="1">
      <c r="A814" s="32"/>
      <c r="C814" s="32"/>
      <c r="D814" s="32"/>
      <c r="E814" s="32"/>
      <c r="F814" s="32"/>
      <c r="G814" s="32"/>
    </row>
    <row r="815" ht="15.75" customHeight="1">
      <c r="A815" s="32"/>
      <c r="C815" s="32"/>
      <c r="D815" s="32"/>
      <c r="E815" s="32"/>
      <c r="F815" s="32"/>
      <c r="G815" s="32"/>
    </row>
    <row r="816" ht="15.75" customHeight="1">
      <c r="A816" s="32"/>
      <c r="C816" s="32"/>
      <c r="D816" s="32"/>
      <c r="E816" s="32"/>
      <c r="F816" s="32"/>
      <c r="G816" s="32"/>
    </row>
    <row r="817" ht="15.75" customHeight="1">
      <c r="A817" s="32"/>
      <c r="C817" s="32"/>
      <c r="D817" s="32"/>
      <c r="E817" s="32"/>
      <c r="F817" s="32"/>
      <c r="G817" s="32"/>
    </row>
    <row r="818" ht="15.75" customHeight="1">
      <c r="A818" s="32"/>
      <c r="C818" s="32"/>
      <c r="D818" s="32"/>
      <c r="E818" s="32"/>
      <c r="F818" s="32"/>
      <c r="G818" s="32"/>
    </row>
    <row r="819" ht="15.75" customHeight="1">
      <c r="A819" s="32"/>
      <c r="C819" s="32"/>
      <c r="D819" s="32"/>
      <c r="E819" s="32"/>
      <c r="F819" s="32"/>
      <c r="G819" s="32"/>
    </row>
    <row r="820" ht="15.75" customHeight="1">
      <c r="A820" s="32"/>
      <c r="C820" s="32"/>
      <c r="D820" s="32"/>
      <c r="E820" s="32"/>
      <c r="F820" s="32"/>
      <c r="G820" s="32"/>
    </row>
    <row r="821" ht="15.75" customHeight="1">
      <c r="A821" s="32"/>
      <c r="C821" s="32"/>
      <c r="D821" s="32"/>
      <c r="E821" s="32"/>
      <c r="F821" s="32"/>
      <c r="G821" s="32"/>
    </row>
    <row r="822" ht="15.75" customHeight="1">
      <c r="A822" s="32"/>
      <c r="C822" s="32"/>
      <c r="D822" s="32"/>
      <c r="E822" s="32"/>
      <c r="F822" s="32"/>
      <c r="G822" s="32"/>
    </row>
    <row r="823" ht="15.75" customHeight="1">
      <c r="A823" s="32"/>
      <c r="C823" s="32"/>
      <c r="D823" s="32"/>
      <c r="E823" s="32"/>
      <c r="F823" s="32"/>
      <c r="G823" s="32"/>
    </row>
    <row r="824" ht="15.75" customHeight="1">
      <c r="A824" s="32"/>
      <c r="C824" s="32"/>
      <c r="D824" s="32"/>
      <c r="E824" s="32"/>
      <c r="F824" s="32"/>
      <c r="G824" s="32"/>
    </row>
    <row r="825" ht="15.75" customHeight="1">
      <c r="A825" s="32"/>
      <c r="C825" s="32"/>
      <c r="D825" s="32"/>
      <c r="E825" s="32"/>
      <c r="F825" s="32"/>
      <c r="G825" s="32"/>
    </row>
    <row r="826" ht="15.75" customHeight="1">
      <c r="A826" s="32"/>
      <c r="C826" s="32"/>
      <c r="D826" s="32"/>
      <c r="E826" s="32"/>
      <c r="F826" s="32"/>
      <c r="G826" s="32"/>
    </row>
    <row r="827" ht="15.75" customHeight="1">
      <c r="A827" s="32"/>
      <c r="C827" s="32"/>
      <c r="D827" s="32"/>
      <c r="E827" s="32"/>
      <c r="F827" s="32"/>
      <c r="G827" s="32"/>
    </row>
    <row r="828" ht="15.75" customHeight="1">
      <c r="A828" s="32"/>
      <c r="C828" s="32"/>
      <c r="D828" s="32"/>
      <c r="E828" s="32"/>
      <c r="F828" s="32"/>
      <c r="G828" s="32"/>
    </row>
    <row r="829" ht="15.75" customHeight="1">
      <c r="A829" s="32"/>
      <c r="C829" s="32"/>
      <c r="D829" s="32"/>
      <c r="E829" s="32"/>
      <c r="F829" s="32"/>
      <c r="G829" s="32"/>
    </row>
    <row r="830" ht="15.75" customHeight="1">
      <c r="A830" s="32"/>
      <c r="C830" s="32"/>
      <c r="D830" s="32"/>
      <c r="E830" s="32"/>
      <c r="F830" s="32"/>
      <c r="G830" s="32"/>
    </row>
    <row r="831" ht="15.75" customHeight="1">
      <c r="A831" s="32"/>
      <c r="C831" s="32"/>
      <c r="D831" s="32"/>
      <c r="E831" s="32"/>
      <c r="F831" s="32"/>
      <c r="G831" s="32"/>
    </row>
    <row r="832" ht="15.75" customHeight="1">
      <c r="A832" s="32"/>
      <c r="C832" s="32"/>
      <c r="D832" s="32"/>
      <c r="E832" s="32"/>
      <c r="F832" s="32"/>
      <c r="G832" s="32"/>
    </row>
    <row r="833" ht="15.75" customHeight="1">
      <c r="A833" s="32"/>
      <c r="C833" s="32"/>
      <c r="D833" s="32"/>
      <c r="E833" s="32"/>
      <c r="F833" s="32"/>
      <c r="G833" s="32"/>
    </row>
    <row r="834" ht="15.75" customHeight="1">
      <c r="A834" s="32"/>
      <c r="C834" s="32"/>
      <c r="D834" s="32"/>
      <c r="E834" s="32"/>
      <c r="F834" s="32"/>
      <c r="G834" s="32"/>
    </row>
    <row r="835" ht="15.75" customHeight="1">
      <c r="A835" s="32"/>
      <c r="C835" s="32"/>
      <c r="D835" s="32"/>
      <c r="E835" s="32"/>
      <c r="F835" s="32"/>
      <c r="G835" s="32"/>
    </row>
    <row r="836" ht="15.75" customHeight="1">
      <c r="A836" s="32"/>
      <c r="C836" s="32"/>
      <c r="D836" s="32"/>
      <c r="E836" s="32"/>
      <c r="F836" s="32"/>
      <c r="G836" s="32"/>
    </row>
    <row r="837" ht="15.75" customHeight="1">
      <c r="A837" s="32"/>
      <c r="C837" s="32"/>
      <c r="D837" s="32"/>
      <c r="E837" s="32"/>
      <c r="F837" s="32"/>
      <c r="G837" s="32"/>
    </row>
    <row r="838" ht="15.75" customHeight="1">
      <c r="A838" s="32"/>
      <c r="C838" s="32"/>
      <c r="D838" s="32"/>
      <c r="E838" s="32"/>
      <c r="F838" s="32"/>
      <c r="G838" s="32"/>
    </row>
    <row r="839" ht="15.75" customHeight="1">
      <c r="A839" s="32"/>
      <c r="C839" s="32"/>
      <c r="D839" s="32"/>
      <c r="E839" s="32"/>
      <c r="F839" s="32"/>
      <c r="G839" s="32"/>
    </row>
    <row r="840" ht="15.75" customHeight="1">
      <c r="A840" s="32"/>
      <c r="C840" s="32"/>
      <c r="D840" s="32"/>
      <c r="E840" s="32"/>
      <c r="F840" s="32"/>
      <c r="G840" s="32"/>
    </row>
    <row r="841" ht="15.75" customHeight="1">
      <c r="A841" s="32"/>
      <c r="C841" s="32"/>
      <c r="D841" s="32"/>
      <c r="E841" s="32"/>
      <c r="F841" s="32"/>
      <c r="G841" s="32"/>
    </row>
    <row r="842" ht="15.75" customHeight="1">
      <c r="A842" s="32"/>
      <c r="C842" s="32"/>
      <c r="D842" s="32"/>
      <c r="E842" s="32"/>
      <c r="F842" s="32"/>
      <c r="G842" s="32"/>
    </row>
    <row r="843" ht="15.75" customHeight="1">
      <c r="A843" s="32"/>
      <c r="C843" s="32"/>
      <c r="D843" s="32"/>
      <c r="E843" s="32"/>
      <c r="F843" s="32"/>
      <c r="G843" s="32"/>
    </row>
    <row r="844" ht="15.75" customHeight="1">
      <c r="A844" s="32"/>
      <c r="C844" s="32"/>
      <c r="D844" s="32"/>
      <c r="E844" s="32"/>
      <c r="F844" s="32"/>
      <c r="G844" s="32"/>
    </row>
    <row r="845" ht="15.75" customHeight="1">
      <c r="A845" s="32"/>
      <c r="C845" s="32"/>
      <c r="D845" s="32"/>
      <c r="E845" s="32"/>
      <c r="F845" s="32"/>
      <c r="G845" s="32"/>
    </row>
    <row r="846" ht="15.75" customHeight="1">
      <c r="A846" s="32"/>
      <c r="C846" s="32"/>
      <c r="D846" s="32"/>
      <c r="E846" s="32"/>
      <c r="F846" s="32"/>
      <c r="G846" s="32"/>
    </row>
    <row r="847" ht="15.75" customHeight="1">
      <c r="A847" s="32"/>
      <c r="C847" s="32"/>
      <c r="D847" s="32"/>
      <c r="E847" s="32"/>
      <c r="F847" s="32"/>
      <c r="G847" s="32"/>
    </row>
    <row r="848" ht="15.75" customHeight="1">
      <c r="A848" s="32"/>
      <c r="C848" s="32"/>
      <c r="D848" s="32"/>
      <c r="E848" s="32"/>
      <c r="F848" s="32"/>
      <c r="G848" s="32"/>
    </row>
    <row r="849" ht="15.75" customHeight="1">
      <c r="A849" s="32"/>
      <c r="C849" s="32"/>
      <c r="D849" s="32"/>
      <c r="E849" s="32"/>
      <c r="F849" s="32"/>
      <c r="G849" s="32"/>
    </row>
    <row r="850" ht="15.75" customHeight="1">
      <c r="A850" s="32"/>
      <c r="C850" s="32"/>
      <c r="D850" s="32"/>
      <c r="E850" s="32"/>
      <c r="F850" s="32"/>
      <c r="G850" s="32"/>
    </row>
    <row r="851" ht="15.75" customHeight="1">
      <c r="A851" s="32"/>
      <c r="C851" s="32"/>
      <c r="D851" s="32"/>
      <c r="E851" s="32"/>
      <c r="F851" s="32"/>
      <c r="G851" s="32"/>
    </row>
    <row r="852" ht="15.75" customHeight="1">
      <c r="A852" s="32"/>
      <c r="C852" s="32"/>
      <c r="D852" s="32"/>
      <c r="E852" s="32"/>
      <c r="F852" s="32"/>
      <c r="G852" s="32"/>
    </row>
    <row r="853" ht="15.75" customHeight="1">
      <c r="A853" s="32"/>
      <c r="C853" s="32"/>
      <c r="D853" s="32"/>
      <c r="E853" s="32"/>
      <c r="F853" s="32"/>
      <c r="G853" s="32"/>
    </row>
    <row r="854" ht="15.75" customHeight="1">
      <c r="A854" s="32"/>
      <c r="C854" s="32"/>
      <c r="D854" s="32"/>
      <c r="E854" s="32"/>
      <c r="F854" s="32"/>
      <c r="G854" s="32"/>
    </row>
    <row r="855" ht="15.75" customHeight="1">
      <c r="A855" s="32"/>
      <c r="C855" s="32"/>
      <c r="D855" s="32"/>
      <c r="E855" s="32"/>
      <c r="F855" s="32"/>
      <c r="G855" s="32"/>
    </row>
    <row r="856" ht="15.75" customHeight="1">
      <c r="A856" s="32"/>
      <c r="C856" s="32"/>
      <c r="D856" s="32"/>
      <c r="E856" s="32"/>
      <c r="F856" s="32"/>
      <c r="G856" s="32"/>
    </row>
    <row r="857" ht="15.75" customHeight="1">
      <c r="A857" s="32"/>
      <c r="C857" s="32"/>
      <c r="D857" s="32"/>
      <c r="E857" s="32"/>
      <c r="F857" s="32"/>
      <c r="G857" s="32"/>
    </row>
    <row r="858" ht="15.75" customHeight="1">
      <c r="A858" s="32"/>
      <c r="C858" s="32"/>
      <c r="D858" s="32"/>
      <c r="E858" s="32"/>
      <c r="F858" s="32"/>
      <c r="G858" s="32"/>
    </row>
    <row r="859" ht="15.75" customHeight="1">
      <c r="A859" s="32"/>
      <c r="C859" s="32"/>
      <c r="D859" s="32"/>
      <c r="E859" s="32"/>
      <c r="F859" s="32"/>
      <c r="G859" s="32"/>
    </row>
    <row r="860" ht="15.75" customHeight="1">
      <c r="A860" s="32"/>
      <c r="C860" s="32"/>
      <c r="D860" s="32"/>
      <c r="E860" s="32"/>
      <c r="F860" s="32"/>
      <c r="G860" s="32"/>
    </row>
    <row r="861" ht="15.75" customHeight="1">
      <c r="A861" s="32"/>
      <c r="C861" s="32"/>
      <c r="D861" s="32"/>
      <c r="E861" s="32"/>
      <c r="F861" s="32"/>
      <c r="G861" s="32"/>
    </row>
    <row r="862" ht="15.75" customHeight="1">
      <c r="A862" s="32"/>
      <c r="C862" s="32"/>
      <c r="D862" s="32"/>
      <c r="E862" s="32"/>
      <c r="F862" s="32"/>
      <c r="G862" s="32"/>
    </row>
    <row r="863" ht="15.75" customHeight="1">
      <c r="A863" s="32"/>
      <c r="C863" s="32"/>
      <c r="D863" s="32"/>
      <c r="E863" s="32"/>
      <c r="F863" s="32"/>
      <c r="G863" s="32"/>
    </row>
    <row r="864" ht="15.75" customHeight="1">
      <c r="A864" s="32"/>
      <c r="C864" s="32"/>
      <c r="D864" s="32"/>
      <c r="E864" s="32"/>
      <c r="F864" s="32"/>
      <c r="G864" s="32"/>
    </row>
    <row r="865" ht="15.75" customHeight="1">
      <c r="A865" s="32"/>
      <c r="C865" s="32"/>
      <c r="D865" s="32"/>
      <c r="E865" s="32"/>
      <c r="F865" s="32"/>
      <c r="G865" s="32"/>
    </row>
    <row r="866" ht="15.75" customHeight="1">
      <c r="A866" s="32"/>
      <c r="C866" s="32"/>
      <c r="D866" s="32"/>
      <c r="E866" s="32"/>
      <c r="F866" s="32"/>
      <c r="G866" s="32"/>
    </row>
    <row r="867" ht="15.75" customHeight="1">
      <c r="A867" s="32"/>
      <c r="C867" s="32"/>
      <c r="D867" s="32"/>
      <c r="E867" s="32"/>
      <c r="F867" s="32"/>
      <c r="G867" s="32"/>
    </row>
    <row r="868" ht="15.75" customHeight="1">
      <c r="A868" s="32"/>
      <c r="C868" s="32"/>
      <c r="D868" s="32"/>
      <c r="E868" s="32"/>
      <c r="F868" s="32"/>
      <c r="G868" s="32"/>
    </row>
    <row r="869" ht="15.75" customHeight="1">
      <c r="A869" s="32"/>
      <c r="C869" s="32"/>
      <c r="D869" s="32"/>
      <c r="E869" s="32"/>
      <c r="F869" s="32"/>
      <c r="G869" s="32"/>
    </row>
    <row r="870" ht="15.75" customHeight="1">
      <c r="A870" s="32"/>
      <c r="C870" s="32"/>
      <c r="D870" s="32"/>
      <c r="E870" s="32"/>
      <c r="F870" s="32"/>
      <c r="G870" s="32"/>
    </row>
    <row r="871" ht="15.75" customHeight="1">
      <c r="A871" s="32"/>
      <c r="C871" s="32"/>
      <c r="D871" s="32"/>
      <c r="E871" s="32"/>
      <c r="F871" s="32"/>
      <c r="G871" s="32"/>
    </row>
    <row r="872" ht="15.75" customHeight="1">
      <c r="A872" s="32"/>
      <c r="C872" s="32"/>
      <c r="D872" s="32"/>
      <c r="E872" s="32"/>
      <c r="F872" s="32"/>
      <c r="G872" s="32"/>
    </row>
    <row r="873" ht="15.75" customHeight="1">
      <c r="A873" s="32"/>
      <c r="C873" s="32"/>
      <c r="D873" s="32"/>
      <c r="E873" s="32"/>
      <c r="F873" s="32"/>
      <c r="G873" s="32"/>
    </row>
    <row r="874" ht="15.75" customHeight="1">
      <c r="A874" s="32"/>
      <c r="C874" s="32"/>
      <c r="D874" s="32"/>
      <c r="E874" s="32"/>
      <c r="F874" s="32"/>
      <c r="G874" s="32"/>
    </row>
    <row r="875" ht="15.75" customHeight="1">
      <c r="A875" s="32"/>
      <c r="C875" s="32"/>
      <c r="D875" s="32"/>
      <c r="E875" s="32"/>
      <c r="F875" s="32"/>
      <c r="G875" s="32"/>
    </row>
    <row r="876" ht="15.75" customHeight="1">
      <c r="A876" s="32"/>
      <c r="C876" s="32"/>
      <c r="D876" s="32"/>
      <c r="E876" s="32"/>
      <c r="F876" s="32"/>
      <c r="G876" s="32"/>
    </row>
    <row r="877" ht="15.75" customHeight="1">
      <c r="A877" s="32"/>
      <c r="C877" s="32"/>
      <c r="D877" s="32"/>
      <c r="E877" s="32"/>
      <c r="F877" s="32"/>
      <c r="G877" s="32"/>
    </row>
    <row r="878" ht="15.75" customHeight="1">
      <c r="A878" s="32"/>
      <c r="C878" s="32"/>
      <c r="D878" s="32"/>
      <c r="E878" s="32"/>
      <c r="F878" s="32"/>
      <c r="G878" s="32"/>
    </row>
    <row r="879" ht="15.75" customHeight="1">
      <c r="A879" s="32"/>
      <c r="C879" s="32"/>
      <c r="D879" s="32"/>
      <c r="E879" s="32"/>
      <c r="F879" s="32"/>
      <c r="G879" s="32"/>
    </row>
    <row r="880" ht="15.75" customHeight="1">
      <c r="A880" s="32"/>
      <c r="C880" s="32"/>
      <c r="D880" s="32"/>
      <c r="E880" s="32"/>
      <c r="F880" s="32"/>
      <c r="G880" s="32"/>
    </row>
    <row r="881" ht="15.75" customHeight="1">
      <c r="A881" s="32"/>
      <c r="C881" s="32"/>
      <c r="D881" s="32"/>
      <c r="E881" s="32"/>
      <c r="F881" s="32"/>
      <c r="G881" s="32"/>
    </row>
    <row r="882" ht="15.75" customHeight="1">
      <c r="A882" s="32"/>
      <c r="C882" s="32"/>
      <c r="D882" s="32"/>
      <c r="E882" s="32"/>
      <c r="F882" s="32"/>
      <c r="G882" s="32"/>
    </row>
    <row r="883" ht="15.75" customHeight="1">
      <c r="A883" s="32"/>
      <c r="C883" s="32"/>
      <c r="D883" s="32"/>
      <c r="E883" s="32"/>
      <c r="F883" s="32"/>
      <c r="G883" s="32"/>
    </row>
    <row r="884" ht="15.75" customHeight="1">
      <c r="A884" s="32"/>
      <c r="C884" s="32"/>
      <c r="D884" s="32"/>
      <c r="E884" s="32"/>
      <c r="F884" s="32"/>
      <c r="G884" s="32"/>
    </row>
    <row r="885" ht="15.75" customHeight="1">
      <c r="A885" s="32"/>
      <c r="C885" s="32"/>
      <c r="D885" s="32"/>
      <c r="E885" s="32"/>
      <c r="F885" s="32"/>
      <c r="G885" s="32"/>
    </row>
    <row r="886" ht="15.75" customHeight="1">
      <c r="A886" s="32"/>
      <c r="C886" s="32"/>
      <c r="D886" s="32"/>
      <c r="E886" s="32"/>
      <c r="F886" s="32"/>
      <c r="G886" s="32"/>
    </row>
    <row r="887" ht="15.75" customHeight="1">
      <c r="A887" s="32"/>
      <c r="C887" s="32"/>
      <c r="D887" s="32"/>
      <c r="E887" s="32"/>
      <c r="F887" s="32"/>
      <c r="G887" s="32"/>
    </row>
    <row r="888" ht="15.75" customHeight="1">
      <c r="A888" s="32"/>
      <c r="C888" s="32"/>
      <c r="D888" s="32"/>
      <c r="E888" s="32"/>
      <c r="F888" s="32"/>
      <c r="G888" s="32"/>
    </row>
    <row r="889" ht="15.75" customHeight="1">
      <c r="A889" s="32"/>
      <c r="C889" s="32"/>
      <c r="D889" s="32"/>
      <c r="E889" s="32"/>
      <c r="F889" s="32"/>
      <c r="G889" s="32"/>
    </row>
    <row r="890" ht="15.75" customHeight="1">
      <c r="A890" s="32"/>
      <c r="C890" s="32"/>
      <c r="D890" s="32"/>
      <c r="E890" s="32"/>
      <c r="F890" s="32"/>
      <c r="G890" s="32"/>
    </row>
    <row r="891" ht="15.75" customHeight="1">
      <c r="A891" s="32"/>
      <c r="C891" s="32"/>
      <c r="D891" s="32"/>
      <c r="E891" s="32"/>
      <c r="F891" s="32"/>
      <c r="G891" s="32"/>
    </row>
    <row r="892" ht="15.75" customHeight="1">
      <c r="A892" s="32"/>
      <c r="C892" s="32"/>
      <c r="D892" s="32"/>
      <c r="E892" s="32"/>
      <c r="F892" s="32"/>
      <c r="G892" s="32"/>
    </row>
    <row r="893" ht="15.75" customHeight="1">
      <c r="A893" s="32"/>
      <c r="C893" s="32"/>
      <c r="D893" s="32"/>
      <c r="E893" s="32"/>
      <c r="F893" s="32"/>
      <c r="G893" s="32"/>
    </row>
    <row r="894" ht="15.75" customHeight="1">
      <c r="A894" s="32"/>
      <c r="C894" s="32"/>
      <c r="D894" s="32"/>
      <c r="E894" s="32"/>
      <c r="F894" s="32"/>
      <c r="G894" s="32"/>
    </row>
    <row r="895" ht="15.75" customHeight="1">
      <c r="A895" s="32"/>
      <c r="C895" s="32"/>
      <c r="D895" s="32"/>
      <c r="E895" s="32"/>
      <c r="F895" s="32"/>
      <c r="G895" s="32"/>
    </row>
    <row r="896" ht="15.75" customHeight="1">
      <c r="A896" s="32"/>
      <c r="C896" s="32"/>
      <c r="D896" s="32"/>
      <c r="E896" s="32"/>
      <c r="F896" s="32"/>
      <c r="G896" s="32"/>
    </row>
    <row r="897" ht="15.75" customHeight="1">
      <c r="A897" s="32"/>
      <c r="C897" s="32"/>
      <c r="D897" s="32"/>
      <c r="E897" s="32"/>
      <c r="F897" s="32"/>
      <c r="G897" s="32"/>
    </row>
    <row r="898" ht="15.75" customHeight="1">
      <c r="A898" s="32"/>
      <c r="C898" s="32"/>
      <c r="D898" s="32"/>
      <c r="E898" s="32"/>
      <c r="F898" s="32"/>
      <c r="G898" s="32"/>
    </row>
    <row r="899" ht="15.75" customHeight="1">
      <c r="A899" s="32"/>
      <c r="C899" s="32"/>
      <c r="D899" s="32"/>
      <c r="E899" s="32"/>
      <c r="F899" s="32"/>
      <c r="G899" s="32"/>
    </row>
    <row r="900" ht="15.75" customHeight="1">
      <c r="A900" s="32"/>
      <c r="C900" s="32"/>
      <c r="D900" s="32"/>
      <c r="E900" s="32"/>
      <c r="F900" s="32"/>
      <c r="G900" s="32"/>
    </row>
    <row r="901" ht="15.75" customHeight="1">
      <c r="A901" s="32"/>
      <c r="C901" s="32"/>
      <c r="D901" s="32"/>
      <c r="E901" s="32"/>
      <c r="F901" s="32"/>
      <c r="G901" s="32"/>
    </row>
    <row r="902" ht="15.75" customHeight="1">
      <c r="A902" s="32"/>
      <c r="C902" s="32"/>
      <c r="D902" s="32"/>
      <c r="E902" s="32"/>
      <c r="F902" s="32"/>
      <c r="G902" s="32"/>
    </row>
    <row r="903" ht="15.75" customHeight="1">
      <c r="A903" s="32"/>
      <c r="C903" s="32"/>
      <c r="D903" s="32"/>
      <c r="E903" s="32"/>
      <c r="F903" s="32"/>
      <c r="G903" s="32"/>
    </row>
    <row r="904" ht="15.75" customHeight="1">
      <c r="A904" s="32"/>
      <c r="C904" s="32"/>
      <c r="D904" s="32"/>
      <c r="E904" s="32"/>
      <c r="F904" s="32"/>
      <c r="G904" s="32"/>
    </row>
    <row r="905" ht="15.75" customHeight="1">
      <c r="A905" s="32"/>
      <c r="C905" s="32"/>
      <c r="D905" s="32"/>
      <c r="E905" s="32"/>
      <c r="F905" s="32"/>
      <c r="G905" s="32"/>
    </row>
    <row r="906" ht="15.75" customHeight="1">
      <c r="A906" s="32"/>
      <c r="C906" s="32"/>
      <c r="D906" s="32"/>
      <c r="E906" s="32"/>
      <c r="F906" s="32"/>
      <c r="G906" s="32"/>
    </row>
    <row r="907" ht="15.75" customHeight="1">
      <c r="A907" s="32"/>
      <c r="C907" s="32"/>
      <c r="D907" s="32"/>
      <c r="E907" s="32"/>
      <c r="F907" s="32"/>
      <c r="G907" s="32"/>
    </row>
    <row r="908" ht="15.75" customHeight="1">
      <c r="A908" s="32"/>
      <c r="C908" s="32"/>
      <c r="D908" s="32"/>
      <c r="E908" s="32"/>
      <c r="F908" s="32"/>
      <c r="G908" s="32"/>
    </row>
    <row r="909" ht="15.75" customHeight="1">
      <c r="A909" s="32"/>
      <c r="C909" s="32"/>
      <c r="D909" s="32"/>
      <c r="E909" s="32"/>
      <c r="F909" s="32"/>
      <c r="G909" s="32"/>
    </row>
    <row r="910" ht="15.75" customHeight="1">
      <c r="A910" s="32"/>
      <c r="C910" s="32"/>
      <c r="D910" s="32"/>
      <c r="E910" s="32"/>
      <c r="F910" s="32"/>
      <c r="G910" s="32"/>
    </row>
    <row r="911" ht="15.75" customHeight="1">
      <c r="A911" s="32"/>
      <c r="C911" s="32"/>
      <c r="D911" s="32"/>
      <c r="E911" s="32"/>
      <c r="F911" s="32"/>
      <c r="G911" s="32"/>
    </row>
    <row r="912" ht="15.75" customHeight="1">
      <c r="A912" s="32"/>
      <c r="C912" s="32"/>
      <c r="D912" s="32"/>
      <c r="E912" s="32"/>
      <c r="F912" s="32"/>
      <c r="G912" s="32"/>
    </row>
    <row r="913" ht="15.75" customHeight="1">
      <c r="A913" s="32"/>
      <c r="C913" s="32"/>
      <c r="D913" s="32"/>
      <c r="E913" s="32"/>
      <c r="F913" s="32"/>
      <c r="G913" s="32"/>
    </row>
    <row r="914" ht="15.75" customHeight="1">
      <c r="A914" s="32"/>
      <c r="C914" s="32"/>
      <c r="D914" s="32"/>
      <c r="E914" s="32"/>
      <c r="F914" s="32"/>
      <c r="G914" s="32"/>
    </row>
    <row r="915" ht="15.75" customHeight="1">
      <c r="A915" s="32"/>
      <c r="C915" s="32"/>
      <c r="D915" s="32"/>
      <c r="E915" s="32"/>
      <c r="F915" s="32"/>
      <c r="G915" s="32"/>
    </row>
    <row r="916" ht="15.75" customHeight="1">
      <c r="A916" s="32"/>
      <c r="C916" s="32"/>
      <c r="D916" s="32"/>
      <c r="E916" s="32"/>
      <c r="F916" s="32"/>
      <c r="G916" s="32"/>
    </row>
    <row r="917" ht="15.75" customHeight="1">
      <c r="A917" s="32"/>
      <c r="C917" s="32"/>
      <c r="D917" s="32"/>
      <c r="E917" s="32"/>
      <c r="F917" s="32"/>
      <c r="G917" s="32"/>
    </row>
    <row r="918" ht="15.75" customHeight="1">
      <c r="A918" s="32"/>
      <c r="C918" s="32"/>
      <c r="D918" s="32"/>
      <c r="E918" s="32"/>
      <c r="F918" s="32"/>
      <c r="G918" s="32"/>
    </row>
    <row r="919" ht="15.75" customHeight="1">
      <c r="A919" s="32"/>
      <c r="C919" s="32"/>
      <c r="D919" s="32"/>
      <c r="E919" s="32"/>
      <c r="F919" s="32"/>
      <c r="G919" s="32"/>
    </row>
    <row r="920" ht="15.75" customHeight="1">
      <c r="A920" s="32"/>
      <c r="C920" s="32"/>
      <c r="D920" s="32"/>
      <c r="E920" s="32"/>
      <c r="F920" s="32"/>
      <c r="G920" s="32"/>
    </row>
    <row r="921" ht="15.75" customHeight="1">
      <c r="A921" s="32"/>
      <c r="C921" s="32"/>
      <c r="D921" s="32"/>
      <c r="E921" s="32"/>
      <c r="F921" s="32"/>
      <c r="G921" s="32"/>
    </row>
    <row r="922" ht="15.75" customHeight="1">
      <c r="A922" s="32"/>
      <c r="C922" s="32"/>
      <c r="D922" s="32"/>
      <c r="E922" s="32"/>
      <c r="F922" s="32"/>
      <c r="G922" s="32"/>
    </row>
    <row r="923" ht="15.75" customHeight="1">
      <c r="A923" s="32"/>
      <c r="C923" s="32"/>
      <c r="D923" s="32"/>
      <c r="E923" s="32"/>
      <c r="F923" s="32"/>
      <c r="G923" s="32"/>
    </row>
    <row r="924" ht="15.75" customHeight="1">
      <c r="A924" s="32"/>
      <c r="C924" s="32"/>
      <c r="D924" s="32"/>
      <c r="E924" s="32"/>
      <c r="F924" s="32"/>
      <c r="G924" s="32"/>
    </row>
    <row r="925" ht="15.75" customHeight="1">
      <c r="A925" s="32"/>
      <c r="C925" s="32"/>
      <c r="D925" s="32"/>
      <c r="E925" s="32"/>
      <c r="F925" s="32"/>
      <c r="G925" s="32"/>
    </row>
    <row r="926" ht="15.75" customHeight="1">
      <c r="A926" s="32"/>
      <c r="C926" s="32"/>
      <c r="D926" s="32"/>
      <c r="E926" s="32"/>
      <c r="F926" s="32"/>
      <c r="G926" s="32"/>
    </row>
    <row r="927" ht="15.75" customHeight="1">
      <c r="A927" s="32"/>
      <c r="C927" s="32"/>
      <c r="D927" s="32"/>
      <c r="E927" s="32"/>
      <c r="F927" s="32"/>
      <c r="G927" s="32"/>
    </row>
    <row r="928" ht="15.75" customHeight="1">
      <c r="A928" s="32"/>
      <c r="C928" s="32"/>
      <c r="D928" s="32"/>
      <c r="E928" s="32"/>
      <c r="F928" s="32"/>
      <c r="G928" s="32"/>
    </row>
    <row r="929" ht="15.75" customHeight="1">
      <c r="A929" s="32"/>
      <c r="C929" s="32"/>
      <c r="D929" s="32"/>
      <c r="E929" s="32"/>
      <c r="F929" s="32"/>
      <c r="G929" s="32"/>
    </row>
    <row r="930" ht="15.75" customHeight="1">
      <c r="A930" s="32"/>
      <c r="C930" s="32"/>
      <c r="D930" s="32"/>
      <c r="E930" s="32"/>
      <c r="F930" s="32"/>
      <c r="G930" s="32"/>
    </row>
    <row r="931" ht="15.75" customHeight="1">
      <c r="A931" s="32"/>
      <c r="C931" s="32"/>
      <c r="D931" s="32"/>
      <c r="E931" s="32"/>
      <c r="F931" s="32"/>
      <c r="G931" s="32"/>
    </row>
    <row r="932" ht="15.75" customHeight="1">
      <c r="A932" s="32"/>
      <c r="C932" s="32"/>
      <c r="D932" s="32"/>
      <c r="E932" s="32"/>
      <c r="F932" s="32"/>
      <c r="G932" s="32"/>
    </row>
    <row r="933" ht="15.75" customHeight="1">
      <c r="A933" s="32"/>
      <c r="C933" s="32"/>
      <c r="D933" s="32"/>
      <c r="E933" s="32"/>
      <c r="F933" s="32"/>
      <c r="G933" s="32"/>
    </row>
    <row r="934" ht="15.75" customHeight="1">
      <c r="A934" s="32"/>
      <c r="C934" s="32"/>
      <c r="D934" s="32"/>
      <c r="E934" s="32"/>
      <c r="F934" s="32"/>
      <c r="G934" s="32"/>
    </row>
    <row r="935" ht="15.75" customHeight="1">
      <c r="A935" s="32"/>
      <c r="C935" s="32"/>
      <c r="D935" s="32"/>
      <c r="E935" s="32"/>
      <c r="F935" s="32"/>
      <c r="G935" s="32"/>
    </row>
    <row r="936" ht="15.75" customHeight="1">
      <c r="A936" s="32"/>
      <c r="C936" s="32"/>
      <c r="D936" s="32"/>
      <c r="E936" s="32"/>
      <c r="F936" s="32"/>
      <c r="G936" s="32"/>
    </row>
    <row r="937" ht="15.75" customHeight="1">
      <c r="A937" s="32"/>
      <c r="C937" s="32"/>
      <c r="D937" s="32"/>
      <c r="E937" s="32"/>
      <c r="F937" s="32"/>
      <c r="G937" s="32"/>
    </row>
    <row r="938" ht="15.75" customHeight="1">
      <c r="A938" s="32"/>
      <c r="C938" s="32"/>
      <c r="D938" s="32"/>
      <c r="E938" s="32"/>
      <c r="F938" s="32"/>
      <c r="G938" s="32"/>
    </row>
    <row r="939" ht="15.75" customHeight="1">
      <c r="A939" s="32"/>
      <c r="C939" s="32"/>
      <c r="D939" s="32"/>
      <c r="E939" s="32"/>
      <c r="F939" s="32"/>
      <c r="G939" s="32"/>
    </row>
    <row r="940" ht="15.75" customHeight="1">
      <c r="A940" s="32"/>
      <c r="C940" s="32"/>
      <c r="D940" s="32"/>
      <c r="E940" s="32"/>
      <c r="F940" s="32"/>
      <c r="G940" s="32"/>
    </row>
    <row r="941" ht="15.75" customHeight="1">
      <c r="A941" s="32"/>
      <c r="C941" s="32"/>
      <c r="D941" s="32"/>
      <c r="E941" s="32"/>
      <c r="F941" s="32"/>
      <c r="G941" s="32"/>
    </row>
    <row r="942" ht="15.75" customHeight="1">
      <c r="A942" s="32"/>
      <c r="C942" s="32"/>
      <c r="D942" s="32"/>
      <c r="E942" s="32"/>
      <c r="F942" s="32"/>
      <c r="G942" s="32"/>
    </row>
    <row r="943" ht="15.75" customHeight="1">
      <c r="A943" s="32"/>
      <c r="C943" s="32"/>
      <c r="D943" s="32"/>
      <c r="E943" s="32"/>
      <c r="F943" s="32"/>
      <c r="G943" s="32"/>
    </row>
    <row r="944" ht="15.75" customHeight="1">
      <c r="A944" s="32"/>
      <c r="C944" s="32"/>
      <c r="D944" s="32"/>
      <c r="E944" s="32"/>
      <c r="F944" s="32"/>
      <c r="G944" s="32"/>
    </row>
    <row r="945" ht="15.75" customHeight="1">
      <c r="A945" s="32"/>
      <c r="C945" s="32"/>
      <c r="D945" s="32"/>
      <c r="E945" s="32"/>
      <c r="F945" s="32"/>
      <c r="G945" s="32"/>
    </row>
    <row r="946" ht="15.75" customHeight="1">
      <c r="A946" s="32"/>
      <c r="C946" s="32"/>
      <c r="D946" s="32"/>
      <c r="E946" s="32"/>
      <c r="F946" s="32"/>
      <c r="G946" s="32"/>
    </row>
    <row r="947" ht="15.75" customHeight="1">
      <c r="A947" s="32"/>
      <c r="C947" s="32"/>
      <c r="D947" s="32"/>
      <c r="E947" s="32"/>
      <c r="F947" s="32"/>
      <c r="G947" s="32"/>
    </row>
    <row r="948" ht="15.75" customHeight="1">
      <c r="A948" s="32"/>
      <c r="C948" s="32"/>
      <c r="D948" s="32"/>
      <c r="E948" s="32"/>
      <c r="F948" s="32"/>
      <c r="G948" s="32"/>
    </row>
    <row r="949" ht="15.75" customHeight="1">
      <c r="A949" s="32"/>
      <c r="C949" s="32"/>
      <c r="D949" s="32"/>
      <c r="E949" s="32"/>
      <c r="F949" s="32"/>
      <c r="G949" s="32"/>
    </row>
    <row r="950" ht="15.75" customHeight="1">
      <c r="A950" s="32"/>
      <c r="C950" s="32"/>
      <c r="D950" s="32"/>
      <c r="E950" s="32"/>
      <c r="F950" s="32"/>
      <c r="G950" s="32"/>
    </row>
    <row r="951" ht="15.75" customHeight="1">
      <c r="A951" s="32"/>
      <c r="C951" s="32"/>
      <c r="D951" s="32"/>
      <c r="E951" s="32"/>
      <c r="F951" s="32"/>
      <c r="G951" s="32"/>
    </row>
    <row r="952" ht="15.75" customHeight="1">
      <c r="A952" s="32"/>
      <c r="C952" s="32"/>
      <c r="D952" s="32"/>
      <c r="E952" s="32"/>
      <c r="F952" s="32"/>
      <c r="G952" s="32"/>
    </row>
    <row r="953" ht="15.75" customHeight="1">
      <c r="A953" s="32"/>
      <c r="C953" s="32"/>
      <c r="D953" s="32"/>
      <c r="E953" s="32"/>
      <c r="F953" s="32"/>
      <c r="G953" s="32"/>
    </row>
    <row r="954" ht="15.75" customHeight="1">
      <c r="A954" s="32"/>
      <c r="C954" s="32"/>
      <c r="D954" s="32"/>
      <c r="E954" s="32"/>
      <c r="F954" s="32"/>
      <c r="G954" s="32"/>
    </row>
    <row r="955" ht="15.75" customHeight="1">
      <c r="A955" s="32"/>
      <c r="C955" s="32"/>
      <c r="D955" s="32"/>
      <c r="E955" s="32"/>
      <c r="F955" s="32"/>
      <c r="G955" s="32"/>
    </row>
    <row r="956" ht="15.75" customHeight="1">
      <c r="A956" s="32"/>
      <c r="C956" s="32"/>
      <c r="D956" s="32"/>
      <c r="E956" s="32"/>
      <c r="F956" s="32"/>
      <c r="G956" s="32"/>
    </row>
    <row r="957" ht="15.75" customHeight="1">
      <c r="A957" s="32"/>
      <c r="C957" s="32"/>
      <c r="D957" s="32"/>
      <c r="E957" s="32"/>
      <c r="F957" s="32"/>
      <c r="G957" s="32"/>
    </row>
    <row r="958" ht="15.75" customHeight="1">
      <c r="A958" s="32"/>
      <c r="C958" s="32"/>
      <c r="D958" s="32"/>
      <c r="E958" s="32"/>
      <c r="F958" s="32"/>
      <c r="G958" s="32"/>
    </row>
    <row r="959" ht="15.75" customHeight="1">
      <c r="A959" s="32"/>
      <c r="C959" s="32"/>
      <c r="D959" s="32"/>
      <c r="E959" s="32"/>
      <c r="F959" s="32"/>
      <c r="G959" s="32"/>
    </row>
    <row r="960" ht="15.75" customHeight="1">
      <c r="A960" s="32"/>
      <c r="C960" s="32"/>
      <c r="D960" s="32"/>
      <c r="E960" s="32"/>
      <c r="F960" s="32"/>
      <c r="G960" s="32"/>
    </row>
    <row r="961" ht="15.75" customHeight="1">
      <c r="A961" s="32"/>
      <c r="C961" s="32"/>
      <c r="D961" s="32"/>
      <c r="E961" s="32"/>
      <c r="F961" s="32"/>
      <c r="G961" s="32"/>
    </row>
    <row r="962" ht="15.75" customHeight="1">
      <c r="A962" s="32"/>
      <c r="C962" s="32"/>
      <c r="D962" s="32"/>
      <c r="E962" s="32"/>
      <c r="F962" s="32"/>
      <c r="G962" s="32"/>
    </row>
    <row r="963" ht="15.75" customHeight="1">
      <c r="A963" s="32"/>
      <c r="C963" s="32"/>
      <c r="D963" s="32"/>
      <c r="E963" s="32"/>
      <c r="F963" s="32"/>
      <c r="G963" s="32"/>
    </row>
    <row r="964" ht="15.75" customHeight="1">
      <c r="A964" s="32"/>
      <c r="C964" s="32"/>
      <c r="D964" s="32"/>
      <c r="E964" s="32"/>
      <c r="F964" s="32"/>
      <c r="G964" s="32"/>
    </row>
    <row r="965" ht="15.75" customHeight="1">
      <c r="A965" s="32"/>
      <c r="C965" s="32"/>
      <c r="D965" s="32"/>
      <c r="E965" s="32"/>
      <c r="F965" s="32"/>
      <c r="G965" s="32"/>
    </row>
    <row r="966" ht="15.75" customHeight="1">
      <c r="A966" s="32"/>
      <c r="C966" s="32"/>
      <c r="D966" s="32"/>
      <c r="E966" s="32"/>
      <c r="F966" s="32"/>
      <c r="G966" s="32"/>
    </row>
    <row r="967" ht="15.75" customHeight="1">
      <c r="A967" s="32"/>
      <c r="C967" s="32"/>
      <c r="D967" s="32"/>
      <c r="E967" s="32"/>
      <c r="F967" s="32"/>
      <c r="G967" s="32"/>
    </row>
    <row r="968" ht="15.75" customHeight="1">
      <c r="A968" s="32"/>
      <c r="C968" s="32"/>
      <c r="D968" s="32"/>
      <c r="E968" s="32"/>
      <c r="F968" s="32"/>
      <c r="G968" s="32"/>
    </row>
    <row r="969" ht="15.75" customHeight="1">
      <c r="A969" s="32"/>
      <c r="C969" s="32"/>
      <c r="D969" s="32"/>
      <c r="E969" s="32"/>
      <c r="F969" s="32"/>
      <c r="G969" s="32"/>
    </row>
    <row r="970" ht="15.75" customHeight="1">
      <c r="A970" s="32"/>
      <c r="C970" s="32"/>
      <c r="D970" s="32"/>
      <c r="E970" s="32"/>
      <c r="F970" s="32"/>
      <c r="G970" s="32"/>
    </row>
    <row r="971" ht="15.75" customHeight="1">
      <c r="A971" s="32"/>
      <c r="C971" s="32"/>
      <c r="D971" s="32"/>
      <c r="E971" s="32"/>
      <c r="F971" s="32"/>
      <c r="G971" s="32"/>
    </row>
    <row r="972" ht="15.75" customHeight="1">
      <c r="A972" s="32"/>
      <c r="C972" s="32"/>
      <c r="D972" s="32"/>
      <c r="E972" s="32"/>
      <c r="F972" s="32"/>
      <c r="G972" s="32"/>
    </row>
    <row r="973" ht="15.75" customHeight="1">
      <c r="A973" s="32"/>
      <c r="C973" s="32"/>
      <c r="D973" s="32"/>
      <c r="E973" s="32"/>
      <c r="F973" s="32"/>
      <c r="G973" s="32"/>
    </row>
    <row r="974" ht="15.75" customHeight="1">
      <c r="A974" s="32"/>
      <c r="C974" s="32"/>
      <c r="D974" s="32"/>
      <c r="E974" s="32"/>
      <c r="F974" s="32"/>
      <c r="G974" s="32"/>
    </row>
    <row r="975" ht="15.75" customHeight="1">
      <c r="A975" s="32"/>
      <c r="C975" s="32"/>
      <c r="D975" s="32"/>
      <c r="E975" s="32"/>
      <c r="F975" s="32"/>
      <c r="G975" s="32"/>
    </row>
    <row r="976" ht="15.75" customHeight="1">
      <c r="A976" s="32"/>
      <c r="C976" s="32"/>
      <c r="D976" s="32"/>
      <c r="E976" s="32"/>
      <c r="F976" s="32"/>
      <c r="G976" s="32"/>
    </row>
    <row r="977" ht="15.75" customHeight="1">
      <c r="A977" s="32"/>
      <c r="C977" s="32"/>
      <c r="D977" s="32"/>
      <c r="E977" s="32"/>
      <c r="F977" s="32"/>
      <c r="G977" s="32"/>
    </row>
    <row r="978" ht="15.75" customHeight="1">
      <c r="A978" s="32"/>
      <c r="C978" s="32"/>
      <c r="D978" s="32"/>
      <c r="E978" s="32"/>
      <c r="F978" s="32"/>
      <c r="G978" s="32"/>
    </row>
    <row r="979" ht="15.75" customHeight="1">
      <c r="A979" s="32"/>
      <c r="C979" s="32"/>
      <c r="D979" s="32"/>
      <c r="E979" s="32"/>
      <c r="F979" s="32"/>
      <c r="G979" s="32"/>
    </row>
    <row r="980" ht="15.75" customHeight="1">
      <c r="A980" s="32"/>
      <c r="C980" s="32"/>
      <c r="D980" s="32"/>
      <c r="E980" s="32"/>
      <c r="F980" s="32"/>
      <c r="G980" s="32"/>
    </row>
    <row r="981" ht="15.75" customHeight="1">
      <c r="A981" s="32"/>
      <c r="C981" s="32"/>
      <c r="D981" s="32"/>
      <c r="E981" s="32"/>
      <c r="F981" s="32"/>
      <c r="G981" s="32"/>
    </row>
    <row r="982" ht="15.75" customHeight="1">
      <c r="A982" s="32"/>
      <c r="C982" s="32"/>
      <c r="D982" s="32"/>
      <c r="E982" s="32"/>
      <c r="F982" s="32"/>
      <c r="G982" s="32"/>
    </row>
    <row r="983" ht="15.75" customHeight="1">
      <c r="A983" s="32"/>
      <c r="C983" s="32"/>
      <c r="D983" s="32"/>
      <c r="E983" s="32"/>
      <c r="F983" s="32"/>
      <c r="G983" s="32"/>
    </row>
    <row r="984" ht="15.75" customHeight="1">
      <c r="A984" s="32"/>
      <c r="C984" s="32"/>
      <c r="D984" s="32"/>
      <c r="E984" s="32"/>
      <c r="F984" s="32"/>
      <c r="G984" s="32"/>
    </row>
    <row r="985" ht="15.75" customHeight="1">
      <c r="A985" s="32"/>
      <c r="C985" s="32"/>
      <c r="D985" s="32"/>
      <c r="E985" s="32"/>
      <c r="F985" s="32"/>
      <c r="G985" s="32"/>
    </row>
    <row r="986" ht="15.75" customHeight="1">
      <c r="A986" s="32"/>
      <c r="C986" s="32"/>
      <c r="D986" s="32"/>
      <c r="E986" s="32"/>
      <c r="F986" s="32"/>
      <c r="G986" s="32"/>
    </row>
    <row r="987" ht="15.75" customHeight="1">
      <c r="A987" s="32"/>
      <c r="C987" s="32"/>
      <c r="D987" s="32"/>
      <c r="E987" s="32"/>
      <c r="F987" s="32"/>
      <c r="G987" s="32"/>
    </row>
    <row r="988" ht="15.75" customHeight="1">
      <c r="A988" s="32"/>
      <c r="C988" s="32"/>
      <c r="D988" s="32"/>
      <c r="E988" s="32"/>
      <c r="F988" s="32"/>
      <c r="G988" s="32"/>
    </row>
    <row r="989" ht="15.75" customHeight="1">
      <c r="A989" s="32"/>
      <c r="C989" s="32"/>
      <c r="D989" s="32"/>
      <c r="E989" s="32"/>
      <c r="F989" s="32"/>
      <c r="G989" s="32"/>
    </row>
    <row r="990" ht="15.75" customHeight="1">
      <c r="A990" s="32"/>
      <c r="C990" s="32"/>
      <c r="D990" s="32"/>
      <c r="E990" s="32"/>
      <c r="F990" s="32"/>
      <c r="G990" s="32"/>
    </row>
    <row r="991" ht="15.75" customHeight="1">
      <c r="A991" s="32"/>
      <c r="C991" s="32"/>
      <c r="D991" s="32"/>
      <c r="E991" s="32"/>
      <c r="F991" s="32"/>
      <c r="G991" s="32"/>
    </row>
    <row r="992" ht="15.75" customHeight="1">
      <c r="A992" s="32"/>
      <c r="C992" s="32"/>
      <c r="D992" s="32"/>
      <c r="E992" s="32"/>
      <c r="F992" s="32"/>
      <c r="G992" s="32"/>
    </row>
    <row r="993" ht="15.75" customHeight="1">
      <c r="A993" s="32"/>
      <c r="C993" s="32"/>
      <c r="D993" s="32"/>
      <c r="E993" s="32"/>
      <c r="F993" s="32"/>
      <c r="G993" s="32"/>
    </row>
    <row r="994" ht="15.75" customHeight="1">
      <c r="A994" s="32"/>
      <c r="C994" s="32"/>
      <c r="D994" s="32"/>
      <c r="E994" s="32"/>
      <c r="F994" s="32"/>
      <c r="G994" s="32"/>
    </row>
    <row r="995" ht="15.75" customHeight="1">
      <c r="A995" s="32"/>
      <c r="C995" s="32"/>
      <c r="D995" s="32"/>
      <c r="E995" s="32"/>
      <c r="F995" s="32"/>
      <c r="G995" s="32"/>
    </row>
    <row r="996" ht="15.75" customHeight="1">
      <c r="A996" s="32"/>
      <c r="C996" s="32"/>
      <c r="D996" s="32"/>
      <c r="E996" s="32"/>
      <c r="F996" s="32"/>
      <c r="G996" s="32"/>
    </row>
    <row r="997" ht="15.75" customHeight="1">
      <c r="A997" s="32"/>
      <c r="C997" s="32"/>
      <c r="D997" s="32"/>
      <c r="E997" s="32"/>
      <c r="F997" s="32"/>
      <c r="G997" s="32"/>
    </row>
    <row r="998" ht="15.75" customHeight="1">
      <c r="A998" s="32"/>
      <c r="C998" s="32"/>
      <c r="D998" s="32"/>
      <c r="E998" s="32"/>
      <c r="F998" s="32"/>
      <c r="G998" s="32"/>
    </row>
    <row r="999" ht="15.75" customHeight="1">
      <c r="A999" s="32"/>
      <c r="C999" s="32"/>
      <c r="D999" s="32"/>
      <c r="E999" s="32"/>
      <c r="F999" s="32"/>
      <c r="G999" s="32"/>
    </row>
    <row r="1000" ht="15.75" customHeight="1">
      <c r="A1000" s="32"/>
      <c r="C1000" s="32"/>
      <c r="D1000" s="32"/>
      <c r="E1000" s="32"/>
      <c r="F1000" s="32"/>
      <c r="G1000" s="32"/>
    </row>
  </sheetData>
  <mergeCells count="6">
    <mergeCell ref="D1:G1"/>
    <mergeCell ref="A3:A15"/>
    <mergeCell ref="A17:A29"/>
    <mergeCell ref="A31:A43"/>
    <mergeCell ref="A45:A57"/>
    <mergeCell ref="A59:A7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2.63"/>
    <col customWidth="1" min="3" max="3" width="2.63"/>
    <col customWidth="1" min="4" max="8" width="28.88"/>
  </cols>
  <sheetData>
    <row r="1" ht="15.75" customHeight="1">
      <c r="A1" s="129"/>
      <c r="B1" s="130"/>
      <c r="C1" s="131"/>
      <c r="D1" s="132" t="s">
        <v>15</v>
      </c>
      <c r="E1" s="8"/>
      <c r="F1" s="8"/>
      <c r="G1" s="8"/>
      <c r="H1" s="10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5.75" customHeight="1">
      <c r="A2" s="99" t="s">
        <v>20</v>
      </c>
      <c r="B2" s="99" t="s">
        <v>23</v>
      </c>
      <c r="C2" s="131"/>
      <c r="D2" s="99" t="s">
        <v>48</v>
      </c>
      <c r="E2" s="99" t="s">
        <v>49</v>
      </c>
      <c r="F2" s="99" t="s">
        <v>50</v>
      </c>
      <c r="G2" s="99" t="s">
        <v>51</v>
      </c>
      <c r="H2" s="99" t="s">
        <v>52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5.75" customHeight="1">
      <c r="A3" s="134" t="s">
        <v>78</v>
      </c>
      <c r="B3" s="24" t="s">
        <v>79</v>
      </c>
      <c r="C3" s="131"/>
      <c r="D3" s="148" t="str">
        <f>'Horário - Graduação'!T3</f>
        <v/>
      </c>
      <c r="E3" s="148" t="str">
        <f>'Horário - Graduação'!U3</f>
        <v>Parasitologia Veterinária (Fernanda) (HV 2)
</v>
      </c>
      <c r="F3" s="148" t="str">
        <f>'Horário - Graduação'!V3</f>
        <v>UCE 2 (Eduardo Garrido/ Thaís/ Antônio )(HV 3)</v>
      </c>
      <c r="G3" s="148" t="str">
        <f>'Horário - Graduação'!W3</f>
        <v>Clínica Médica Grandes Animais II (Lídia) (HV 4)</v>
      </c>
      <c r="H3" s="148" t="str">
        <f>'Horário - Graduação'!X3</f>
        <v/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ht="15.75" customHeight="1">
      <c r="A4" s="36"/>
      <c r="B4" s="24" t="s">
        <v>109</v>
      </c>
      <c r="C4" s="131"/>
      <c r="D4" s="148" t="str">
        <f>'Horário - Graduação'!T4</f>
        <v/>
      </c>
      <c r="E4" s="148" t="str">
        <f>'Horário - Graduação'!U4</f>
        <v>Parasitologia Veterinária (Fernanda) (HV 2)
</v>
      </c>
      <c r="F4" s="148" t="str">
        <f>'Horário - Graduação'!V4</f>
        <v>UCE 2 (Eduardo Garrido/ Thaís/ Antônio )(HV 3)</v>
      </c>
      <c r="G4" s="148" t="str">
        <f>'Horário - Graduação'!W4</f>
        <v>Clínica Médica Grandes Animais II (Lídia) (HV 4)</v>
      </c>
      <c r="H4" s="148" t="str">
        <f>'Horário - Graduação'!X4</f>
        <v/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ht="15.75" customHeight="1">
      <c r="A5" s="36"/>
      <c r="B5" s="40" t="s">
        <v>111</v>
      </c>
      <c r="C5" s="131"/>
      <c r="D5" s="147" t="str">
        <f>'Horário - Graduação'!T5</f>
        <v/>
      </c>
      <c r="E5" s="147" t="str">
        <f>'Horário - Graduação'!U5</f>
        <v/>
      </c>
      <c r="F5" s="147" t="str">
        <f>'Horário - Graduação'!V5</f>
        <v/>
      </c>
      <c r="G5" s="147" t="str">
        <f>'Horário - Graduação'!W5</f>
        <v/>
      </c>
      <c r="H5" s="147" t="str">
        <f>'Horário - Graduação'!X5</f>
        <v/>
      </c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ht="15.75" customHeight="1">
      <c r="A6" s="36"/>
      <c r="B6" s="24" t="s">
        <v>113</v>
      </c>
      <c r="C6" s="131"/>
      <c r="D6" s="148" t="str">
        <f>'Horário - Graduação'!T6</f>
        <v/>
      </c>
      <c r="E6" s="148" t="str">
        <f>'Horário - Graduação'!U6</f>
        <v>Parasitologia Veterinária (Fernanda) (HV 2)
</v>
      </c>
      <c r="F6" s="148" t="str">
        <f>'Horário - Graduação'!V6</f>
        <v>UCE 2 (Eduardo Garrido/ Thaís/ Antônio )(HV 3)</v>
      </c>
      <c r="G6" s="148" t="str">
        <f>'Horário - Graduação'!W6</f>
        <v>Clínica Médica Grandes Animais II (Lídia) (HV 4)</v>
      </c>
      <c r="H6" s="148" t="str">
        <f>'Horário - Graduação'!X6</f>
        <v/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5.75" customHeight="1">
      <c r="A7" s="36"/>
      <c r="B7" s="24" t="s">
        <v>120</v>
      </c>
      <c r="C7" s="131"/>
      <c r="D7" s="148" t="str">
        <f>'Horário - Graduação'!T7</f>
        <v/>
      </c>
      <c r="E7" s="148" t="str">
        <f>'Horário - Graduação'!U7</f>
        <v>Parasitologia Veterinária (Fernanda) (HV 2)
</v>
      </c>
      <c r="F7" s="148" t="str">
        <f>'Horário - Graduação'!V7</f>
        <v>UCE 2 (Eduardo Garrido/ Thaís/ Antônio )(HV 3)</v>
      </c>
      <c r="G7" s="148" t="str">
        <f>'Horário - Graduação'!W7</f>
        <v>Clínica Médica Grandes Animais II (Lídia) (HV 4)</v>
      </c>
      <c r="H7" s="148" t="str">
        <f>'Horário - Graduação'!X7</f>
        <v/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5.75" customHeight="1">
      <c r="A8" s="36"/>
      <c r="B8" s="24" t="s">
        <v>121</v>
      </c>
      <c r="C8" s="131"/>
      <c r="D8" s="148" t="str">
        <f>'Horário - Graduação'!T8</f>
        <v/>
      </c>
      <c r="E8" s="148" t="str">
        <f>'Horário - Graduação'!U8</f>
        <v/>
      </c>
      <c r="F8" s="148" t="str">
        <f>'Horário - Graduação'!V8</f>
        <v/>
      </c>
      <c r="G8" s="148" t="str">
        <f>'Horário - Graduação'!W8</f>
        <v/>
      </c>
      <c r="H8" s="148" t="str">
        <f>'Horário - Graduação'!X8</f>
        <v/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5.75" customHeight="1">
      <c r="A9" s="36"/>
      <c r="B9" s="40" t="s">
        <v>124</v>
      </c>
      <c r="C9" s="131"/>
      <c r="D9" s="147" t="str">
        <f>'Horário - Graduação'!T9</f>
        <v/>
      </c>
      <c r="E9" s="147" t="str">
        <f>'Horário - Graduação'!U9</f>
        <v/>
      </c>
      <c r="F9" s="147" t="str">
        <f>'Horário - Graduação'!V9</f>
        <v/>
      </c>
      <c r="G9" s="147" t="str">
        <f>'Horário - Graduação'!W9</f>
        <v/>
      </c>
      <c r="H9" s="147" t="str">
        <f>'Horário - Graduação'!X9</f>
        <v/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5.75" customHeight="1">
      <c r="A10" s="36"/>
      <c r="B10" s="24" t="s">
        <v>126</v>
      </c>
      <c r="C10" s="131"/>
      <c r="D10" s="148" t="str">
        <f>'Horário - Graduação'!T10</f>
        <v>Anatomia Vet. II (Walter)(HV 1)</v>
      </c>
      <c r="E10" s="148" t="str">
        <f>'Horário - Graduação'!U10</f>
        <v>Nutrição Animal (Antônio)  ( HV 2)</v>
      </c>
      <c r="F10" s="148" t="str">
        <f>'Horário - Graduação'!V10</f>
        <v>UCE 2 (Eduardo Garrido/ Thaís/ Antônio/ Lídia )(HV 3)</v>
      </c>
      <c r="G10" s="148" t="str">
        <f>'Horário - Graduação'!W10</f>
        <v>Saúde Pública e Saneamento (Vanessa Paulino) (HV 4)</v>
      </c>
      <c r="H10" s="148" t="str">
        <f>'Horário - Graduação'!X10</f>
        <v/>
      </c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ht="15.75" customHeight="1">
      <c r="A11" s="36"/>
      <c r="B11" s="24" t="s">
        <v>138</v>
      </c>
      <c r="C11" s="131"/>
      <c r="D11" s="148" t="str">
        <f>'Horário - Graduação'!T11</f>
        <v>Anatomia Vet. II (Walter)(HV 1)</v>
      </c>
      <c r="E11" s="148" t="str">
        <f>'Horário - Graduação'!U11</f>
        <v>Nutrição Animal (Antônio) ( HV 2)</v>
      </c>
      <c r="F11" s="148" t="str">
        <f>'Horário - Graduação'!V11</f>
        <v>UCE 2 (Eduardo Garrido/ Thaís/ Antônio/ Lídia )(HV 3)</v>
      </c>
      <c r="G11" s="148" t="str">
        <f>'Horário - Graduação'!W11</f>
        <v>Saúde Pública e Saneamento (Vanessa Paulino) (HV 4)</v>
      </c>
      <c r="H11" s="148" t="str">
        <f>'Horário - Graduação'!X11</f>
        <v/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5.75" customHeight="1">
      <c r="A12" s="36"/>
      <c r="B12" s="40" t="s">
        <v>111</v>
      </c>
      <c r="C12" s="131"/>
      <c r="D12" s="147" t="str">
        <f>'Horário - Graduação'!T12</f>
        <v/>
      </c>
      <c r="E12" s="147" t="str">
        <f>'Horário - Graduação'!U12</f>
        <v/>
      </c>
      <c r="F12" s="147" t="str">
        <f>'Horário - Graduação'!V12</f>
        <v/>
      </c>
      <c r="G12" s="147" t="str">
        <f>'Horário - Graduação'!W12</f>
        <v/>
      </c>
      <c r="H12" s="147" t="str">
        <f>'Horário - Graduação'!X12</f>
        <v/>
      </c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ht="15.75" customHeight="1">
      <c r="A13" s="36"/>
      <c r="B13" s="24" t="s">
        <v>141</v>
      </c>
      <c r="C13" s="131"/>
      <c r="D13" s="148" t="str">
        <f>'Horário - Graduação'!T13</f>
        <v>Anatomia Vet. II (Walter)(HV 1)</v>
      </c>
      <c r="E13" s="148" t="str">
        <f>'Horário - Graduação'!U13</f>
        <v>Nutrição Animal (Antônio) ( HV 2)</v>
      </c>
      <c r="F13" s="148" t="str">
        <f>'Horário - Graduação'!V13</f>
        <v>Suinocultura (Fernando Matos) (Zoo II)</v>
      </c>
      <c r="G13" s="148" t="str">
        <f>'Horário - Graduação'!W13</f>
        <v/>
      </c>
      <c r="H13" s="148" t="str">
        <f>'Horário - Graduação'!X13</f>
        <v/>
      </c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ht="15.75" customHeight="1">
      <c r="A14" s="36"/>
      <c r="B14" s="24" t="s">
        <v>154</v>
      </c>
      <c r="C14" s="131"/>
      <c r="D14" s="148" t="str">
        <f>'Horário - Graduação'!T14</f>
        <v>Anatomia Vet. II (Walter)(HV 1)</v>
      </c>
      <c r="E14" s="148" t="str">
        <f>'Horário - Graduação'!U14</f>
        <v>Nutrição Animal (Antônio) ( HV 2)</v>
      </c>
      <c r="F14" s="148" t="str">
        <f>'Horário - Graduação'!V14</f>
        <v>Suinocultura (Fernando Matos) (Zoo II)</v>
      </c>
      <c r="G14" s="148" t="str">
        <f>'Horário - Graduação'!W14</f>
        <v/>
      </c>
      <c r="H14" s="148" t="str">
        <f>'Horário - Graduação'!X14</f>
        <v/>
      </c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ht="15.75" customHeight="1">
      <c r="A15" s="66"/>
      <c r="B15" s="24" t="s">
        <v>155</v>
      </c>
      <c r="C15" s="131"/>
      <c r="D15" s="80" t="str">
        <f>'Horário - Graduação'!T15</f>
        <v/>
      </c>
      <c r="E15" s="80" t="str">
        <f>'Horário - Graduação'!U15</f>
        <v/>
      </c>
      <c r="F15" s="80" t="str">
        <f>'Horário - Graduação'!V15</f>
        <v/>
      </c>
      <c r="G15" s="80" t="str">
        <f>'Horário - Graduação'!W15</f>
        <v/>
      </c>
      <c r="H15" s="80" t="str">
        <f>'Horário - Graduação'!X15</f>
        <v/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15.75" customHeight="1">
      <c r="A16" s="99" t="s">
        <v>20</v>
      </c>
      <c r="B16" s="140" t="s">
        <v>23</v>
      </c>
      <c r="C16" s="131"/>
      <c r="D16" s="99" t="s">
        <v>48</v>
      </c>
      <c r="E16" s="99" t="s">
        <v>49</v>
      </c>
      <c r="F16" s="99" t="s">
        <v>50</v>
      </c>
      <c r="G16" s="99" t="s">
        <v>51</v>
      </c>
      <c r="H16" s="99" t="s">
        <v>52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15.75" customHeight="1">
      <c r="A17" s="134" t="s">
        <v>11</v>
      </c>
      <c r="B17" s="24" t="s">
        <v>79</v>
      </c>
      <c r="C17" s="131"/>
      <c r="D17" s="148" t="str">
        <f>'Horário - Graduação'!T24</f>
        <v>Fisiologia Animal I (Valéria) (HV 1)</v>
      </c>
      <c r="E17" s="148" t="str">
        <f>'Horário - Graduação'!U24</f>
        <v/>
      </c>
      <c r="F17" s="148" t="str">
        <f>'Horário - Graduação'!V24</f>
        <v>Patologia Clínica Veterinária (Eduardo Garrido) (HV 3)</v>
      </c>
      <c r="G17" s="148" t="str">
        <f>'Horário - Graduação'!W24</f>
        <v>Clinica Médica de Pequenos Animais II (Thaís) (HV 4)</v>
      </c>
      <c r="H17" s="148" t="str">
        <f>'Horário - Graduação'!X24</f>
        <v/>
      </c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15.75" customHeight="1">
      <c r="A18" s="36"/>
      <c r="B18" s="24" t="s">
        <v>109</v>
      </c>
      <c r="C18" s="131"/>
      <c r="D18" s="148" t="str">
        <f>'Horário - Graduação'!T25</f>
        <v>Fisiologia Animal I (Valéria) (HV 1)</v>
      </c>
      <c r="E18" s="148" t="str">
        <f>'Horário - Graduação'!U25</f>
        <v/>
      </c>
      <c r="F18" s="148" t="str">
        <f>'Horário - Graduação'!V25</f>
        <v>Patologia Clínica Veterinária (Eduardo Garrido) (HV 3)</v>
      </c>
      <c r="G18" s="148" t="str">
        <f>'Horário - Graduação'!W25</f>
        <v>Clinica Médica de Pequenos Animais II (Thaís) (HV 4)</v>
      </c>
      <c r="H18" s="148" t="str">
        <f>'Horário - Graduação'!X25</f>
        <v/>
      </c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15.75" customHeight="1">
      <c r="A19" s="36"/>
      <c r="B19" s="40" t="s">
        <v>111</v>
      </c>
      <c r="C19" s="131"/>
      <c r="D19" s="147" t="str">
        <f>'Horário - Graduação'!T26</f>
        <v/>
      </c>
      <c r="E19" s="147" t="str">
        <f>'Horário - Graduação'!U26</f>
        <v/>
      </c>
      <c r="F19" s="147" t="str">
        <f>'Horário - Graduação'!V26</f>
        <v/>
      </c>
      <c r="G19" s="147" t="str">
        <f>'Horário - Graduação'!W26</f>
        <v/>
      </c>
      <c r="H19" s="147" t="str">
        <f>'Horário - Graduação'!X26</f>
        <v/>
      </c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ht="15.75" customHeight="1">
      <c r="A20" s="36"/>
      <c r="B20" s="24" t="s">
        <v>113</v>
      </c>
      <c r="C20" s="131"/>
      <c r="D20" s="148" t="str">
        <f>'Horário - Graduação'!T27</f>
        <v>Fisiologia Animal I (Valéria) (HV 1)</v>
      </c>
      <c r="E20" s="148" t="str">
        <f>'Horário - Graduação'!U27</f>
        <v>Nutrição Animal (Antônio) ( HV 2)</v>
      </c>
      <c r="F20" s="148" t="str">
        <f>'Horário - Graduação'!V27</f>
        <v>Diagnóstico por Imagem ( Leonardo Coelho) (HV 3)</v>
      </c>
      <c r="G20" s="148" t="str">
        <f>'Horário - Graduação'!W27</f>
        <v>Clinica Médica de Pequenos Animais II (Thaís) (HV 4)</v>
      </c>
      <c r="H20" s="148" t="str">
        <f>'Horário - Graduação'!X27</f>
        <v/>
      </c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5.75" customHeight="1">
      <c r="A21" s="36"/>
      <c r="B21" s="24" t="s">
        <v>120</v>
      </c>
      <c r="C21" s="131"/>
      <c r="D21" s="148" t="str">
        <f>'Horário - Graduação'!T28</f>
        <v>Fisiologia Animal I (Valéria) (HV 1)</v>
      </c>
      <c r="E21" s="148" t="str">
        <f>'Horário - Graduação'!U28</f>
        <v>Nutrição Animal (Antônio) ( HV 2)</v>
      </c>
      <c r="F21" s="148" t="str">
        <f>'Horário - Graduação'!V28</f>
        <v>Diagnóstico por Imagem ( Leonardo Coelho) (HV 3)</v>
      </c>
      <c r="G21" s="148" t="str">
        <f>'Horário - Graduação'!W28</f>
        <v>Clinica Médica de Pequenos Animais II (Thaís) (HV 4)</v>
      </c>
      <c r="H21" s="148" t="str">
        <f>'Horário - Graduação'!X28</f>
        <v/>
      </c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36"/>
      <c r="B22" s="24" t="s">
        <v>121</v>
      </c>
      <c r="C22" s="131"/>
      <c r="D22" s="148" t="str">
        <f>'Horário - Graduação'!T29</f>
        <v/>
      </c>
      <c r="E22" s="148" t="str">
        <f>'Horário - Graduação'!U29</f>
        <v/>
      </c>
      <c r="F22" s="148" t="str">
        <f>'Horário - Graduação'!V29</f>
        <v/>
      </c>
      <c r="G22" s="148" t="str">
        <f>'Horário - Graduação'!W29</f>
        <v/>
      </c>
      <c r="H22" s="148" t="str">
        <f>'Horário - Graduação'!X29</f>
        <v/>
      </c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36"/>
      <c r="B23" s="40" t="s">
        <v>124</v>
      </c>
      <c r="C23" s="131"/>
      <c r="D23" s="147" t="str">
        <f>'Horário - Graduação'!T30</f>
        <v/>
      </c>
      <c r="E23" s="147" t="str">
        <f>'Horário - Graduação'!U30</f>
        <v/>
      </c>
      <c r="F23" s="147" t="str">
        <f>'Horário - Graduação'!V30</f>
        <v/>
      </c>
      <c r="G23" s="147" t="str">
        <f>'Horário - Graduação'!W30</f>
        <v/>
      </c>
      <c r="H23" s="147" t="str">
        <f>'Horário - Graduação'!X30</f>
        <v/>
      </c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36"/>
      <c r="B24" s="24" t="s">
        <v>126</v>
      </c>
      <c r="C24" s="131"/>
      <c r="D24" s="148" t="str">
        <f>'Horário - Graduação'!T31</f>
        <v>Histologia (Fernanda) (HV 1)</v>
      </c>
      <c r="E24" s="148" t="str">
        <f>'Horário - Graduação'!U31</f>
        <v>Patologia Geral (Eduardo Garrido) (HV 2)</v>
      </c>
      <c r="F24" s="148" t="str">
        <f>'Horário - Graduação'!V31</f>
        <v>Doenças Parasitárias (Vanessa Paulino) (HV 3)</v>
      </c>
      <c r="G24" s="148" t="str">
        <f>'Horário - Graduação'!W31</f>
        <v>Cirurgia e Obstetrícia (Walter) (HV 4)</v>
      </c>
      <c r="H24" s="148" t="str">
        <f>'Horário - Graduação'!X31</f>
        <v/>
      </c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36"/>
      <c r="B25" s="24" t="s">
        <v>138</v>
      </c>
      <c r="C25" s="131"/>
      <c r="D25" s="148" t="str">
        <f>'Horário - Graduação'!T32</f>
        <v>Histologia (Fernanda) (HV 1)</v>
      </c>
      <c r="E25" s="148" t="str">
        <f>'Horário - Graduação'!U32</f>
        <v>Patologia Geral (Eduardo Garrido) (HV 2)</v>
      </c>
      <c r="F25" s="148" t="str">
        <f>'Horário - Graduação'!V32</f>
        <v>Doenças Parasitárias (Vanessa Paulino) (HV 3)</v>
      </c>
      <c r="G25" s="148" t="str">
        <f>'Horário - Graduação'!W32</f>
        <v>Cirurgia e Obstetrícia (Walter) (HV 4)</v>
      </c>
      <c r="H25" s="148" t="str">
        <f>'Horário - Graduação'!X32</f>
        <v/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36"/>
      <c r="B26" s="40" t="s">
        <v>111</v>
      </c>
      <c r="C26" s="131"/>
      <c r="D26" s="147" t="str">
        <f>'Horário - Graduação'!T33</f>
        <v/>
      </c>
      <c r="E26" s="147" t="str">
        <f>'Horário - Graduação'!U33</f>
        <v/>
      </c>
      <c r="F26" s="147" t="str">
        <f>'Horário - Graduação'!V33</f>
        <v/>
      </c>
      <c r="G26" s="147" t="str">
        <f>'Horário - Graduação'!W33</f>
        <v/>
      </c>
      <c r="H26" s="147" t="str">
        <f>'Horário - Graduação'!X33</f>
        <v/>
      </c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36"/>
      <c r="B27" s="24" t="s">
        <v>141</v>
      </c>
      <c r="C27" s="131"/>
      <c r="D27" s="148" t="str">
        <f>'Horário - Graduação'!T34</f>
        <v>Histologia (Fernanda) (HV 1)</v>
      </c>
      <c r="E27" s="148" t="str">
        <f>'Horário - Graduação'!U34</f>
        <v>Patologia Geral (Eduardo Garrido) (HV 2)</v>
      </c>
      <c r="F27" s="148" t="str">
        <f>'Horário - Graduação'!V34</f>
        <v>Doenças Parasitárias (Vanessa Paulino) (HV 3)</v>
      </c>
      <c r="G27" s="148" t="str">
        <f>'Horário - Graduação'!W34</f>
        <v>Cirurgia e Obstetrícia (Walter) (HV 4)</v>
      </c>
      <c r="H27" s="148" t="str">
        <f>'Horário - Graduação'!X34</f>
        <v/>
      </c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36"/>
      <c r="B28" s="24" t="s">
        <v>154</v>
      </c>
      <c r="C28" s="131"/>
      <c r="D28" s="148" t="str">
        <f>'Horário - Graduação'!T35</f>
        <v>Histologia (Fernanda) (HV 1)</v>
      </c>
      <c r="E28" s="148" t="str">
        <f>'Horário - Graduação'!U35</f>
        <v>Patologia Geral (Eduardo Garrido) (HV 2)</v>
      </c>
      <c r="F28" s="148" t="str">
        <f>'Horário - Graduação'!V35</f>
        <v>Doenças Parasitárias (Vanessa Paulino) (HV 3)</v>
      </c>
      <c r="G28" s="148" t="str">
        <f>'Horário - Graduação'!W35</f>
        <v>Cirurgia e Obstetrícia (Walter) (HV 4)</v>
      </c>
      <c r="H28" s="148" t="str">
        <f>'Horário - Graduação'!X35</f>
        <v/>
      </c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66"/>
      <c r="B29" s="24" t="s">
        <v>155</v>
      </c>
      <c r="C29" s="131"/>
      <c r="D29" s="80" t="str">
        <f>'Horário - Graduação'!T36</f>
        <v/>
      </c>
      <c r="E29" s="80" t="str">
        <f>'Horário - Graduação'!U36</f>
        <v/>
      </c>
      <c r="F29" s="80" t="str">
        <f>'Horário - Graduação'!V36</f>
        <v/>
      </c>
      <c r="G29" s="80" t="str">
        <f>'Horário - Graduação'!W36</f>
        <v/>
      </c>
      <c r="H29" s="80" t="str">
        <f>'Horário - Graduação'!X36</f>
        <v/>
      </c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99" t="s">
        <v>20</v>
      </c>
      <c r="B30" s="140" t="s">
        <v>23</v>
      </c>
      <c r="C30" s="131"/>
      <c r="D30" s="99" t="s">
        <v>48</v>
      </c>
      <c r="E30" s="99" t="s">
        <v>49</v>
      </c>
      <c r="F30" s="99" t="s">
        <v>50</v>
      </c>
      <c r="G30" s="99" t="s">
        <v>51</v>
      </c>
      <c r="H30" s="99" t="s">
        <v>52</v>
      </c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4" t="s">
        <v>12</v>
      </c>
      <c r="B31" s="24" t="s">
        <v>79</v>
      </c>
      <c r="C31" s="131"/>
      <c r="D31" s="148" t="str">
        <f>'Horário - Graduação'!T45</f>
        <v>Embriologia (Lídia) (HV 1)</v>
      </c>
      <c r="E31" s="148" t="str">
        <f>'Horário - Graduação'!U45</f>
        <v>Farmacologia Veterinária (Valéria) (HV 2)</v>
      </c>
      <c r="F31" s="148" t="str">
        <f>'Horário - Graduação'!V45</f>
        <v>Tecnologia de Leite (Juliana Zara) (HV 3)</v>
      </c>
      <c r="G31" s="148" t="str">
        <f>'Horário - Graduação'!W45</f>
        <v>Inspeção de Produtos de Origem Animal (Paulo Henrique) (HV 4)</v>
      </c>
      <c r="H31" s="148" t="str">
        <f>'Horário - Graduação'!X45</f>
        <v/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36"/>
      <c r="B32" s="24" t="s">
        <v>109</v>
      </c>
      <c r="C32" s="131"/>
      <c r="D32" s="148" t="str">
        <f>'Horário - Graduação'!T46</f>
        <v>Embriologia (Lídia) (HV 1)</v>
      </c>
      <c r="E32" s="148" t="str">
        <f>'Horário - Graduação'!U46</f>
        <v>Farmacologia Veterinária (Valéria) (HV 2)</v>
      </c>
      <c r="F32" s="148" t="str">
        <f>'Horário - Graduação'!V46</f>
        <v>Tecnologia de Leite (Juliana Zara) (HV 3)</v>
      </c>
      <c r="G32" s="148" t="str">
        <f>'Horário - Graduação'!W46</f>
        <v>Inspeção de Produtos de Origem Animal (Paulo Henrique) (HV 4)</v>
      </c>
      <c r="H32" s="148" t="str">
        <f>'Horário - Graduação'!X46</f>
        <v/>
      </c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36"/>
      <c r="B33" s="40" t="s">
        <v>111</v>
      </c>
      <c r="C33" s="131"/>
      <c r="D33" s="148" t="str">
        <f>'Horário - Graduação'!T47</f>
        <v/>
      </c>
      <c r="E33" s="148" t="str">
        <f>'Horário - Graduação'!U47</f>
        <v/>
      </c>
      <c r="F33" s="148" t="str">
        <f>'Horário - Graduação'!V47</f>
        <v/>
      </c>
      <c r="G33" s="148" t="str">
        <f>'Horário - Graduação'!W47</f>
        <v/>
      </c>
      <c r="H33" s="148" t="str">
        <f>'Horário - Graduação'!X47</f>
        <v/>
      </c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36"/>
      <c r="B34" s="24" t="s">
        <v>113</v>
      </c>
      <c r="C34" s="131"/>
      <c r="D34" s="148" t="str">
        <f>'Horário - Graduação'!T48</f>
        <v>Genética (Marinalva)</v>
      </c>
      <c r="E34" s="148" t="str">
        <f>'Horário - Graduação'!U48</f>
        <v>Farmacologia Veterinária (Valéria) (HV 2)</v>
      </c>
      <c r="F34" s="148" t="str">
        <f>'Horário - Graduação'!V48</f>
        <v>Tecnologia de Leite (Juliana Zara) (HV 3)</v>
      </c>
      <c r="G34" s="148" t="str">
        <f>'Horário - Graduação'!W48</f>
        <v>Cirurgia e Obstetrícia (Walter) (HV 4)</v>
      </c>
      <c r="H34" s="148" t="str">
        <f>'Horário - Graduação'!X48</f>
        <v/>
      </c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36"/>
      <c r="B35" s="24" t="s">
        <v>120</v>
      </c>
      <c r="C35" s="131"/>
      <c r="D35" s="148" t="str">
        <f>'Horário - Graduação'!T49</f>
        <v>Genética (Marinalva)</v>
      </c>
      <c r="E35" s="148" t="str">
        <f>'Horário - Graduação'!U49</f>
        <v>Farmacologia Veterinária (Valéria) (HV 2)</v>
      </c>
      <c r="F35" s="148" t="str">
        <f>'Horário - Graduação'!V49</f>
        <v>Tecnologia de Leite (Juliana Zara) (HV 3)</v>
      </c>
      <c r="G35" s="148" t="str">
        <f>'Horário - Graduação'!W49</f>
        <v>Cirurgia e Obstetrícia (Walter) (HV 4)</v>
      </c>
      <c r="H35" s="148" t="str">
        <f>'Horário - Graduação'!X49</f>
        <v/>
      </c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36"/>
      <c r="B36" s="24" t="s">
        <v>121</v>
      </c>
      <c r="C36" s="131"/>
      <c r="D36" s="148" t="str">
        <f>'Horário - Graduação'!T50</f>
        <v/>
      </c>
      <c r="E36" s="148" t="str">
        <f>'Horário - Graduação'!U50</f>
        <v/>
      </c>
      <c r="F36" s="148" t="str">
        <f>'Horário - Graduação'!V50</f>
        <v>UCE 2 (Eduardo Garrido/ Thaís/ Antônio/ Lídia )(HV 3)</v>
      </c>
      <c r="G36" s="148" t="str">
        <f>'Horário - Graduação'!W50</f>
        <v/>
      </c>
      <c r="H36" s="148" t="str">
        <f>'Horário - Graduação'!X50</f>
        <v/>
      </c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36"/>
      <c r="B37" s="40" t="s">
        <v>124</v>
      </c>
      <c r="C37" s="131"/>
      <c r="D37" s="147" t="str">
        <f>'Horário - Graduação'!T51</f>
        <v/>
      </c>
      <c r="E37" s="147" t="str">
        <f>'Horário - Graduação'!U51</f>
        <v/>
      </c>
      <c r="F37" s="147" t="str">
        <f>'Horário - Graduação'!V51</f>
        <v/>
      </c>
      <c r="G37" s="147" t="str">
        <f>'Horário - Graduação'!W51</f>
        <v/>
      </c>
      <c r="H37" s="147" t="str">
        <f>'Horário - Graduação'!X51</f>
        <v/>
      </c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36"/>
      <c r="B38" s="24" t="s">
        <v>126</v>
      </c>
      <c r="C38" s="131"/>
      <c r="D38" s="148" t="str">
        <f>'Horário - Graduação'!T52</f>
        <v/>
      </c>
      <c r="E38" s="148" t="str">
        <f>'Horário - Graduação'!U52</f>
        <v>Melhoramento Genético (Sérgio) (HV 2)</v>
      </c>
      <c r="F38" s="148" t="str">
        <f>'Horário - Graduação'!V52</f>
        <v>Doenças Infecciosas (Eduardo Garrido) (HV 3)</v>
      </c>
      <c r="G38" s="148" t="str">
        <f>'Horário - Graduação'!W52</f>
        <v>Clinica Médica de Pequenos Animais II (Thaís) (HV 4)</v>
      </c>
      <c r="H38" s="148" t="str">
        <f>'Horário - Graduação'!X52</f>
        <v/>
      </c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36"/>
      <c r="B39" s="24" t="s">
        <v>138</v>
      </c>
      <c r="C39" s="131"/>
      <c r="D39" s="148" t="str">
        <f>'Horário - Graduação'!T53</f>
        <v/>
      </c>
      <c r="E39" s="148" t="str">
        <f>'Horário - Graduação'!U53</f>
        <v>Melhoramento Genético (Sérgio) (HV 2)</v>
      </c>
      <c r="F39" s="148" t="str">
        <f>'Horário - Graduação'!V53</f>
        <v>Doenças Infecciosas (Eduardo Garrido) (HV 3)</v>
      </c>
      <c r="G39" s="148" t="str">
        <f>'Horário - Graduação'!W53</f>
        <v>Clinica Médica de Pequenos Animais II (Thaís) (HV 4)</v>
      </c>
      <c r="H39" s="148" t="str">
        <f>'Horário - Graduação'!X53</f>
        <v/>
      </c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36"/>
      <c r="B40" s="40" t="s">
        <v>111</v>
      </c>
      <c r="C40" s="131"/>
      <c r="D40" s="147" t="str">
        <f>'Horário - Graduação'!T54</f>
        <v/>
      </c>
      <c r="E40" s="147" t="str">
        <f>'Horário - Graduação'!U54</f>
        <v/>
      </c>
      <c r="F40" s="147" t="str">
        <f>'Horário - Graduação'!V54</f>
        <v/>
      </c>
      <c r="G40" s="147" t="str">
        <f>'Horário - Graduação'!W54</f>
        <v/>
      </c>
      <c r="H40" s="147" t="str">
        <f>'Horário - Graduação'!X54</f>
        <v/>
      </c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36"/>
      <c r="B41" s="24" t="s">
        <v>141</v>
      </c>
      <c r="C41" s="131"/>
      <c r="D41" s="151" t="str">
        <f>'Horário - Graduação'!T55</f>
        <v/>
      </c>
      <c r="E41" s="151" t="str">
        <f>'Horário - Graduação'!U55</f>
        <v/>
      </c>
      <c r="F41" s="151" t="str">
        <f>'Horário - Graduação'!V55</f>
        <v/>
      </c>
      <c r="G41" s="151" t="str">
        <f>'Horário - Graduação'!W55</f>
        <v/>
      </c>
      <c r="H41" s="151" t="str">
        <f>'Horário - Graduação'!X55</f>
        <v/>
      </c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36"/>
      <c r="B42" s="24" t="s">
        <v>154</v>
      </c>
      <c r="C42" s="131"/>
      <c r="D42" s="151" t="str">
        <f>'Horário - Graduação'!T56</f>
        <v/>
      </c>
      <c r="E42" s="151" t="str">
        <f>'Horário - Graduação'!U56</f>
        <v/>
      </c>
      <c r="F42" s="151" t="str">
        <f>'Horário - Graduação'!V56</f>
        <v/>
      </c>
      <c r="G42" s="151" t="str">
        <f>'Horário - Graduação'!W56</f>
        <v/>
      </c>
      <c r="H42" s="151" t="str">
        <f>'Horário - Graduação'!X56</f>
        <v/>
      </c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66"/>
      <c r="B43" s="24" t="s">
        <v>155</v>
      </c>
      <c r="C43" s="131"/>
      <c r="D43" s="80" t="str">
        <f>'Horário - Graduação'!T57</f>
        <v/>
      </c>
      <c r="E43" s="80" t="str">
        <f>'Horário - Graduação'!U57</f>
        <v/>
      </c>
      <c r="F43" s="80" t="str">
        <f>'Horário - Graduação'!V57</f>
        <v/>
      </c>
      <c r="G43" s="80" t="str">
        <f>'Horário - Graduação'!W57</f>
        <v/>
      </c>
      <c r="H43" s="80" t="str">
        <f>'Horário - Graduação'!X57</f>
        <v/>
      </c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99" t="s">
        <v>20</v>
      </c>
      <c r="B44" s="140" t="s">
        <v>23</v>
      </c>
      <c r="C44" s="131"/>
      <c r="D44" s="99" t="s">
        <v>48</v>
      </c>
      <c r="E44" s="99" t="s">
        <v>49</v>
      </c>
      <c r="F44" s="99" t="s">
        <v>50</v>
      </c>
      <c r="G44" s="99" t="s">
        <v>51</v>
      </c>
      <c r="H44" s="99" t="s">
        <v>52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4" t="s">
        <v>13</v>
      </c>
      <c r="B45" s="24" t="s">
        <v>79</v>
      </c>
      <c r="C45" s="131"/>
      <c r="D45" s="148" t="str">
        <f>'Horário - Graduação'!T66</f>
        <v>Fisiologia Animal I (Valéria) (HV 1)</v>
      </c>
      <c r="E45" s="148" t="str">
        <f>'Horário - Graduação'!U66</f>
        <v>Etol. Bioclim. Bem estar (Paulo Henrique) (HV 2)
</v>
      </c>
      <c r="F45" s="148" t="str">
        <f>'Horário - Graduação'!V66</f>
        <v>Patologia Clínica Veterinária (Eduardo Garrido) (HV 3)</v>
      </c>
      <c r="G45" s="148" t="str">
        <f>'Horário - Graduação'!W66</f>
        <v>Reprodução Animal II (Leonardo Coelho) (HV 4)</v>
      </c>
      <c r="H45" s="148" t="str">
        <f>'Horário - Graduação'!X66</f>
        <v/>
      </c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36"/>
      <c r="B46" s="24" t="s">
        <v>109</v>
      </c>
      <c r="C46" s="131"/>
      <c r="D46" s="148" t="str">
        <f>'Horário - Graduação'!T67</f>
        <v>Fisiologia Animal I (Valéria) (HV 1)</v>
      </c>
      <c r="E46" s="148" t="str">
        <f>'Horário - Graduação'!U67</f>
        <v>Etol. Bioclim. Bem estar (Paulo Henrique) (HV 2)
</v>
      </c>
      <c r="F46" s="148" t="str">
        <f>'Horário - Graduação'!V67</f>
        <v>Patologia Clínica Veterinária (Eduardo Garrido) (HV 3)</v>
      </c>
      <c r="G46" s="148" t="str">
        <f>'Horário - Graduação'!W67</f>
        <v>Reprodução Animal II (Leonardo Coelho) (HV 4)</v>
      </c>
      <c r="H46" s="148" t="str">
        <f>'Horário - Graduação'!X67</f>
        <v/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36"/>
      <c r="B47" s="40" t="s">
        <v>111</v>
      </c>
      <c r="C47" s="131"/>
      <c r="D47" s="147" t="str">
        <f>'Horário - Graduação'!T68</f>
        <v/>
      </c>
      <c r="E47" s="147" t="str">
        <f>'Horário - Graduação'!U68</f>
        <v/>
      </c>
      <c r="F47" s="147" t="str">
        <f>'Horário - Graduação'!V68</f>
        <v/>
      </c>
      <c r="G47" s="147" t="str">
        <f>'Horário - Graduação'!W68</f>
        <v/>
      </c>
      <c r="H47" s="147" t="str">
        <f>'Horário - Graduação'!X68</f>
        <v/>
      </c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36"/>
      <c r="B48" s="24" t="s">
        <v>113</v>
      </c>
      <c r="C48" s="131"/>
      <c r="D48" s="148" t="str">
        <f>'Horário - Graduação'!T69</f>
        <v>Genética (Marinalva) (HV 1)</v>
      </c>
      <c r="E48" s="148" t="str">
        <f>'Horário - Graduação'!U69</f>
        <v>Etol. Bioclim. Bem estar (Paulo Henrique) (HV 2)
</v>
      </c>
      <c r="F48" s="148" t="str">
        <f>'Horário - Graduação'!V69</f>
        <v>UCE 2 (Eduardo Garrido / Thaís / Antônio / Lídia) (HV 3)</v>
      </c>
      <c r="G48" s="148" t="str">
        <f>'Horário - Graduação'!W69</f>
        <v>Reprodução Animal II (Leonardo Coelho) (HV 4)</v>
      </c>
      <c r="H48" s="148" t="str">
        <f>'Horário - Graduação'!X69</f>
        <v/>
      </c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36"/>
      <c r="B49" s="24" t="s">
        <v>120</v>
      </c>
      <c r="C49" s="131"/>
      <c r="D49" s="148" t="str">
        <f>'Horário - Graduação'!T70</f>
        <v>Genética (Marinalva) (HV 1)</v>
      </c>
      <c r="E49" s="148" t="str">
        <f>'Horário - Graduação'!U70</f>
        <v>Etol. Bioclim. Bem estar (Paulo Henrique) (HV 2)
</v>
      </c>
      <c r="F49" s="148" t="str">
        <f>'Horário - Graduação'!V70</f>
        <v>UCE 2 (Eduardo Garrido/ Thaís/ Antônio/ Lídia) (HV 3)</v>
      </c>
      <c r="G49" s="148" t="str">
        <f>'Horário - Graduação'!W70</f>
        <v>Reprodução Animal II (Leonardo Coelho) (HV 4)</v>
      </c>
      <c r="H49" s="148" t="str">
        <f>'Horário - Graduação'!X70</f>
        <v/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36"/>
      <c r="B50" s="24" t="s">
        <v>121</v>
      </c>
      <c r="C50" s="131"/>
      <c r="D50" s="148" t="str">
        <f>'Horário - Graduação'!T71</f>
        <v/>
      </c>
      <c r="E50" s="148" t="str">
        <f>'Horário - Graduação'!U71</f>
        <v/>
      </c>
      <c r="F50" s="148" t="str">
        <f>'Horário - Graduação'!V71</f>
        <v/>
      </c>
      <c r="G50" s="148" t="str">
        <f>'Horário - Graduação'!W71</f>
        <v/>
      </c>
      <c r="H50" s="148" t="str">
        <f>'Horário - Graduação'!X71</f>
        <v/>
      </c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36"/>
      <c r="B51" s="40" t="s">
        <v>124</v>
      </c>
      <c r="C51" s="131"/>
      <c r="D51" s="147" t="str">
        <f>'Horário - Graduação'!T72</f>
        <v/>
      </c>
      <c r="E51" s="147" t="str">
        <f>'Horário - Graduação'!U72</f>
        <v/>
      </c>
      <c r="F51" s="147" t="str">
        <f>'Horário - Graduação'!V72</f>
        <v/>
      </c>
      <c r="G51" s="147" t="str">
        <f>'Horário - Graduação'!W72</f>
        <v/>
      </c>
      <c r="H51" s="147" t="str">
        <f>'Horário - Graduação'!X72</f>
        <v/>
      </c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36"/>
      <c r="B52" s="24" t="s">
        <v>126</v>
      </c>
      <c r="C52" s="131"/>
      <c r="D52" s="148" t="str">
        <f>'Horário - Graduação'!T73</f>
        <v/>
      </c>
      <c r="E52" s="148" t="str">
        <f>'Horário - Graduação'!U73</f>
        <v>Imunologia (Vanessa Paulino) (HV 2)</v>
      </c>
      <c r="F52" s="148" t="str">
        <f>'Horário - Graduação'!V73</f>
        <v>Doenças Infecciosas (Eduardo Garrido) (HV 3)</v>
      </c>
      <c r="G52" s="148" t="str">
        <f>'Horário - Graduação'!W73</f>
        <v>Tóp. Esp. Insp. Prod. Anim. - Paulo / Prát. Emerg. Clinica e Cirurg. - (Walter) ( Valéria) (HV 4) / Clínica, Cirurgia e Patologia de Animais Silvestres (Thaís) (HV 1)/ Cirurgia de Grandes Animais (Leonardo Coelho) (HV5)</v>
      </c>
      <c r="H52" s="148" t="str">
        <f>'Horário - Graduação'!X73</f>
        <v/>
      </c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36"/>
      <c r="B53" s="24" t="s">
        <v>138</v>
      </c>
      <c r="C53" s="131"/>
      <c r="D53" s="148" t="str">
        <f>'Horário - Graduação'!T74</f>
        <v>Ecologia de populações (Tatianne) 
</v>
      </c>
      <c r="E53" s="148" t="str">
        <f>'Horário - Graduação'!U74</f>
        <v>Imunologia (Vanessa Paulino) (HV 2)</v>
      </c>
      <c r="F53" s="148" t="str">
        <f>'Horário - Graduação'!V74</f>
        <v>Doenças Infecciosas (Eduardo Garrido) (HV 3)</v>
      </c>
      <c r="G53" s="148" t="str">
        <f>'Horário - Graduação'!W74</f>
        <v>Tóp. Esp. Insp. Prod. Anim. - (Paulo Henrique) / Prát. Emerg. Clinica e Cirurg. - (Walter , Valéria) (HV 4) / Clínica, Cirurgia e Patologia de Animais Silvestres (Thaís) (HV 1)/ Cirurgia de Grandes Animais (Leonardo Coelho) (HV5)</v>
      </c>
      <c r="H53" s="148" t="str">
        <f>'Horário - Graduação'!X74</f>
        <v/>
      </c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36"/>
      <c r="B54" s="40" t="s">
        <v>111</v>
      </c>
      <c r="C54" s="131"/>
      <c r="D54" s="147" t="str">
        <f>'Horário - Graduação'!T75</f>
        <v/>
      </c>
      <c r="E54" s="147" t="str">
        <f>'Horário - Graduação'!U75</f>
        <v/>
      </c>
      <c r="F54" s="147" t="str">
        <f>'Horário - Graduação'!V75</f>
        <v/>
      </c>
      <c r="G54" s="147" t="str">
        <f>'Horário - Graduação'!W75</f>
        <v/>
      </c>
      <c r="H54" s="147" t="str">
        <f>'Horário - Graduação'!X75</f>
        <v/>
      </c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36"/>
      <c r="B55" s="24" t="s">
        <v>141</v>
      </c>
      <c r="C55" s="131"/>
      <c r="D55" s="148" t="str">
        <f>'Horário - Graduação'!T76</f>
        <v>Ecologia de populações (Tatianne) 
</v>
      </c>
      <c r="E55" s="148" t="str">
        <f>'Horário - Graduação'!U76</f>
        <v>Imunologia (Vanessa Paulino) (HV 2)</v>
      </c>
      <c r="F55" s="148" t="str">
        <f>'Horário - Graduação'!V76</f>
        <v>Doenças Infecciosas (Eduardo Garrido) (HV 3)</v>
      </c>
      <c r="G55" s="148" t="str">
        <f>'Horário - Graduação'!W76</f>
        <v>Tóp. Esp. Insp. Prod. Anim. - (Paulo Henrique) / Prát. Emerg. Clinica e Cirurg. - (Walter , Valéria) (HV 4) / Clínica, Cirurgia e Patologia de Animais Silvestres (Thaís) (HV 1)/ Cirurgia de Grandes Animais (Leonardo Coelho) (HV5)</v>
      </c>
      <c r="H55" s="148" t="str">
        <f>'Horário - Graduação'!X76</f>
        <v/>
      </c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36"/>
      <c r="B56" s="24" t="s">
        <v>154</v>
      </c>
      <c r="C56" s="131"/>
      <c r="D56" s="148" t="str">
        <f>'Horário - Graduação'!T77</f>
        <v>Ecologia de populações (Tatianne) 
</v>
      </c>
      <c r="E56" s="148" t="str">
        <f>'Horário - Graduação'!U77</f>
        <v/>
      </c>
      <c r="F56" s="148" t="str">
        <f>'Horário - Graduação'!V77</f>
        <v>Doenças Infecciosas (Eduardo Garrido) (HV 3)</v>
      </c>
      <c r="G56" s="148" t="str">
        <f>'Horário - Graduação'!W77</f>
        <v>Tóp. Esp. Insp. Prod. Anim. - (Paulo Henrique) / Prát. Emerg. Clinica e Cirurg. - (Walter , Valéria) (HV 4) / Clínica, Cirurgia e Patologia de Animais Silvestres (Thaís) (HV 1)/ Cirurgia de Grandes Animais (Leonardo Coelho) (HV5)</v>
      </c>
      <c r="H56" s="148" t="str">
        <f>'Horário - Graduação'!X77</f>
        <v/>
      </c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66"/>
      <c r="B57" s="24" t="s">
        <v>155</v>
      </c>
      <c r="C57" s="131"/>
      <c r="D57" s="80" t="str">
        <f>'Horário - Graduação'!T78</f>
        <v/>
      </c>
      <c r="E57" s="80" t="str">
        <f>'Horário - Graduação'!U78</f>
        <v/>
      </c>
      <c r="F57" s="80" t="str">
        <f>'Horário - Graduação'!V78</f>
        <v/>
      </c>
      <c r="G57" s="80" t="str">
        <f>'Horário - Graduação'!W78</f>
        <v/>
      </c>
      <c r="H57" s="80" t="str">
        <f>'Horário - Graduação'!X78</f>
        <v/>
      </c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99" t="s">
        <v>20</v>
      </c>
      <c r="B58" s="140" t="s">
        <v>23</v>
      </c>
      <c r="C58" s="131"/>
      <c r="D58" s="99" t="s">
        <v>48</v>
      </c>
      <c r="E58" s="99" t="s">
        <v>49</v>
      </c>
      <c r="F58" s="99" t="s">
        <v>50</v>
      </c>
      <c r="G58" s="99" t="s">
        <v>51</v>
      </c>
      <c r="H58" s="99" t="s">
        <v>52</v>
      </c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4" t="s">
        <v>14</v>
      </c>
      <c r="B59" s="24" t="s">
        <v>79</v>
      </c>
      <c r="C59" s="131"/>
      <c r="D59" s="152" t="str">
        <f>'Horário - Graduação'!T87</f>
        <v>Anatomia Vet. II (Walter)(HV 1)</v>
      </c>
      <c r="E59" s="152" t="str">
        <f>'Horário - Graduação'!U87</f>
        <v>Deontologia Veterinária ( Fernanda ) (HV 2)</v>
      </c>
      <c r="F59" s="152" t="str">
        <f>'Horário - Graduação'!V87</f>
        <v>Toxicologia Veterinária (Lídia) (HV 3)</v>
      </c>
      <c r="G59" s="152" t="str">
        <f>'Horário - Graduação'!W87</f>
        <v>Atendimento clínico de pequenos animais (Eduardo Garrido e Thaís) (Ambulatórios)</v>
      </c>
      <c r="H59" s="152" t="str">
        <f>'Horário - Graduação'!X87</f>
        <v/>
      </c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36"/>
      <c r="B60" s="24" t="s">
        <v>109</v>
      </c>
      <c r="C60" s="131"/>
      <c r="D60" s="152" t="str">
        <f>'Horário - Graduação'!T88</f>
        <v>Anatomia Vet. II (Walter)(HV 1)</v>
      </c>
      <c r="E60" s="152" t="str">
        <f>'Horário - Graduação'!U88</f>
        <v>Deontologia Veterinária ( Fernanda ) (HV 2)</v>
      </c>
      <c r="F60" s="152" t="str">
        <f>'Horário - Graduação'!V88</f>
        <v>Toxicologia Veterinária (Lídia) (HV 3)</v>
      </c>
      <c r="G60" s="152" t="str">
        <f>'Horário - Graduação'!W88</f>
        <v>Atendimento clínico de pequenos animais (Eduardo Garrido e Thaís) (Ambulatórios)</v>
      </c>
      <c r="H60" s="152" t="str">
        <f>'Horário - Graduação'!X88</f>
        <v/>
      </c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36"/>
      <c r="B61" s="40" t="s">
        <v>111</v>
      </c>
      <c r="C61" s="131"/>
      <c r="D61" s="147" t="str">
        <f>'Horário - Graduação'!T89</f>
        <v/>
      </c>
      <c r="E61" s="147" t="str">
        <f>'Horário - Graduação'!U89</f>
        <v/>
      </c>
      <c r="F61" s="147" t="str">
        <f>'Horário - Graduação'!V89</f>
        <v/>
      </c>
      <c r="G61" s="147" t="str">
        <f>'Horário - Graduação'!W89</f>
        <v/>
      </c>
      <c r="H61" s="147" t="str">
        <f>'Horário - Graduação'!X89</f>
        <v/>
      </c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36"/>
      <c r="B62" s="24" t="s">
        <v>113</v>
      </c>
      <c r="C62" s="131"/>
      <c r="D62" s="152" t="str">
        <f>'Horário - Graduação'!T90</f>
        <v>Anatomia Vet. II ( Walter)(HV 1)</v>
      </c>
      <c r="E62" s="152" t="str">
        <f>'Horário - Graduação'!U90</f>
        <v>Parasitologia Veterinária (Fernanda) (HV 2)</v>
      </c>
      <c r="F62" s="152" t="str">
        <f>'Horário - Graduação'!V90</f>
        <v>Suinocultura (Fernando Matos) (Zoo II)</v>
      </c>
      <c r="G62" s="152" t="str">
        <f>'Horário - Graduação'!W90</f>
        <v>Atendimento clínico de pequenos animais (Eduardo Garrido, Thaís) (Ambulatórios)</v>
      </c>
      <c r="H62" s="152" t="str">
        <f>'Horário - Graduação'!X90</f>
        <v/>
      </c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36"/>
      <c r="B63" s="24" t="s">
        <v>120</v>
      </c>
      <c r="C63" s="131"/>
      <c r="D63" s="152" t="str">
        <f>'Horário - Graduação'!T91</f>
        <v>Anatomia Vet. II ( Walter)(HV 1)</v>
      </c>
      <c r="E63" s="152" t="str">
        <f>'Horário - Graduação'!U91</f>
        <v>Parasitologia Veterinária (Fernanda) (HV 2)</v>
      </c>
      <c r="F63" s="152" t="str">
        <f>'Horário - Graduação'!V91</f>
        <v>Suinocultura (Fernando Matos) (Zoo II)</v>
      </c>
      <c r="G63" s="152" t="str">
        <f>'Horário - Graduação'!W91</f>
        <v>Atendimento clínico de pequenos animais (Eduardo Garrido e Thaís) (Ambulatórios)</v>
      </c>
      <c r="H63" s="152" t="str">
        <f>'Horário - Graduação'!X91</f>
        <v/>
      </c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36"/>
      <c r="B64" s="24" t="s">
        <v>121</v>
      </c>
      <c r="C64" s="131"/>
      <c r="D64" s="152" t="str">
        <f>'Horário - Graduação'!T92</f>
        <v/>
      </c>
      <c r="E64" s="152" t="str">
        <f>'Horário - Graduação'!U92</f>
        <v/>
      </c>
      <c r="F64" s="152" t="str">
        <f>'Horário - Graduação'!V92</f>
        <v/>
      </c>
      <c r="G64" s="152" t="str">
        <f>'Horário - Graduação'!W92</f>
        <v/>
      </c>
      <c r="H64" s="152" t="str">
        <f>'Horário - Graduação'!X92</f>
        <v/>
      </c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36"/>
      <c r="B65" s="40" t="s">
        <v>124</v>
      </c>
      <c r="C65" s="131"/>
      <c r="D65" s="147" t="str">
        <f>'Horário - Graduação'!T93</f>
        <v/>
      </c>
      <c r="E65" s="147" t="str">
        <f>'Horário - Graduação'!U93</f>
        <v/>
      </c>
      <c r="F65" s="147" t="str">
        <f>'Horário - Graduação'!V93</f>
        <v/>
      </c>
      <c r="G65" s="147" t="str">
        <f>'Horário - Graduação'!W93</f>
        <v/>
      </c>
      <c r="H65" s="147" t="str">
        <f>'Horário - Graduação'!X93</f>
        <v/>
      </c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36"/>
      <c r="B66" s="24" t="s">
        <v>126</v>
      </c>
      <c r="C66" s="131"/>
      <c r="D66" s="152" t="str">
        <f>'Horário - Graduação'!T94</f>
        <v/>
      </c>
      <c r="E66" s="152" t="str">
        <f>'Horário - Graduação'!U94</f>
        <v/>
      </c>
      <c r="F66" s="152" t="str">
        <f>'Horário - Graduação'!V94</f>
        <v/>
      </c>
      <c r="G66" s="152" t="str">
        <f>'Horário - Graduação'!W94</f>
        <v>Inspeção de Produtos de Origem Animal (Paulo Henrique) (HV 4)</v>
      </c>
      <c r="H66" s="152" t="str">
        <f>'Horário - Graduação'!X94</f>
        <v/>
      </c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36"/>
      <c r="B67" s="24" t="s">
        <v>138</v>
      </c>
      <c r="C67" s="131"/>
      <c r="D67" s="152" t="str">
        <f>'Horário - Graduação'!T95</f>
        <v/>
      </c>
      <c r="E67" s="152" t="str">
        <f>'Horário - Graduação'!U95</f>
        <v/>
      </c>
      <c r="F67" s="152" t="str">
        <f>'Horário - Graduação'!V95</f>
        <v/>
      </c>
      <c r="G67" s="152" t="str">
        <f>'Horário - Graduação'!W95</f>
        <v>Inspeção de Produtos de Origem Animal (Paulo Henrique) (HV 4)</v>
      </c>
      <c r="H67" s="152" t="str">
        <f>'Horário - Graduação'!X95</f>
        <v/>
      </c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36"/>
      <c r="B68" s="40" t="s">
        <v>111</v>
      </c>
      <c r="C68" s="131"/>
      <c r="D68" s="147" t="str">
        <f>'Horário - Graduação'!T96</f>
        <v/>
      </c>
      <c r="E68" s="147" t="str">
        <f>'Horário - Graduação'!U96</f>
        <v/>
      </c>
      <c r="F68" s="147" t="str">
        <f>'Horário - Graduação'!V96</f>
        <v/>
      </c>
      <c r="G68" s="147" t="str">
        <f>'Horário - Graduação'!W96</f>
        <v/>
      </c>
      <c r="H68" s="147" t="str">
        <f>'Horário - Graduação'!X96</f>
        <v/>
      </c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36"/>
      <c r="B69" s="24" t="s">
        <v>141</v>
      </c>
      <c r="C69" s="131"/>
      <c r="D69" s="152" t="str">
        <f>'Horário - Graduação'!T97</f>
        <v/>
      </c>
      <c r="E69" s="152" t="str">
        <f>'Horário - Graduação'!U97</f>
        <v/>
      </c>
      <c r="F69" s="152" t="str">
        <f>'Horário - Graduação'!V97</f>
        <v/>
      </c>
      <c r="G69" s="152" t="str">
        <f>'Horário - Graduação'!W97</f>
        <v>Diagnóstico por Imagem (Leonardo Coelho) (HV 4)</v>
      </c>
      <c r="H69" s="152" t="str">
        <f>'Horário - Graduação'!X97</f>
        <v/>
      </c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36"/>
      <c r="B70" s="24" t="s">
        <v>154</v>
      </c>
      <c r="C70" s="131"/>
      <c r="D70" s="152" t="str">
        <f>'Horário - Graduação'!T98</f>
        <v/>
      </c>
      <c r="E70" s="152" t="str">
        <f>'Horário - Graduação'!U98</f>
        <v/>
      </c>
      <c r="F70" s="152" t="str">
        <f>'Horário - Graduação'!V98</f>
        <v/>
      </c>
      <c r="G70" s="152" t="str">
        <f>'Horário - Graduação'!W98</f>
        <v>Diagnóstico por Imagem (Leonardo Coelho) (HV 4)</v>
      </c>
      <c r="H70" s="152" t="str">
        <f>'Horário - Graduação'!X98</f>
        <v/>
      </c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66"/>
      <c r="B71" s="24" t="s">
        <v>155</v>
      </c>
      <c r="C71" s="131"/>
      <c r="D71" s="80" t="str">
        <f>'Horário - Graduação'!T99</f>
        <v/>
      </c>
      <c r="E71" s="80" t="str">
        <f>'Horário - Graduação'!U99</f>
        <v/>
      </c>
      <c r="F71" s="80" t="str">
        <f>'Horário - Graduação'!V99</f>
        <v/>
      </c>
      <c r="G71" s="80" t="str">
        <f>'Horário - Graduação'!W99</f>
        <v/>
      </c>
      <c r="H71" s="80" t="str">
        <f>'Horário - Graduação'!X99</f>
        <v/>
      </c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42" t="s">
        <v>20</v>
      </c>
      <c r="B72" s="140" t="s">
        <v>23</v>
      </c>
      <c r="C72" s="131"/>
      <c r="D72" s="99" t="s">
        <v>48</v>
      </c>
      <c r="E72" s="99" t="s">
        <v>49</v>
      </c>
      <c r="F72" s="99" t="s">
        <v>50</v>
      </c>
      <c r="G72" s="99" t="s">
        <v>51</v>
      </c>
      <c r="H72" s="99" t="s">
        <v>52</v>
      </c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32"/>
      <c r="C273" s="32"/>
      <c r="D273" s="32"/>
      <c r="E273" s="32"/>
      <c r="F273" s="32"/>
      <c r="G273" s="32"/>
      <c r="H273" s="32"/>
    </row>
    <row r="274" ht="15.75" customHeight="1">
      <c r="A274" s="32"/>
      <c r="C274" s="32"/>
      <c r="D274" s="32"/>
      <c r="E274" s="32"/>
      <c r="F274" s="32"/>
      <c r="G274" s="32"/>
      <c r="H274" s="32"/>
    </row>
    <row r="275" ht="15.75" customHeight="1">
      <c r="A275" s="32"/>
      <c r="C275" s="32"/>
      <c r="D275" s="32"/>
      <c r="E275" s="32"/>
      <c r="F275" s="32"/>
      <c r="G275" s="32"/>
      <c r="H275" s="32"/>
    </row>
    <row r="276" ht="15.75" customHeight="1">
      <c r="A276" s="32"/>
      <c r="C276" s="32"/>
      <c r="D276" s="32"/>
      <c r="E276" s="32"/>
      <c r="F276" s="32"/>
      <c r="G276" s="32"/>
      <c r="H276" s="32"/>
    </row>
    <row r="277" ht="15.75" customHeight="1">
      <c r="A277" s="32"/>
      <c r="C277" s="32"/>
      <c r="D277" s="32"/>
      <c r="E277" s="32"/>
      <c r="F277" s="32"/>
      <c r="G277" s="32"/>
      <c r="H277" s="32"/>
    </row>
    <row r="278" ht="15.75" customHeight="1">
      <c r="A278" s="32"/>
      <c r="C278" s="32"/>
      <c r="D278" s="32"/>
      <c r="E278" s="32"/>
      <c r="F278" s="32"/>
      <c r="G278" s="32"/>
      <c r="H278" s="32"/>
    </row>
    <row r="279" ht="15.75" customHeight="1">
      <c r="A279" s="32"/>
      <c r="C279" s="32"/>
      <c r="D279" s="32"/>
      <c r="E279" s="32"/>
      <c r="F279" s="32"/>
      <c r="G279" s="32"/>
      <c r="H279" s="32"/>
    </row>
    <row r="280" ht="15.75" customHeight="1">
      <c r="A280" s="32"/>
      <c r="C280" s="32"/>
      <c r="D280" s="32"/>
      <c r="E280" s="32"/>
      <c r="F280" s="32"/>
      <c r="G280" s="32"/>
      <c r="H280" s="32"/>
    </row>
    <row r="281" ht="15.75" customHeight="1">
      <c r="A281" s="32"/>
      <c r="C281" s="32"/>
      <c r="D281" s="32"/>
      <c r="E281" s="32"/>
      <c r="F281" s="32"/>
      <c r="G281" s="32"/>
      <c r="H281" s="32"/>
    </row>
    <row r="282" ht="15.75" customHeight="1">
      <c r="A282" s="32"/>
      <c r="C282" s="32"/>
      <c r="D282" s="32"/>
      <c r="E282" s="32"/>
      <c r="F282" s="32"/>
      <c r="G282" s="32"/>
      <c r="H282" s="32"/>
    </row>
    <row r="283" ht="15.75" customHeight="1">
      <c r="A283" s="32"/>
      <c r="C283" s="32"/>
      <c r="D283" s="32"/>
      <c r="E283" s="32"/>
      <c r="F283" s="32"/>
      <c r="G283" s="32"/>
      <c r="H283" s="32"/>
    </row>
    <row r="284" ht="15.75" customHeight="1">
      <c r="A284" s="32"/>
      <c r="C284" s="32"/>
      <c r="D284" s="32"/>
      <c r="E284" s="32"/>
      <c r="F284" s="32"/>
      <c r="G284" s="32"/>
      <c r="H284" s="32"/>
    </row>
    <row r="285" ht="15.75" customHeight="1">
      <c r="A285" s="32"/>
      <c r="C285" s="32"/>
      <c r="D285" s="32"/>
      <c r="E285" s="32"/>
      <c r="F285" s="32"/>
      <c r="G285" s="32"/>
      <c r="H285" s="32"/>
    </row>
    <row r="286" ht="15.75" customHeight="1">
      <c r="A286" s="32"/>
      <c r="C286" s="32"/>
      <c r="D286" s="32"/>
      <c r="E286" s="32"/>
      <c r="F286" s="32"/>
      <c r="G286" s="32"/>
      <c r="H286" s="32"/>
    </row>
    <row r="287" ht="15.75" customHeight="1">
      <c r="A287" s="32"/>
      <c r="C287" s="32"/>
      <c r="D287" s="32"/>
      <c r="E287" s="32"/>
      <c r="F287" s="32"/>
      <c r="G287" s="32"/>
      <c r="H287" s="32"/>
    </row>
    <row r="288" ht="15.75" customHeight="1">
      <c r="A288" s="32"/>
      <c r="C288" s="32"/>
      <c r="D288" s="32"/>
      <c r="E288" s="32"/>
      <c r="F288" s="32"/>
      <c r="G288" s="32"/>
      <c r="H288" s="32"/>
    </row>
    <row r="289" ht="15.75" customHeight="1">
      <c r="A289" s="32"/>
      <c r="C289" s="32"/>
      <c r="D289" s="32"/>
      <c r="E289" s="32"/>
      <c r="F289" s="32"/>
      <c r="G289" s="32"/>
      <c r="H289" s="32"/>
    </row>
    <row r="290" ht="15.75" customHeight="1">
      <c r="A290" s="32"/>
      <c r="C290" s="32"/>
      <c r="D290" s="32"/>
      <c r="E290" s="32"/>
      <c r="F290" s="32"/>
      <c r="G290" s="32"/>
      <c r="H290" s="32"/>
    </row>
    <row r="291" ht="15.75" customHeight="1">
      <c r="A291" s="32"/>
      <c r="C291" s="32"/>
      <c r="D291" s="32"/>
      <c r="E291" s="32"/>
      <c r="F291" s="32"/>
      <c r="G291" s="32"/>
      <c r="H291" s="32"/>
    </row>
    <row r="292" ht="15.75" customHeight="1">
      <c r="A292" s="32"/>
      <c r="C292" s="32"/>
      <c r="D292" s="32"/>
      <c r="E292" s="32"/>
      <c r="F292" s="32"/>
      <c r="G292" s="32"/>
      <c r="H292" s="32"/>
    </row>
    <row r="293" ht="15.75" customHeight="1">
      <c r="A293" s="32"/>
      <c r="C293" s="32"/>
      <c r="D293" s="32"/>
      <c r="E293" s="32"/>
      <c r="F293" s="32"/>
      <c r="G293" s="32"/>
      <c r="H293" s="32"/>
    </row>
    <row r="294" ht="15.75" customHeight="1">
      <c r="A294" s="32"/>
      <c r="C294" s="32"/>
      <c r="D294" s="32"/>
      <c r="E294" s="32"/>
      <c r="F294" s="32"/>
      <c r="G294" s="32"/>
      <c r="H294" s="32"/>
    </row>
    <row r="295" ht="15.75" customHeight="1">
      <c r="A295" s="32"/>
      <c r="C295" s="32"/>
      <c r="D295" s="32"/>
      <c r="E295" s="32"/>
      <c r="F295" s="32"/>
      <c r="G295" s="32"/>
      <c r="H295" s="32"/>
    </row>
    <row r="296" ht="15.75" customHeight="1">
      <c r="A296" s="32"/>
      <c r="C296" s="32"/>
      <c r="D296" s="32"/>
      <c r="E296" s="32"/>
      <c r="F296" s="32"/>
      <c r="G296" s="32"/>
      <c r="H296" s="32"/>
    </row>
    <row r="297" ht="15.75" customHeight="1">
      <c r="A297" s="32"/>
      <c r="C297" s="32"/>
      <c r="D297" s="32"/>
      <c r="E297" s="32"/>
      <c r="F297" s="32"/>
      <c r="G297" s="32"/>
      <c r="H297" s="32"/>
    </row>
    <row r="298" ht="15.75" customHeight="1">
      <c r="A298" s="32"/>
      <c r="C298" s="32"/>
      <c r="D298" s="32"/>
      <c r="E298" s="32"/>
      <c r="F298" s="32"/>
      <c r="G298" s="32"/>
      <c r="H298" s="32"/>
    </row>
    <row r="299" ht="15.75" customHeight="1">
      <c r="A299" s="32"/>
      <c r="C299" s="32"/>
      <c r="D299" s="32"/>
      <c r="E299" s="32"/>
      <c r="F299" s="32"/>
      <c r="G299" s="32"/>
      <c r="H299" s="32"/>
    </row>
    <row r="300" ht="15.75" customHeight="1">
      <c r="A300" s="32"/>
      <c r="C300" s="32"/>
      <c r="D300" s="32"/>
      <c r="E300" s="32"/>
      <c r="F300" s="32"/>
      <c r="G300" s="32"/>
      <c r="H300" s="32"/>
    </row>
    <row r="301" ht="15.75" customHeight="1">
      <c r="A301" s="32"/>
      <c r="C301" s="32"/>
      <c r="D301" s="32"/>
      <c r="E301" s="32"/>
      <c r="F301" s="32"/>
      <c r="G301" s="32"/>
      <c r="H301" s="32"/>
    </row>
    <row r="302" ht="15.75" customHeight="1">
      <c r="A302" s="32"/>
      <c r="C302" s="32"/>
      <c r="D302" s="32"/>
      <c r="E302" s="32"/>
      <c r="F302" s="32"/>
      <c r="G302" s="32"/>
      <c r="H302" s="32"/>
    </row>
    <row r="303" ht="15.75" customHeight="1">
      <c r="A303" s="32"/>
      <c r="C303" s="32"/>
      <c r="D303" s="32"/>
      <c r="E303" s="32"/>
      <c r="F303" s="32"/>
      <c r="G303" s="32"/>
      <c r="H303" s="32"/>
    </row>
    <row r="304" ht="15.75" customHeight="1">
      <c r="A304" s="32"/>
      <c r="C304" s="32"/>
      <c r="D304" s="32"/>
      <c r="E304" s="32"/>
      <c r="F304" s="32"/>
      <c r="G304" s="32"/>
      <c r="H304" s="32"/>
    </row>
    <row r="305" ht="15.75" customHeight="1">
      <c r="A305" s="32"/>
      <c r="C305" s="32"/>
      <c r="D305" s="32"/>
      <c r="E305" s="32"/>
      <c r="F305" s="32"/>
      <c r="G305" s="32"/>
      <c r="H305" s="32"/>
    </row>
    <row r="306" ht="15.75" customHeight="1">
      <c r="A306" s="32"/>
      <c r="C306" s="32"/>
      <c r="D306" s="32"/>
      <c r="E306" s="32"/>
      <c r="F306" s="32"/>
      <c r="G306" s="32"/>
      <c r="H306" s="32"/>
    </row>
    <row r="307" ht="15.75" customHeight="1">
      <c r="A307" s="32"/>
      <c r="C307" s="32"/>
      <c r="D307" s="32"/>
      <c r="E307" s="32"/>
      <c r="F307" s="32"/>
      <c r="G307" s="32"/>
      <c r="H307" s="32"/>
    </row>
    <row r="308" ht="15.75" customHeight="1">
      <c r="A308" s="32"/>
      <c r="C308" s="32"/>
      <c r="D308" s="32"/>
      <c r="E308" s="32"/>
      <c r="F308" s="32"/>
      <c r="G308" s="32"/>
      <c r="H308" s="32"/>
    </row>
    <row r="309" ht="15.75" customHeight="1">
      <c r="A309" s="32"/>
      <c r="C309" s="32"/>
      <c r="D309" s="32"/>
      <c r="E309" s="32"/>
      <c r="F309" s="32"/>
      <c r="G309" s="32"/>
      <c r="H309" s="32"/>
    </row>
    <row r="310" ht="15.75" customHeight="1">
      <c r="A310" s="32"/>
      <c r="C310" s="32"/>
      <c r="D310" s="32"/>
      <c r="E310" s="32"/>
      <c r="F310" s="32"/>
      <c r="G310" s="32"/>
      <c r="H310" s="32"/>
    </row>
    <row r="311" ht="15.75" customHeight="1">
      <c r="A311" s="32"/>
      <c r="C311" s="32"/>
      <c r="D311" s="32"/>
      <c r="E311" s="32"/>
      <c r="F311" s="32"/>
      <c r="G311" s="32"/>
      <c r="H311" s="32"/>
    </row>
    <row r="312" ht="15.75" customHeight="1">
      <c r="A312" s="32"/>
      <c r="C312" s="32"/>
      <c r="D312" s="32"/>
      <c r="E312" s="32"/>
      <c r="F312" s="32"/>
      <c r="G312" s="32"/>
      <c r="H312" s="32"/>
    </row>
    <row r="313" ht="15.75" customHeight="1">
      <c r="A313" s="32"/>
      <c r="C313" s="32"/>
      <c r="D313" s="32"/>
      <c r="E313" s="32"/>
      <c r="F313" s="32"/>
      <c r="G313" s="32"/>
      <c r="H313" s="32"/>
    </row>
    <row r="314" ht="15.75" customHeight="1">
      <c r="A314" s="32"/>
      <c r="C314" s="32"/>
      <c r="D314" s="32"/>
      <c r="E314" s="32"/>
      <c r="F314" s="32"/>
      <c r="G314" s="32"/>
      <c r="H314" s="32"/>
    </row>
    <row r="315" ht="15.75" customHeight="1">
      <c r="A315" s="32"/>
      <c r="C315" s="32"/>
      <c r="D315" s="32"/>
      <c r="E315" s="32"/>
      <c r="F315" s="32"/>
      <c r="G315" s="32"/>
      <c r="H315" s="32"/>
    </row>
    <row r="316" ht="15.75" customHeight="1">
      <c r="A316" s="32"/>
      <c r="C316" s="32"/>
      <c r="D316" s="32"/>
      <c r="E316" s="32"/>
      <c r="F316" s="32"/>
      <c r="G316" s="32"/>
      <c r="H316" s="32"/>
    </row>
    <row r="317" ht="15.75" customHeight="1">
      <c r="A317" s="32"/>
      <c r="C317" s="32"/>
      <c r="D317" s="32"/>
      <c r="E317" s="32"/>
      <c r="F317" s="32"/>
      <c r="G317" s="32"/>
      <c r="H317" s="32"/>
    </row>
    <row r="318" ht="15.75" customHeight="1">
      <c r="A318" s="32"/>
      <c r="C318" s="32"/>
      <c r="D318" s="32"/>
      <c r="E318" s="32"/>
      <c r="F318" s="32"/>
      <c r="G318" s="32"/>
      <c r="H318" s="32"/>
    </row>
    <row r="319" ht="15.75" customHeight="1">
      <c r="A319" s="32"/>
      <c r="C319" s="32"/>
      <c r="D319" s="32"/>
      <c r="E319" s="32"/>
      <c r="F319" s="32"/>
      <c r="G319" s="32"/>
      <c r="H319" s="32"/>
    </row>
    <row r="320" ht="15.75" customHeight="1">
      <c r="A320" s="32"/>
      <c r="C320" s="32"/>
      <c r="D320" s="32"/>
      <c r="E320" s="32"/>
      <c r="F320" s="32"/>
      <c r="G320" s="32"/>
      <c r="H320" s="32"/>
    </row>
    <row r="321" ht="15.75" customHeight="1">
      <c r="A321" s="32"/>
      <c r="C321" s="32"/>
      <c r="D321" s="32"/>
      <c r="E321" s="32"/>
      <c r="F321" s="32"/>
      <c r="G321" s="32"/>
      <c r="H321" s="32"/>
    </row>
    <row r="322" ht="15.75" customHeight="1">
      <c r="A322" s="32"/>
      <c r="C322" s="32"/>
      <c r="D322" s="32"/>
      <c r="E322" s="32"/>
      <c r="F322" s="32"/>
      <c r="G322" s="32"/>
      <c r="H322" s="32"/>
    </row>
    <row r="323" ht="15.75" customHeight="1">
      <c r="A323" s="32"/>
      <c r="C323" s="32"/>
      <c r="D323" s="32"/>
      <c r="E323" s="32"/>
      <c r="F323" s="32"/>
      <c r="G323" s="32"/>
      <c r="H323" s="32"/>
    </row>
    <row r="324" ht="15.75" customHeight="1">
      <c r="A324" s="32"/>
      <c r="C324" s="32"/>
      <c r="D324" s="32"/>
      <c r="E324" s="32"/>
      <c r="F324" s="32"/>
      <c r="G324" s="32"/>
      <c r="H324" s="32"/>
    </row>
    <row r="325" ht="15.75" customHeight="1">
      <c r="A325" s="32"/>
      <c r="C325" s="32"/>
      <c r="D325" s="32"/>
      <c r="E325" s="32"/>
      <c r="F325" s="32"/>
      <c r="G325" s="32"/>
      <c r="H325" s="32"/>
    </row>
    <row r="326" ht="15.75" customHeight="1">
      <c r="A326" s="32"/>
      <c r="C326" s="32"/>
      <c r="D326" s="32"/>
      <c r="E326" s="32"/>
      <c r="F326" s="32"/>
      <c r="G326" s="32"/>
      <c r="H326" s="32"/>
    </row>
    <row r="327" ht="15.75" customHeight="1">
      <c r="A327" s="32"/>
      <c r="C327" s="32"/>
      <c r="D327" s="32"/>
      <c r="E327" s="32"/>
      <c r="F327" s="32"/>
      <c r="G327" s="32"/>
      <c r="H327" s="32"/>
    </row>
    <row r="328" ht="15.75" customHeight="1">
      <c r="A328" s="32"/>
      <c r="C328" s="32"/>
      <c r="D328" s="32"/>
      <c r="E328" s="32"/>
      <c r="F328" s="32"/>
      <c r="G328" s="32"/>
      <c r="H328" s="32"/>
    </row>
    <row r="329" ht="15.75" customHeight="1">
      <c r="A329" s="32"/>
      <c r="C329" s="32"/>
      <c r="D329" s="32"/>
      <c r="E329" s="32"/>
      <c r="F329" s="32"/>
      <c r="G329" s="32"/>
      <c r="H329" s="32"/>
    </row>
    <row r="330" ht="15.75" customHeight="1">
      <c r="A330" s="32"/>
      <c r="C330" s="32"/>
      <c r="D330" s="32"/>
      <c r="E330" s="32"/>
      <c r="F330" s="32"/>
      <c r="G330" s="32"/>
      <c r="H330" s="32"/>
    </row>
    <row r="331" ht="15.75" customHeight="1">
      <c r="A331" s="32"/>
      <c r="C331" s="32"/>
      <c r="D331" s="32"/>
      <c r="E331" s="32"/>
      <c r="F331" s="32"/>
      <c r="G331" s="32"/>
      <c r="H331" s="32"/>
    </row>
    <row r="332" ht="15.75" customHeight="1">
      <c r="A332" s="32"/>
      <c r="C332" s="32"/>
      <c r="D332" s="32"/>
      <c r="E332" s="32"/>
      <c r="F332" s="32"/>
      <c r="G332" s="32"/>
      <c r="H332" s="32"/>
    </row>
    <row r="333" ht="15.75" customHeight="1">
      <c r="A333" s="32"/>
      <c r="C333" s="32"/>
      <c r="D333" s="32"/>
      <c r="E333" s="32"/>
      <c r="F333" s="32"/>
      <c r="G333" s="32"/>
      <c r="H333" s="32"/>
    </row>
    <row r="334" ht="15.75" customHeight="1">
      <c r="A334" s="32"/>
      <c r="C334" s="32"/>
      <c r="D334" s="32"/>
      <c r="E334" s="32"/>
      <c r="F334" s="32"/>
      <c r="G334" s="32"/>
      <c r="H334" s="32"/>
    </row>
    <row r="335" ht="15.75" customHeight="1">
      <c r="A335" s="32"/>
      <c r="C335" s="32"/>
      <c r="D335" s="32"/>
      <c r="E335" s="32"/>
      <c r="F335" s="32"/>
      <c r="G335" s="32"/>
      <c r="H335" s="32"/>
    </row>
    <row r="336" ht="15.75" customHeight="1">
      <c r="A336" s="32"/>
      <c r="C336" s="32"/>
      <c r="D336" s="32"/>
      <c r="E336" s="32"/>
      <c r="F336" s="32"/>
      <c r="G336" s="32"/>
      <c r="H336" s="32"/>
    </row>
    <row r="337" ht="15.75" customHeight="1">
      <c r="A337" s="32"/>
      <c r="C337" s="32"/>
      <c r="D337" s="32"/>
      <c r="E337" s="32"/>
      <c r="F337" s="32"/>
      <c r="G337" s="32"/>
      <c r="H337" s="32"/>
    </row>
    <row r="338" ht="15.75" customHeight="1">
      <c r="A338" s="32"/>
      <c r="C338" s="32"/>
      <c r="D338" s="32"/>
      <c r="E338" s="32"/>
      <c r="F338" s="32"/>
      <c r="G338" s="32"/>
      <c r="H338" s="32"/>
    </row>
    <row r="339" ht="15.75" customHeight="1">
      <c r="A339" s="32"/>
      <c r="C339" s="32"/>
      <c r="D339" s="32"/>
      <c r="E339" s="32"/>
      <c r="F339" s="32"/>
      <c r="G339" s="32"/>
      <c r="H339" s="32"/>
    </row>
    <row r="340" ht="15.75" customHeight="1">
      <c r="A340" s="32"/>
      <c r="C340" s="32"/>
      <c r="D340" s="32"/>
      <c r="E340" s="32"/>
      <c r="F340" s="32"/>
      <c r="G340" s="32"/>
      <c r="H340" s="32"/>
    </row>
    <row r="341" ht="15.75" customHeight="1">
      <c r="A341" s="32"/>
      <c r="C341" s="32"/>
      <c r="D341" s="32"/>
      <c r="E341" s="32"/>
      <c r="F341" s="32"/>
      <c r="G341" s="32"/>
      <c r="H341" s="32"/>
    </row>
    <row r="342" ht="15.75" customHeight="1">
      <c r="A342" s="32"/>
      <c r="C342" s="32"/>
      <c r="D342" s="32"/>
      <c r="E342" s="32"/>
      <c r="F342" s="32"/>
      <c r="G342" s="32"/>
      <c r="H342" s="32"/>
    </row>
    <row r="343" ht="15.75" customHeight="1">
      <c r="A343" s="32"/>
      <c r="C343" s="32"/>
      <c r="D343" s="32"/>
      <c r="E343" s="32"/>
      <c r="F343" s="32"/>
      <c r="G343" s="32"/>
      <c r="H343" s="32"/>
    </row>
    <row r="344" ht="15.75" customHeight="1">
      <c r="A344" s="32"/>
      <c r="C344" s="32"/>
      <c r="D344" s="32"/>
      <c r="E344" s="32"/>
      <c r="F344" s="32"/>
      <c r="G344" s="32"/>
      <c r="H344" s="32"/>
    </row>
    <row r="345" ht="15.75" customHeight="1">
      <c r="A345" s="32"/>
      <c r="C345" s="32"/>
      <c r="D345" s="32"/>
      <c r="E345" s="32"/>
      <c r="F345" s="32"/>
      <c r="G345" s="32"/>
      <c r="H345" s="32"/>
    </row>
    <row r="346" ht="15.75" customHeight="1">
      <c r="A346" s="32"/>
      <c r="C346" s="32"/>
      <c r="D346" s="32"/>
      <c r="E346" s="32"/>
      <c r="F346" s="32"/>
      <c r="G346" s="32"/>
      <c r="H346" s="32"/>
    </row>
    <row r="347" ht="15.75" customHeight="1">
      <c r="A347" s="32"/>
      <c r="C347" s="32"/>
      <c r="D347" s="32"/>
      <c r="E347" s="32"/>
      <c r="F347" s="32"/>
      <c r="G347" s="32"/>
      <c r="H347" s="32"/>
    </row>
    <row r="348" ht="15.75" customHeight="1">
      <c r="A348" s="32"/>
      <c r="C348" s="32"/>
      <c r="D348" s="32"/>
      <c r="E348" s="32"/>
      <c r="F348" s="32"/>
      <c r="G348" s="32"/>
      <c r="H348" s="32"/>
    </row>
    <row r="349" ht="15.75" customHeight="1">
      <c r="A349" s="32"/>
      <c r="C349" s="32"/>
      <c r="D349" s="32"/>
      <c r="E349" s="32"/>
      <c r="F349" s="32"/>
      <c r="G349" s="32"/>
      <c r="H349" s="32"/>
    </row>
    <row r="350" ht="15.75" customHeight="1">
      <c r="A350" s="32"/>
      <c r="C350" s="32"/>
      <c r="D350" s="32"/>
      <c r="E350" s="32"/>
      <c r="F350" s="32"/>
      <c r="G350" s="32"/>
      <c r="H350" s="32"/>
    </row>
    <row r="351" ht="15.75" customHeight="1">
      <c r="A351" s="32"/>
      <c r="C351" s="32"/>
      <c r="D351" s="32"/>
      <c r="E351" s="32"/>
      <c r="F351" s="32"/>
      <c r="G351" s="32"/>
      <c r="H351" s="32"/>
    </row>
    <row r="352" ht="15.75" customHeight="1">
      <c r="A352" s="32"/>
      <c r="C352" s="32"/>
      <c r="D352" s="32"/>
      <c r="E352" s="32"/>
      <c r="F352" s="32"/>
      <c r="G352" s="32"/>
      <c r="H352" s="32"/>
    </row>
    <row r="353" ht="15.75" customHeight="1">
      <c r="A353" s="32"/>
      <c r="C353" s="32"/>
      <c r="D353" s="32"/>
      <c r="E353" s="32"/>
      <c r="F353" s="32"/>
      <c r="G353" s="32"/>
      <c r="H353" s="32"/>
    </row>
    <row r="354" ht="15.75" customHeight="1">
      <c r="A354" s="32"/>
      <c r="C354" s="32"/>
      <c r="D354" s="32"/>
      <c r="E354" s="32"/>
      <c r="F354" s="32"/>
      <c r="G354" s="32"/>
      <c r="H354" s="32"/>
    </row>
    <row r="355" ht="15.75" customHeight="1">
      <c r="A355" s="32"/>
      <c r="C355" s="32"/>
      <c r="D355" s="32"/>
      <c r="E355" s="32"/>
      <c r="F355" s="32"/>
      <c r="G355" s="32"/>
      <c r="H355" s="32"/>
    </row>
    <row r="356" ht="15.75" customHeight="1">
      <c r="A356" s="32"/>
      <c r="C356" s="32"/>
      <c r="D356" s="32"/>
      <c r="E356" s="32"/>
      <c r="F356" s="32"/>
      <c r="G356" s="32"/>
      <c r="H356" s="32"/>
    </row>
    <row r="357" ht="15.75" customHeight="1">
      <c r="A357" s="32"/>
      <c r="C357" s="32"/>
      <c r="D357" s="32"/>
      <c r="E357" s="32"/>
      <c r="F357" s="32"/>
      <c r="G357" s="32"/>
      <c r="H357" s="32"/>
    </row>
    <row r="358" ht="15.75" customHeight="1">
      <c r="A358" s="32"/>
      <c r="C358" s="32"/>
      <c r="D358" s="32"/>
      <c r="E358" s="32"/>
      <c r="F358" s="32"/>
      <c r="G358" s="32"/>
      <c r="H358" s="32"/>
    </row>
    <row r="359" ht="15.75" customHeight="1">
      <c r="A359" s="32"/>
      <c r="C359" s="32"/>
      <c r="D359" s="32"/>
      <c r="E359" s="32"/>
      <c r="F359" s="32"/>
      <c r="G359" s="32"/>
      <c r="H359" s="32"/>
    </row>
    <row r="360" ht="15.75" customHeight="1">
      <c r="A360" s="32"/>
      <c r="C360" s="32"/>
      <c r="D360" s="32"/>
      <c r="E360" s="32"/>
      <c r="F360" s="32"/>
      <c r="G360" s="32"/>
      <c r="H360" s="32"/>
    </row>
    <row r="361" ht="15.75" customHeight="1">
      <c r="A361" s="32"/>
      <c r="C361" s="32"/>
      <c r="D361" s="32"/>
      <c r="E361" s="32"/>
      <c r="F361" s="32"/>
      <c r="G361" s="32"/>
      <c r="H361" s="32"/>
    </row>
    <row r="362" ht="15.75" customHeight="1">
      <c r="A362" s="32"/>
      <c r="C362" s="32"/>
      <c r="D362" s="32"/>
      <c r="E362" s="32"/>
      <c r="F362" s="32"/>
      <c r="G362" s="32"/>
      <c r="H362" s="32"/>
    </row>
    <row r="363" ht="15.75" customHeight="1">
      <c r="A363" s="32"/>
      <c r="C363" s="32"/>
      <c r="D363" s="32"/>
      <c r="E363" s="32"/>
      <c r="F363" s="32"/>
      <c r="G363" s="32"/>
      <c r="H363" s="32"/>
    </row>
    <row r="364" ht="15.75" customHeight="1">
      <c r="A364" s="32"/>
      <c r="C364" s="32"/>
      <c r="D364" s="32"/>
      <c r="E364" s="32"/>
      <c r="F364" s="32"/>
      <c r="G364" s="32"/>
      <c r="H364" s="32"/>
    </row>
    <row r="365" ht="15.75" customHeight="1">
      <c r="A365" s="32"/>
      <c r="C365" s="32"/>
      <c r="D365" s="32"/>
      <c r="E365" s="32"/>
      <c r="F365" s="32"/>
      <c r="G365" s="32"/>
      <c r="H365" s="32"/>
    </row>
    <row r="366" ht="15.75" customHeight="1">
      <c r="A366" s="32"/>
      <c r="C366" s="32"/>
      <c r="D366" s="32"/>
      <c r="E366" s="32"/>
      <c r="F366" s="32"/>
      <c r="G366" s="32"/>
      <c r="H366" s="32"/>
    </row>
    <row r="367" ht="15.75" customHeight="1">
      <c r="A367" s="32"/>
      <c r="C367" s="32"/>
      <c r="D367" s="32"/>
      <c r="E367" s="32"/>
      <c r="F367" s="32"/>
      <c r="G367" s="32"/>
      <c r="H367" s="32"/>
    </row>
    <row r="368" ht="15.75" customHeight="1">
      <c r="A368" s="32"/>
      <c r="C368" s="32"/>
      <c r="D368" s="32"/>
      <c r="E368" s="32"/>
      <c r="F368" s="32"/>
      <c r="G368" s="32"/>
      <c r="H368" s="32"/>
    </row>
    <row r="369" ht="15.75" customHeight="1">
      <c r="A369" s="32"/>
      <c r="C369" s="32"/>
      <c r="D369" s="32"/>
      <c r="E369" s="32"/>
      <c r="F369" s="32"/>
      <c r="G369" s="32"/>
      <c r="H369" s="32"/>
    </row>
    <row r="370" ht="15.75" customHeight="1">
      <c r="A370" s="32"/>
      <c r="C370" s="32"/>
      <c r="D370" s="32"/>
      <c r="E370" s="32"/>
      <c r="F370" s="32"/>
      <c r="G370" s="32"/>
      <c r="H370" s="32"/>
    </row>
    <row r="371" ht="15.75" customHeight="1">
      <c r="A371" s="32"/>
      <c r="C371" s="32"/>
      <c r="D371" s="32"/>
      <c r="E371" s="32"/>
      <c r="F371" s="32"/>
      <c r="G371" s="32"/>
      <c r="H371" s="32"/>
    </row>
    <row r="372" ht="15.75" customHeight="1">
      <c r="A372" s="32"/>
      <c r="C372" s="32"/>
      <c r="D372" s="32"/>
      <c r="E372" s="32"/>
      <c r="F372" s="32"/>
      <c r="G372" s="32"/>
      <c r="H372" s="32"/>
    </row>
    <row r="373" ht="15.75" customHeight="1">
      <c r="A373" s="32"/>
      <c r="C373" s="32"/>
      <c r="D373" s="32"/>
      <c r="E373" s="32"/>
      <c r="F373" s="32"/>
      <c r="G373" s="32"/>
      <c r="H373" s="32"/>
    </row>
    <row r="374" ht="15.75" customHeight="1">
      <c r="A374" s="32"/>
      <c r="C374" s="32"/>
      <c r="D374" s="32"/>
      <c r="E374" s="32"/>
      <c r="F374" s="32"/>
      <c r="G374" s="32"/>
      <c r="H374" s="32"/>
    </row>
    <row r="375" ht="15.75" customHeight="1">
      <c r="A375" s="32"/>
      <c r="C375" s="32"/>
      <c r="D375" s="32"/>
      <c r="E375" s="32"/>
      <c r="F375" s="32"/>
      <c r="G375" s="32"/>
      <c r="H375" s="32"/>
    </row>
    <row r="376" ht="15.75" customHeight="1">
      <c r="A376" s="32"/>
      <c r="C376" s="32"/>
      <c r="D376" s="32"/>
      <c r="E376" s="32"/>
      <c r="F376" s="32"/>
      <c r="G376" s="32"/>
      <c r="H376" s="32"/>
    </row>
    <row r="377" ht="15.75" customHeight="1">
      <c r="A377" s="32"/>
      <c r="C377" s="32"/>
      <c r="D377" s="32"/>
      <c r="E377" s="32"/>
      <c r="F377" s="32"/>
      <c r="G377" s="32"/>
      <c r="H377" s="32"/>
    </row>
    <row r="378" ht="15.75" customHeight="1">
      <c r="A378" s="32"/>
      <c r="C378" s="32"/>
      <c r="D378" s="32"/>
      <c r="E378" s="32"/>
      <c r="F378" s="32"/>
      <c r="G378" s="32"/>
      <c r="H378" s="32"/>
    </row>
    <row r="379" ht="15.75" customHeight="1">
      <c r="A379" s="32"/>
      <c r="C379" s="32"/>
      <c r="D379" s="32"/>
      <c r="E379" s="32"/>
      <c r="F379" s="32"/>
      <c r="G379" s="32"/>
      <c r="H379" s="32"/>
    </row>
    <row r="380" ht="15.75" customHeight="1">
      <c r="A380" s="32"/>
      <c r="C380" s="32"/>
      <c r="D380" s="32"/>
      <c r="E380" s="32"/>
      <c r="F380" s="32"/>
      <c r="G380" s="32"/>
      <c r="H380" s="32"/>
    </row>
    <row r="381" ht="15.75" customHeight="1">
      <c r="A381" s="32"/>
      <c r="C381" s="32"/>
      <c r="D381" s="32"/>
      <c r="E381" s="32"/>
      <c r="F381" s="32"/>
      <c r="G381" s="32"/>
      <c r="H381" s="32"/>
    </row>
    <row r="382" ht="15.75" customHeight="1">
      <c r="A382" s="32"/>
      <c r="C382" s="32"/>
      <c r="D382" s="32"/>
      <c r="E382" s="32"/>
      <c r="F382" s="32"/>
      <c r="G382" s="32"/>
      <c r="H382" s="32"/>
    </row>
    <row r="383" ht="15.75" customHeight="1">
      <c r="A383" s="32"/>
      <c r="C383" s="32"/>
      <c r="D383" s="32"/>
      <c r="E383" s="32"/>
      <c r="F383" s="32"/>
      <c r="G383" s="32"/>
      <c r="H383" s="32"/>
    </row>
    <row r="384" ht="15.75" customHeight="1">
      <c r="A384" s="32"/>
      <c r="C384" s="32"/>
      <c r="D384" s="32"/>
      <c r="E384" s="32"/>
      <c r="F384" s="32"/>
      <c r="G384" s="32"/>
      <c r="H384" s="32"/>
    </row>
    <row r="385" ht="15.75" customHeight="1">
      <c r="A385" s="32"/>
      <c r="C385" s="32"/>
      <c r="D385" s="32"/>
      <c r="E385" s="32"/>
      <c r="F385" s="32"/>
      <c r="G385" s="32"/>
      <c r="H385" s="32"/>
    </row>
    <row r="386" ht="15.75" customHeight="1">
      <c r="A386" s="32"/>
      <c r="C386" s="32"/>
      <c r="D386" s="32"/>
      <c r="E386" s="32"/>
      <c r="F386" s="32"/>
      <c r="G386" s="32"/>
      <c r="H386" s="32"/>
    </row>
    <row r="387" ht="15.75" customHeight="1">
      <c r="A387" s="32"/>
      <c r="C387" s="32"/>
      <c r="D387" s="32"/>
      <c r="E387" s="32"/>
      <c r="F387" s="32"/>
      <c r="G387" s="32"/>
      <c r="H387" s="32"/>
    </row>
    <row r="388" ht="15.75" customHeight="1">
      <c r="A388" s="32"/>
      <c r="C388" s="32"/>
      <c r="D388" s="32"/>
      <c r="E388" s="32"/>
      <c r="F388" s="32"/>
      <c r="G388" s="32"/>
      <c r="H388" s="32"/>
    </row>
    <row r="389" ht="15.75" customHeight="1">
      <c r="A389" s="32"/>
      <c r="C389" s="32"/>
      <c r="D389" s="32"/>
      <c r="E389" s="32"/>
      <c r="F389" s="32"/>
      <c r="G389" s="32"/>
      <c r="H389" s="32"/>
    </row>
    <row r="390" ht="15.75" customHeight="1">
      <c r="A390" s="32"/>
      <c r="C390" s="32"/>
      <c r="D390" s="32"/>
      <c r="E390" s="32"/>
      <c r="F390" s="32"/>
      <c r="G390" s="32"/>
      <c r="H390" s="32"/>
    </row>
    <row r="391" ht="15.75" customHeight="1">
      <c r="A391" s="32"/>
      <c r="C391" s="32"/>
      <c r="D391" s="32"/>
      <c r="E391" s="32"/>
      <c r="F391" s="32"/>
      <c r="G391" s="32"/>
      <c r="H391" s="32"/>
    </row>
    <row r="392" ht="15.75" customHeight="1">
      <c r="A392" s="32"/>
      <c r="C392" s="32"/>
      <c r="D392" s="32"/>
      <c r="E392" s="32"/>
      <c r="F392" s="32"/>
      <c r="G392" s="32"/>
      <c r="H392" s="32"/>
    </row>
    <row r="393" ht="15.75" customHeight="1">
      <c r="A393" s="32"/>
      <c r="C393" s="32"/>
      <c r="D393" s="32"/>
      <c r="E393" s="32"/>
      <c r="F393" s="32"/>
      <c r="G393" s="32"/>
      <c r="H393" s="32"/>
    </row>
    <row r="394" ht="15.75" customHeight="1">
      <c r="A394" s="32"/>
      <c r="C394" s="32"/>
      <c r="D394" s="32"/>
      <c r="E394" s="32"/>
      <c r="F394" s="32"/>
      <c r="G394" s="32"/>
      <c r="H394" s="32"/>
    </row>
    <row r="395" ht="15.75" customHeight="1">
      <c r="A395" s="32"/>
      <c r="C395" s="32"/>
      <c r="D395" s="32"/>
      <c r="E395" s="32"/>
      <c r="F395" s="32"/>
      <c r="G395" s="32"/>
      <c r="H395" s="32"/>
    </row>
    <row r="396" ht="15.75" customHeight="1">
      <c r="A396" s="32"/>
      <c r="C396" s="32"/>
      <c r="D396" s="32"/>
      <c r="E396" s="32"/>
      <c r="F396" s="32"/>
      <c r="G396" s="32"/>
      <c r="H396" s="32"/>
    </row>
    <row r="397" ht="15.75" customHeight="1">
      <c r="A397" s="32"/>
      <c r="C397" s="32"/>
      <c r="D397" s="32"/>
      <c r="E397" s="32"/>
      <c r="F397" s="32"/>
      <c r="G397" s="32"/>
      <c r="H397" s="32"/>
    </row>
    <row r="398" ht="15.75" customHeight="1">
      <c r="A398" s="32"/>
      <c r="C398" s="32"/>
      <c r="D398" s="32"/>
      <c r="E398" s="32"/>
      <c r="F398" s="32"/>
      <c r="G398" s="32"/>
      <c r="H398" s="32"/>
    </row>
    <row r="399" ht="15.75" customHeight="1">
      <c r="A399" s="32"/>
      <c r="C399" s="32"/>
      <c r="D399" s="32"/>
      <c r="E399" s="32"/>
      <c r="F399" s="32"/>
      <c r="G399" s="32"/>
      <c r="H399" s="32"/>
    </row>
    <row r="400" ht="15.75" customHeight="1">
      <c r="A400" s="32"/>
      <c r="C400" s="32"/>
      <c r="D400" s="32"/>
      <c r="E400" s="32"/>
      <c r="F400" s="32"/>
      <c r="G400" s="32"/>
      <c r="H400" s="32"/>
    </row>
    <row r="401" ht="15.75" customHeight="1">
      <c r="A401" s="32"/>
      <c r="C401" s="32"/>
      <c r="D401" s="32"/>
      <c r="E401" s="32"/>
      <c r="F401" s="32"/>
      <c r="G401" s="32"/>
      <c r="H401" s="32"/>
    </row>
    <row r="402" ht="15.75" customHeight="1">
      <c r="A402" s="32"/>
      <c r="C402" s="32"/>
      <c r="D402" s="32"/>
      <c r="E402" s="32"/>
      <c r="F402" s="32"/>
      <c r="G402" s="32"/>
      <c r="H402" s="32"/>
    </row>
    <row r="403" ht="15.75" customHeight="1">
      <c r="A403" s="32"/>
      <c r="C403" s="32"/>
      <c r="D403" s="32"/>
      <c r="E403" s="32"/>
      <c r="F403" s="32"/>
      <c r="G403" s="32"/>
      <c r="H403" s="32"/>
    </row>
    <row r="404" ht="15.75" customHeight="1">
      <c r="A404" s="32"/>
      <c r="C404" s="32"/>
      <c r="D404" s="32"/>
      <c r="E404" s="32"/>
      <c r="F404" s="32"/>
      <c r="G404" s="32"/>
      <c r="H404" s="32"/>
    </row>
    <row r="405" ht="15.75" customHeight="1">
      <c r="A405" s="32"/>
      <c r="C405" s="32"/>
      <c r="D405" s="32"/>
      <c r="E405" s="32"/>
      <c r="F405" s="32"/>
      <c r="G405" s="32"/>
      <c r="H405" s="32"/>
    </row>
    <row r="406" ht="15.75" customHeight="1">
      <c r="A406" s="32"/>
      <c r="C406" s="32"/>
      <c r="D406" s="32"/>
      <c r="E406" s="32"/>
      <c r="F406" s="32"/>
      <c r="G406" s="32"/>
      <c r="H406" s="32"/>
    </row>
    <row r="407" ht="15.75" customHeight="1">
      <c r="A407" s="32"/>
      <c r="C407" s="32"/>
      <c r="D407" s="32"/>
      <c r="E407" s="32"/>
      <c r="F407" s="32"/>
      <c r="G407" s="32"/>
      <c r="H407" s="32"/>
    </row>
    <row r="408" ht="15.75" customHeight="1">
      <c r="A408" s="32"/>
      <c r="C408" s="32"/>
      <c r="D408" s="32"/>
      <c r="E408" s="32"/>
      <c r="F408" s="32"/>
      <c r="G408" s="32"/>
      <c r="H408" s="32"/>
    </row>
    <row r="409" ht="15.75" customHeight="1">
      <c r="A409" s="32"/>
      <c r="C409" s="32"/>
      <c r="D409" s="32"/>
      <c r="E409" s="32"/>
      <c r="F409" s="32"/>
      <c r="G409" s="32"/>
      <c r="H409" s="32"/>
    </row>
    <row r="410" ht="15.75" customHeight="1">
      <c r="A410" s="32"/>
      <c r="C410" s="32"/>
      <c r="D410" s="32"/>
      <c r="E410" s="32"/>
      <c r="F410" s="32"/>
      <c r="G410" s="32"/>
      <c r="H410" s="32"/>
    </row>
    <row r="411" ht="15.75" customHeight="1">
      <c r="A411" s="32"/>
      <c r="C411" s="32"/>
      <c r="D411" s="32"/>
      <c r="E411" s="32"/>
      <c r="F411" s="32"/>
      <c r="G411" s="32"/>
      <c r="H411" s="32"/>
    </row>
    <row r="412" ht="15.75" customHeight="1">
      <c r="A412" s="32"/>
      <c r="C412" s="32"/>
      <c r="D412" s="32"/>
      <c r="E412" s="32"/>
      <c r="F412" s="32"/>
      <c r="G412" s="32"/>
      <c r="H412" s="32"/>
    </row>
    <row r="413" ht="15.75" customHeight="1">
      <c r="A413" s="32"/>
      <c r="C413" s="32"/>
      <c r="D413" s="32"/>
      <c r="E413" s="32"/>
      <c r="F413" s="32"/>
      <c r="G413" s="32"/>
      <c r="H413" s="32"/>
    </row>
    <row r="414" ht="15.75" customHeight="1">
      <c r="A414" s="32"/>
      <c r="C414" s="32"/>
      <c r="D414" s="32"/>
      <c r="E414" s="32"/>
      <c r="F414" s="32"/>
      <c r="G414" s="32"/>
      <c r="H414" s="32"/>
    </row>
    <row r="415" ht="15.75" customHeight="1">
      <c r="A415" s="32"/>
      <c r="C415" s="32"/>
      <c r="D415" s="32"/>
      <c r="E415" s="32"/>
      <c r="F415" s="32"/>
      <c r="G415" s="32"/>
      <c r="H415" s="32"/>
    </row>
    <row r="416" ht="15.75" customHeight="1">
      <c r="A416" s="32"/>
      <c r="C416" s="32"/>
      <c r="D416" s="32"/>
      <c r="E416" s="32"/>
      <c r="F416" s="32"/>
      <c r="G416" s="32"/>
      <c r="H416" s="32"/>
    </row>
    <row r="417" ht="15.75" customHeight="1">
      <c r="A417" s="32"/>
      <c r="C417" s="32"/>
      <c r="D417" s="32"/>
      <c r="E417" s="32"/>
      <c r="F417" s="32"/>
      <c r="G417" s="32"/>
      <c r="H417" s="32"/>
    </row>
    <row r="418" ht="15.75" customHeight="1">
      <c r="A418" s="32"/>
      <c r="C418" s="32"/>
      <c r="D418" s="32"/>
      <c r="E418" s="32"/>
      <c r="F418" s="32"/>
      <c r="G418" s="32"/>
      <c r="H418" s="32"/>
    </row>
    <row r="419" ht="15.75" customHeight="1">
      <c r="A419" s="32"/>
      <c r="C419" s="32"/>
      <c r="D419" s="32"/>
      <c r="E419" s="32"/>
      <c r="F419" s="32"/>
      <c r="G419" s="32"/>
      <c r="H419" s="32"/>
    </row>
    <row r="420" ht="15.75" customHeight="1">
      <c r="A420" s="32"/>
      <c r="C420" s="32"/>
      <c r="D420" s="32"/>
      <c r="E420" s="32"/>
      <c r="F420" s="32"/>
      <c r="G420" s="32"/>
      <c r="H420" s="32"/>
    </row>
    <row r="421" ht="15.75" customHeight="1">
      <c r="A421" s="32"/>
      <c r="C421" s="32"/>
      <c r="D421" s="32"/>
      <c r="E421" s="32"/>
      <c r="F421" s="32"/>
      <c r="G421" s="32"/>
      <c r="H421" s="32"/>
    </row>
    <row r="422" ht="15.75" customHeight="1">
      <c r="A422" s="32"/>
      <c r="C422" s="32"/>
      <c r="D422" s="32"/>
      <c r="E422" s="32"/>
      <c r="F422" s="32"/>
      <c r="G422" s="32"/>
      <c r="H422" s="32"/>
    </row>
    <row r="423" ht="15.75" customHeight="1">
      <c r="A423" s="32"/>
      <c r="C423" s="32"/>
      <c r="D423" s="32"/>
      <c r="E423" s="32"/>
      <c r="F423" s="32"/>
      <c r="G423" s="32"/>
      <c r="H423" s="32"/>
    </row>
    <row r="424" ht="15.75" customHeight="1">
      <c r="A424" s="32"/>
      <c r="C424" s="32"/>
      <c r="D424" s="32"/>
      <c r="E424" s="32"/>
      <c r="F424" s="32"/>
      <c r="G424" s="32"/>
      <c r="H424" s="32"/>
    </row>
    <row r="425" ht="15.75" customHeight="1">
      <c r="A425" s="32"/>
      <c r="C425" s="32"/>
      <c r="D425" s="32"/>
      <c r="E425" s="32"/>
      <c r="F425" s="32"/>
      <c r="G425" s="32"/>
      <c r="H425" s="32"/>
    </row>
    <row r="426" ht="15.75" customHeight="1">
      <c r="A426" s="32"/>
      <c r="C426" s="32"/>
      <c r="D426" s="32"/>
      <c r="E426" s="32"/>
      <c r="F426" s="32"/>
      <c r="G426" s="32"/>
      <c r="H426" s="32"/>
    </row>
    <row r="427" ht="15.75" customHeight="1">
      <c r="A427" s="32"/>
      <c r="C427" s="32"/>
      <c r="D427" s="32"/>
      <c r="E427" s="32"/>
      <c r="F427" s="32"/>
      <c r="G427" s="32"/>
      <c r="H427" s="32"/>
    </row>
    <row r="428" ht="15.75" customHeight="1">
      <c r="A428" s="32"/>
      <c r="C428" s="32"/>
      <c r="D428" s="32"/>
      <c r="E428" s="32"/>
      <c r="F428" s="32"/>
      <c r="G428" s="32"/>
      <c r="H428" s="32"/>
    </row>
    <row r="429" ht="15.75" customHeight="1">
      <c r="A429" s="32"/>
      <c r="C429" s="32"/>
      <c r="D429" s="32"/>
      <c r="E429" s="32"/>
      <c r="F429" s="32"/>
      <c r="G429" s="32"/>
      <c r="H429" s="32"/>
    </row>
    <row r="430" ht="15.75" customHeight="1">
      <c r="A430" s="32"/>
      <c r="C430" s="32"/>
      <c r="D430" s="32"/>
      <c r="E430" s="32"/>
      <c r="F430" s="32"/>
      <c r="G430" s="32"/>
      <c r="H430" s="32"/>
    </row>
    <row r="431" ht="15.75" customHeight="1">
      <c r="A431" s="32"/>
      <c r="C431" s="32"/>
      <c r="D431" s="32"/>
      <c r="E431" s="32"/>
      <c r="F431" s="32"/>
      <c r="G431" s="32"/>
      <c r="H431" s="32"/>
    </row>
    <row r="432" ht="15.75" customHeight="1">
      <c r="A432" s="32"/>
      <c r="C432" s="32"/>
      <c r="D432" s="32"/>
      <c r="E432" s="32"/>
      <c r="F432" s="32"/>
      <c r="G432" s="32"/>
      <c r="H432" s="32"/>
    </row>
    <row r="433" ht="15.75" customHeight="1">
      <c r="A433" s="32"/>
      <c r="C433" s="32"/>
      <c r="D433" s="32"/>
      <c r="E433" s="32"/>
      <c r="F433" s="32"/>
      <c r="G433" s="32"/>
      <c r="H433" s="32"/>
    </row>
    <row r="434" ht="15.75" customHeight="1">
      <c r="A434" s="32"/>
      <c r="C434" s="32"/>
      <c r="D434" s="32"/>
      <c r="E434" s="32"/>
      <c r="F434" s="32"/>
      <c r="G434" s="32"/>
      <c r="H434" s="32"/>
    </row>
    <row r="435" ht="15.75" customHeight="1">
      <c r="A435" s="32"/>
      <c r="C435" s="32"/>
      <c r="D435" s="32"/>
      <c r="E435" s="32"/>
      <c r="F435" s="32"/>
      <c r="G435" s="32"/>
      <c r="H435" s="32"/>
    </row>
    <row r="436" ht="15.75" customHeight="1">
      <c r="A436" s="32"/>
      <c r="C436" s="32"/>
      <c r="D436" s="32"/>
      <c r="E436" s="32"/>
      <c r="F436" s="32"/>
      <c r="G436" s="32"/>
      <c r="H436" s="32"/>
    </row>
    <row r="437" ht="15.75" customHeight="1">
      <c r="A437" s="32"/>
      <c r="C437" s="32"/>
      <c r="D437" s="32"/>
      <c r="E437" s="32"/>
      <c r="F437" s="32"/>
      <c r="G437" s="32"/>
      <c r="H437" s="32"/>
    </row>
    <row r="438" ht="15.75" customHeight="1">
      <c r="A438" s="32"/>
      <c r="C438" s="32"/>
      <c r="D438" s="32"/>
      <c r="E438" s="32"/>
      <c r="F438" s="32"/>
      <c r="G438" s="32"/>
      <c r="H438" s="32"/>
    </row>
    <row r="439" ht="15.75" customHeight="1">
      <c r="A439" s="32"/>
      <c r="C439" s="32"/>
      <c r="D439" s="32"/>
      <c r="E439" s="32"/>
      <c r="F439" s="32"/>
      <c r="G439" s="32"/>
      <c r="H439" s="32"/>
    </row>
    <row r="440" ht="15.75" customHeight="1">
      <c r="A440" s="32"/>
      <c r="C440" s="32"/>
      <c r="D440" s="32"/>
      <c r="E440" s="32"/>
      <c r="F440" s="32"/>
      <c r="G440" s="32"/>
      <c r="H440" s="32"/>
    </row>
    <row r="441" ht="15.75" customHeight="1">
      <c r="A441" s="32"/>
      <c r="C441" s="32"/>
      <c r="D441" s="32"/>
      <c r="E441" s="32"/>
      <c r="F441" s="32"/>
      <c r="G441" s="32"/>
      <c r="H441" s="32"/>
    </row>
    <row r="442" ht="15.75" customHeight="1">
      <c r="A442" s="32"/>
      <c r="C442" s="32"/>
      <c r="D442" s="32"/>
      <c r="E442" s="32"/>
      <c r="F442" s="32"/>
      <c r="G442" s="32"/>
      <c r="H442" s="32"/>
    </row>
    <row r="443" ht="15.75" customHeight="1">
      <c r="A443" s="32"/>
      <c r="C443" s="32"/>
      <c r="D443" s="32"/>
      <c r="E443" s="32"/>
      <c r="F443" s="32"/>
      <c r="G443" s="32"/>
      <c r="H443" s="32"/>
    </row>
    <row r="444" ht="15.75" customHeight="1">
      <c r="A444" s="32"/>
      <c r="C444" s="32"/>
      <c r="D444" s="32"/>
      <c r="E444" s="32"/>
      <c r="F444" s="32"/>
      <c r="G444" s="32"/>
      <c r="H444" s="32"/>
    </row>
    <row r="445" ht="15.75" customHeight="1">
      <c r="A445" s="32"/>
      <c r="C445" s="32"/>
      <c r="D445" s="32"/>
      <c r="E445" s="32"/>
      <c r="F445" s="32"/>
      <c r="G445" s="32"/>
      <c r="H445" s="32"/>
    </row>
    <row r="446" ht="15.75" customHeight="1">
      <c r="A446" s="32"/>
      <c r="C446" s="32"/>
      <c r="D446" s="32"/>
      <c r="E446" s="32"/>
      <c r="F446" s="32"/>
      <c r="G446" s="32"/>
      <c r="H446" s="32"/>
    </row>
    <row r="447" ht="15.75" customHeight="1">
      <c r="A447" s="32"/>
      <c r="C447" s="32"/>
      <c r="D447" s="32"/>
      <c r="E447" s="32"/>
      <c r="F447" s="32"/>
      <c r="G447" s="32"/>
      <c r="H447" s="32"/>
    </row>
    <row r="448" ht="15.75" customHeight="1">
      <c r="A448" s="32"/>
      <c r="C448" s="32"/>
      <c r="D448" s="32"/>
      <c r="E448" s="32"/>
      <c r="F448" s="32"/>
      <c r="G448" s="32"/>
      <c r="H448" s="32"/>
    </row>
    <row r="449" ht="15.75" customHeight="1">
      <c r="A449" s="32"/>
      <c r="C449" s="32"/>
      <c r="D449" s="32"/>
      <c r="E449" s="32"/>
      <c r="F449" s="32"/>
      <c r="G449" s="32"/>
      <c r="H449" s="32"/>
    </row>
    <row r="450" ht="15.75" customHeight="1">
      <c r="A450" s="32"/>
      <c r="C450" s="32"/>
      <c r="D450" s="32"/>
      <c r="E450" s="32"/>
      <c r="F450" s="32"/>
      <c r="G450" s="32"/>
      <c r="H450" s="32"/>
    </row>
    <row r="451" ht="15.75" customHeight="1">
      <c r="A451" s="32"/>
      <c r="C451" s="32"/>
      <c r="D451" s="32"/>
      <c r="E451" s="32"/>
      <c r="F451" s="32"/>
      <c r="G451" s="32"/>
      <c r="H451" s="32"/>
    </row>
    <row r="452" ht="15.75" customHeight="1">
      <c r="A452" s="32"/>
      <c r="C452" s="32"/>
      <c r="D452" s="32"/>
      <c r="E452" s="32"/>
      <c r="F452" s="32"/>
      <c r="G452" s="32"/>
      <c r="H452" s="32"/>
    </row>
    <row r="453" ht="15.75" customHeight="1">
      <c r="A453" s="32"/>
      <c r="C453" s="32"/>
      <c r="D453" s="32"/>
      <c r="E453" s="32"/>
      <c r="F453" s="32"/>
      <c r="G453" s="32"/>
      <c r="H453" s="32"/>
    </row>
    <row r="454" ht="15.75" customHeight="1">
      <c r="A454" s="32"/>
      <c r="C454" s="32"/>
      <c r="D454" s="32"/>
      <c r="E454" s="32"/>
      <c r="F454" s="32"/>
      <c r="G454" s="32"/>
      <c r="H454" s="32"/>
    </row>
    <row r="455" ht="15.75" customHeight="1">
      <c r="A455" s="32"/>
      <c r="C455" s="32"/>
      <c r="D455" s="32"/>
      <c r="E455" s="32"/>
      <c r="F455" s="32"/>
      <c r="G455" s="32"/>
      <c r="H455" s="32"/>
    </row>
    <row r="456" ht="15.75" customHeight="1">
      <c r="A456" s="32"/>
      <c r="C456" s="32"/>
      <c r="D456" s="32"/>
      <c r="E456" s="32"/>
      <c r="F456" s="32"/>
      <c r="G456" s="32"/>
      <c r="H456" s="32"/>
    </row>
    <row r="457" ht="15.75" customHeight="1">
      <c r="A457" s="32"/>
      <c r="C457" s="32"/>
      <c r="D457" s="32"/>
      <c r="E457" s="32"/>
      <c r="F457" s="32"/>
      <c r="G457" s="32"/>
      <c r="H457" s="32"/>
    </row>
    <row r="458" ht="15.75" customHeight="1">
      <c r="A458" s="32"/>
      <c r="C458" s="32"/>
      <c r="D458" s="32"/>
      <c r="E458" s="32"/>
      <c r="F458" s="32"/>
      <c r="G458" s="32"/>
      <c r="H458" s="32"/>
    </row>
    <row r="459" ht="15.75" customHeight="1">
      <c r="A459" s="32"/>
      <c r="C459" s="32"/>
      <c r="D459" s="32"/>
      <c r="E459" s="32"/>
      <c r="F459" s="32"/>
      <c r="G459" s="32"/>
      <c r="H459" s="32"/>
    </row>
    <row r="460" ht="15.75" customHeight="1">
      <c r="A460" s="32"/>
      <c r="C460" s="32"/>
      <c r="D460" s="32"/>
      <c r="E460" s="32"/>
      <c r="F460" s="32"/>
      <c r="G460" s="32"/>
      <c r="H460" s="32"/>
    </row>
    <row r="461" ht="15.75" customHeight="1">
      <c r="A461" s="32"/>
      <c r="C461" s="32"/>
      <c r="D461" s="32"/>
      <c r="E461" s="32"/>
      <c r="F461" s="32"/>
      <c r="G461" s="32"/>
      <c r="H461" s="32"/>
    </row>
    <row r="462" ht="15.75" customHeight="1">
      <c r="A462" s="32"/>
      <c r="C462" s="32"/>
      <c r="D462" s="32"/>
      <c r="E462" s="32"/>
      <c r="F462" s="32"/>
      <c r="G462" s="32"/>
      <c r="H462" s="32"/>
    </row>
    <row r="463" ht="15.75" customHeight="1">
      <c r="A463" s="32"/>
      <c r="C463" s="32"/>
      <c r="D463" s="32"/>
      <c r="E463" s="32"/>
      <c r="F463" s="32"/>
      <c r="G463" s="32"/>
      <c r="H463" s="32"/>
    </row>
    <row r="464" ht="15.75" customHeight="1">
      <c r="A464" s="32"/>
      <c r="C464" s="32"/>
      <c r="D464" s="32"/>
      <c r="E464" s="32"/>
      <c r="F464" s="32"/>
      <c r="G464" s="32"/>
      <c r="H464" s="32"/>
    </row>
    <row r="465" ht="15.75" customHeight="1">
      <c r="A465" s="32"/>
      <c r="C465" s="32"/>
      <c r="D465" s="32"/>
      <c r="E465" s="32"/>
      <c r="F465" s="32"/>
      <c r="G465" s="32"/>
      <c r="H465" s="32"/>
    </row>
    <row r="466" ht="15.75" customHeight="1">
      <c r="A466" s="32"/>
      <c r="C466" s="32"/>
      <c r="D466" s="32"/>
      <c r="E466" s="32"/>
      <c r="F466" s="32"/>
      <c r="G466" s="32"/>
      <c r="H466" s="32"/>
    </row>
    <row r="467" ht="15.75" customHeight="1">
      <c r="A467" s="32"/>
      <c r="C467" s="32"/>
      <c r="D467" s="32"/>
      <c r="E467" s="32"/>
      <c r="F467" s="32"/>
      <c r="G467" s="32"/>
      <c r="H467" s="32"/>
    </row>
    <row r="468" ht="15.75" customHeight="1">
      <c r="A468" s="32"/>
      <c r="C468" s="32"/>
      <c r="D468" s="32"/>
      <c r="E468" s="32"/>
      <c r="F468" s="32"/>
      <c r="G468" s="32"/>
      <c r="H468" s="32"/>
    </row>
    <row r="469" ht="15.75" customHeight="1">
      <c r="A469" s="32"/>
      <c r="C469" s="32"/>
      <c r="D469" s="32"/>
      <c r="E469" s="32"/>
      <c r="F469" s="32"/>
      <c r="G469" s="32"/>
      <c r="H469" s="32"/>
    </row>
    <row r="470" ht="15.75" customHeight="1">
      <c r="A470" s="32"/>
      <c r="C470" s="32"/>
      <c r="D470" s="32"/>
      <c r="E470" s="32"/>
      <c r="F470" s="32"/>
      <c r="G470" s="32"/>
      <c r="H470" s="32"/>
    </row>
    <row r="471" ht="15.75" customHeight="1">
      <c r="A471" s="32"/>
      <c r="C471" s="32"/>
      <c r="D471" s="32"/>
      <c r="E471" s="32"/>
      <c r="F471" s="32"/>
      <c r="G471" s="32"/>
      <c r="H471" s="32"/>
    </row>
    <row r="472" ht="15.75" customHeight="1">
      <c r="A472" s="32"/>
      <c r="C472" s="32"/>
      <c r="D472" s="32"/>
      <c r="E472" s="32"/>
      <c r="F472" s="32"/>
      <c r="G472" s="32"/>
      <c r="H472" s="32"/>
    </row>
    <row r="473" ht="15.75" customHeight="1">
      <c r="A473" s="32"/>
      <c r="C473" s="32"/>
      <c r="D473" s="32"/>
      <c r="E473" s="32"/>
      <c r="F473" s="32"/>
      <c r="G473" s="32"/>
      <c r="H473" s="32"/>
    </row>
    <row r="474" ht="15.75" customHeight="1">
      <c r="A474" s="32"/>
      <c r="C474" s="32"/>
      <c r="D474" s="32"/>
      <c r="E474" s="32"/>
      <c r="F474" s="32"/>
      <c r="G474" s="32"/>
      <c r="H474" s="32"/>
    </row>
    <row r="475" ht="15.75" customHeight="1">
      <c r="A475" s="32"/>
      <c r="C475" s="32"/>
      <c r="D475" s="32"/>
      <c r="E475" s="32"/>
      <c r="F475" s="32"/>
      <c r="G475" s="32"/>
      <c r="H475" s="32"/>
    </row>
    <row r="476" ht="15.75" customHeight="1">
      <c r="A476" s="32"/>
      <c r="C476" s="32"/>
      <c r="D476" s="32"/>
      <c r="E476" s="32"/>
      <c r="F476" s="32"/>
      <c r="G476" s="32"/>
      <c r="H476" s="32"/>
    </row>
    <row r="477" ht="15.75" customHeight="1">
      <c r="A477" s="32"/>
      <c r="C477" s="32"/>
      <c r="D477" s="32"/>
      <c r="E477" s="32"/>
      <c r="F477" s="32"/>
      <c r="G477" s="32"/>
      <c r="H477" s="32"/>
    </row>
    <row r="478" ht="15.75" customHeight="1">
      <c r="A478" s="32"/>
      <c r="C478" s="32"/>
      <c r="D478" s="32"/>
      <c r="E478" s="32"/>
      <c r="F478" s="32"/>
      <c r="G478" s="32"/>
      <c r="H478" s="32"/>
    </row>
    <row r="479" ht="15.75" customHeight="1">
      <c r="A479" s="32"/>
      <c r="C479" s="32"/>
      <c r="D479" s="32"/>
      <c r="E479" s="32"/>
      <c r="F479" s="32"/>
      <c r="G479" s="32"/>
      <c r="H479" s="32"/>
    </row>
    <row r="480" ht="15.75" customHeight="1">
      <c r="A480" s="32"/>
      <c r="C480" s="32"/>
      <c r="D480" s="32"/>
      <c r="E480" s="32"/>
      <c r="F480" s="32"/>
      <c r="G480" s="32"/>
      <c r="H480" s="32"/>
    </row>
    <row r="481" ht="15.75" customHeight="1">
      <c r="A481" s="32"/>
      <c r="C481" s="32"/>
      <c r="D481" s="32"/>
      <c r="E481" s="32"/>
      <c r="F481" s="32"/>
      <c r="G481" s="32"/>
      <c r="H481" s="32"/>
    </row>
    <row r="482" ht="15.75" customHeight="1">
      <c r="A482" s="32"/>
      <c r="C482" s="32"/>
      <c r="D482" s="32"/>
      <c r="E482" s="32"/>
      <c r="F482" s="32"/>
      <c r="G482" s="32"/>
      <c r="H482" s="32"/>
    </row>
    <row r="483" ht="15.75" customHeight="1">
      <c r="A483" s="32"/>
      <c r="C483" s="32"/>
      <c r="D483" s="32"/>
      <c r="E483" s="32"/>
      <c r="F483" s="32"/>
      <c r="G483" s="32"/>
      <c r="H483" s="32"/>
    </row>
    <row r="484" ht="15.75" customHeight="1">
      <c r="A484" s="32"/>
      <c r="C484" s="32"/>
      <c r="D484" s="32"/>
      <c r="E484" s="32"/>
      <c r="F484" s="32"/>
      <c r="G484" s="32"/>
      <c r="H484" s="32"/>
    </row>
    <row r="485" ht="15.75" customHeight="1">
      <c r="A485" s="32"/>
      <c r="C485" s="32"/>
      <c r="D485" s="32"/>
      <c r="E485" s="32"/>
      <c r="F485" s="32"/>
      <c r="G485" s="32"/>
      <c r="H485" s="32"/>
    </row>
    <row r="486" ht="15.75" customHeight="1">
      <c r="A486" s="32"/>
      <c r="C486" s="32"/>
      <c r="D486" s="32"/>
      <c r="E486" s="32"/>
      <c r="F486" s="32"/>
      <c r="G486" s="32"/>
      <c r="H486" s="32"/>
    </row>
    <row r="487" ht="15.75" customHeight="1">
      <c r="A487" s="32"/>
      <c r="C487" s="32"/>
      <c r="D487" s="32"/>
      <c r="E487" s="32"/>
      <c r="F487" s="32"/>
      <c r="G487" s="32"/>
      <c r="H487" s="32"/>
    </row>
    <row r="488" ht="15.75" customHeight="1">
      <c r="A488" s="32"/>
      <c r="C488" s="32"/>
      <c r="D488" s="32"/>
      <c r="E488" s="32"/>
      <c r="F488" s="32"/>
      <c r="G488" s="32"/>
      <c r="H488" s="32"/>
    </row>
    <row r="489" ht="15.75" customHeight="1">
      <c r="A489" s="32"/>
      <c r="C489" s="32"/>
      <c r="D489" s="32"/>
      <c r="E489" s="32"/>
      <c r="F489" s="32"/>
      <c r="G489" s="32"/>
      <c r="H489" s="32"/>
    </row>
    <row r="490" ht="15.75" customHeight="1">
      <c r="A490" s="32"/>
      <c r="C490" s="32"/>
      <c r="D490" s="32"/>
      <c r="E490" s="32"/>
      <c r="F490" s="32"/>
      <c r="G490" s="32"/>
      <c r="H490" s="32"/>
    </row>
    <row r="491" ht="15.75" customHeight="1">
      <c r="A491" s="32"/>
      <c r="C491" s="32"/>
      <c r="D491" s="32"/>
      <c r="E491" s="32"/>
      <c r="F491" s="32"/>
      <c r="G491" s="32"/>
      <c r="H491" s="32"/>
    </row>
    <row r="492" ht="15.75" customHeight="1">
      <c r="A492" s="32"/>
      <c r="C492" s="32"/>
      <c r="D492" s="32"/>
      <c r="E492" s="32"/>
      <c r="F492" s="32"/>
      <c r="G492" s="32"/>
      <c r="H492" s="32"/>
    </row>
    <row r="493" ht="15.75" customHeight="1">
      <c r="A493" s="32"/>
      <c r="C493" s="32"/>
      <c r="D493" s="32"/>
      <c r="E493" s="32"/>
      <c r="F493" s="32"/>
      <c r="G493" s="32"/>
      <c r="H493" s="32"/>
    </row>
    <row r="494" ht="15.75" customHeight="1">
      <c r="A494" s="32"/>
      <c r="C494" s="32"/>
      <c r="D494" s="32"/>
      <c r="E494" s="32"/>
      <c r="F494" s="32"/>
      <c r="G494" s="32"/>
      <c r="H494" s="32"/>
    </row>
    <row r="495" ht="15.75" customHeight="1">
      <c r="A495" s="32"/>
      <c r="C495" s="32"/>
      <c r="D495" s="32"/>
      <c r="E495" s="32"/>
      <c r="F495" s="32"/>
      <c r="G495" s="32"/>
      <c r="H495" s="32"/>
    </row>
    <row r="496" ht="15.75" customHeight="1">
      <c r="A496" s="32"/>
      <c r="C496" s="32"/>
      <c r="D496" s="32"/>
      <c r="E496" s="32"/>
      <c r="F496" s="32"/>
      <c r="G496" s="32"/>
      <c r="H496" s="32"/>
    </row>
    <row r="497" ht="15.75" customHeight="1">
      <c r="A497" s="32"/>
      <c r="C497" s="32"/>
      <c r="D497" s="32"/>
      <c r="E497" s="32"/>
      <c r="F497" s="32"/>
      <c r="G497" s="32"/>
      <c r="H497" s="32"/>
    </row>
    <row r="498" ht="15.75" customHeight="1">
      <c r="A498" s="32"/>
      <c r="C498" s="32"/>
      <c r="D498" s="32"/>
      <c r="E498" s="32"/>
      <c r="F498" s="32"/>
      <c r="G498" s="32"/>
      <c r="H498" s="32"/>
    </row>
    <row r="499" ht="15.75" customHeight="1">
      <c r="A499" s="32"/>
      <c r="C499" s="32"/>
      <c r="D499" s="32"/>
      <c r="E499" s="32"/>
      <c r="F499" s="32"/>
      <c r="G499" s="32"/>
      <c r="H499" s="32"/>
    </row>
    <row r="500" ht="15.75" customHeight="1">
      <c r="A500" s="32"/>
      <c r="C500" s="32"/>
      <c r="D500" s="32"/>
      <c r="E500" s="32"/>
      <c r="F500" s="32"/>
      <c r="G500" s="32"/>
      <c r="H500" s="32"/>
    </row>
    <row r="501" ht="15.75" customHeight="1">
      <c r="A501" s="32"/>
      <c r="C501" s="32"/>
      <c r="D501" s="32"/>
      <c r="E501" s="32"/>
      <c r="F501" s="32"/>
      <c r="G501" s="32"/>
      <c r="H501" s="32"/>
    </row>
    <row r="502" ht="15.75" customHeight="1">
      <c r="A502" s="32"/>
      <c r="C502" s="32"/>
      <c r="D502" s="32"/>
      <c r="E502" s="32"/>
      <c r="F502" s="32"/>
      <c r="G502" s="32"/>
      <c r="H502" s="32"/>
    </row>
    <row r="503" ht="15.75" customHeight="1">
      <c r="A503" s="32"/>
      <c r="C503" s="32"/>
      <c r="D503" s="32"/>
      <c r="E503" s="32"/>
      <c r="F503" s="32"/>
      <c r="G503" s="32"/>
      <c r="H503" s="32"/>
    </row>
    <row r="504" ht="15.75" customHeight="1">
      <c r="A504" s="32"/>
      <c r="C504" s="32"/>
      <c r="D504" s="32"/>
      <c r="E504" s="32"/>
      <c r="F504" s="32"/>
      <c r="G504" s="32"/>
      <c r="H504" s="32"/>
    </row>
    <row r="505" ht="15.75" customHeight="1">
      <c r="A505" s="32"/>
      <c r="C505" s="32"/>
      <c r="D505" s="32"/>
      <c r="E505" s="32"/>
      <c r="F505" s="32"/>
      <c r="G505" s="32"/>
      <c r="H505" s="32"/>
    </row>
    <row r="506" ht="15.75" customHeight="1">
      <c r="A506" s="32"/>
      <c r="C506" s="32"/>
      <c r="D506" s="32"/>
      <c r="E506" s="32"/>
      <c r="F506" s="32"/>
      <c r="G506" s="32"/>
      <c r="H506" s="32"/>
    </row>
    <row r="507" ht="15.75" customHeight="1">
      <c r="A507" s="32"/>
      <c r="C507" s="32"/>
      <c r="D507" s="32"/>
      <c r="E507" s="32"/>
      <c r="F507" s="32"/>
      <c r="G507" s="32"/>
      <c r="H507" s="32"/>
    </row>
    <row r="508" ht="15.75" customHeight="1">
      <c r="A508" s="32"/>
      <c r="C508" s="32"/>
      <c r="D508" s="32"/>
      <c r="E508" s="32"/>
      <c r="F508" s="32"/>
      <c r="G508" s="32"/>
      <c r="H508" s="32"/>
    </row>
    <row r="509" ht="15.75" customHeight="1">
      <c r="A509" s="32"/>
      <c r="C509" s="32"/>
      <c r="D509" s="32"/>
      <c r="E509" s="32"/>
      <c r="F509" s="32"/>
      <c r="G509" s="32"/>
      <c r="H509" s="32"/>
    </row>
    <row r="510" ht="15.75" customHeight="1">
      <c r="A510" s="32"/>
      <c r="C510" s="32"/>
      <c r="D510" s="32"/>
      <c r="E510" s="32"/>
      <c r="F510" s="32"/>
      <c r="G510" s="32"/>
      <c r="H510" s="32"/>
    </row>
    <row r="511" ht="15.75" customHeight="1">
      <c r="A511" s="32"/>
      <c r="C511" s="32"/>
      <c r="D511" s="32"/>
      <c r="E511" s="32"/>
      <c r="F511" s="32"/>
      <c r="G511" s="32"/>
      <c r="H511" s="32"/>
    </row>
    <row r="512" ht="15.75" customHeight="1">
      <c r="A512" s="32"/>
      <c r="C512" s="32"/>
      <c r="D512" s="32"/>
      <c r="E512" s="32"/>
      <c r="F512" s="32"/>
      <c r="G512" s="32"/>
      <c r="H512" s="32"/>
    </row>
    <row r="513" ht="15.75" customHeight="1">
      <c r="A513" s="32"/>
      <c r="C513" s="32"/>
      <c r="D513" s="32"/>
      <c r="E513" s="32"/>
      <c r="F513" s="32"/>
      <c r="G513" s="32"/>
      <c r="H513" s="32"/>
    </row>
    <row r="514" ht="15.75" customHeight="1">
      <c r="A514" s="32"/>
      <c r="C514" s="32"/>
      <c r="D514" s="32"/>
      <c r="E514" s="32"/>
      <c r="F514" s="32"/>
      <c r="G514" s="32"/>
      <c r="H514" s="32"/>
    </row>
    <row r="515" ht="15.75" customHeight="1">
      <c r="A515" s="32"/>
      <c r="C515" s="32"/>
      <c r="D515" s="32"/>
      <c r="E515" s="32"/>
      <c r="F515" s="32"/>
      <c r="G515" s="32"/>
      <c r="H515" s="32"/>
    </row>
    <row r="516" ht="15.75" customHeight="1">
      <c r="A516" s="32"/>
      <c r="C516" s="32"/>
      <c r="D516" s="32"/>
      <c r="E516" s="32"/>
      <c r="F516" s="32"/>
      <c r="G516" s="32"/>
      <c r="H516" s="32"/>
    </row>
    <row r="517" ht="15.75" customHeight="1">
      <c r="A517" s="32"/>
      <c r="C517" s="32"/>
      <c r="D517" s="32"/>
      <c r="E517" s="32"/>
      <c r="F517" s="32"/>
      <c r="G517" s="32"/>
      <c r="H517" s="32"/>
    </row>
    <row r="518" ht="15.75" customHeight="1">
      <c r="A518" s="32"/>
      <c r="C518" s="32"/>
      <c r="D518" s="32"/>
      <c r="E518" s="32"/>
      <c r="F518" s="32"/>
      <c r="G518" s="32"/>
      <c r="H518" s="32"/>
    </row>
    <row r="519" ht="15.75" customHeight="1">
      <c r="A519" s="32"/>
      <c r="C519" s="32"/>
      <c r="D519" s="32"/>
      <c r="E519" s="32"/>
      <c r="F519" s="32"/>
      <c r="G519" s="32"/>
      <c r="H519" s="32"/>
    </row>
    <row r="520" ht="15.75" customHeight="1">
      <c r="A520" s="32"/>
      <c r="C520" s="32"/>
      <c r="D520" s="32"/>
      <c r="E520" s="32"/>
      <c r="F520" s="32"/>
      <c r="G520" s="32"/>
      <c r="H520" s="32"/>
    </row>
    <row r="521" ht="15.75" customHeight="1">
      <c r="A521" s="32"/>
      <c r="C521" s="32"/>
      <c r="D521" s="32"/>
      <c r="E521" s="32"/>
      <c r="F521" s="32"/>
      <c r="G521" s="32"/>
      <c r="H521" s="32"/>
    </row>
    <row r="522" ht="15.75" customHeight="1">
      <c r="A522" s="32"/>
      <c r="C522" s="32"/>
      <c r="D522" s="32"/>
      <c r="E522" s="32"/>
      <c r="F522" s="32"/>
      <c r="G522" s="32"/>
      <c r="H522" s="32"/>
    </row>
    <row r="523" ht="15.75" customHeight="1">
      <c r="A523" s="32"/>
      <c r="C523" s="32"/>
      <c r="D523" s="32"/>
      <c r="E523" s="32"/>
      <c r="F523" s="32"/>
      <c r="G523" s="32"/>
      <c r="H523" s="32"/>
    </row>
    <row r="524" ht="15.75" customHeight="1">
      <c r="A524" s="32"/>
      <c r="C524" s="32"/>
      <c r="D524" s="32"/>
      <c r="E524" s="32"/>
      <c r="F524" s="32"/>
      <c r="G524" s="32"/>
      <c r="H524" s="32"/>
    </row>
    <row r="525" ht="15.75" customHeight="1">
      <c r="A525" s="32"/>
      <c r="C525" s="32"/>
      <c r="D525" s="32"/>
      <c r="E525" s="32"/>
      <c r="F525" s="32"/>
      <c r="G525" s="32"/>
      <c r="H525" s="32"/>
    </row>
    <row r="526" ht="15.75" customHeight="1">
      <c r="A526" s="32"/>
      <c r="C526" s="32"/>
      <c r="D526" s="32"/>
      <c r="E526" s="32"/>
      <c r="F526" s="32"/>
      <c r="G526" s="32"/>
      <c r="H526" s="32"/>
    </row>
    <row r="527" ht="15.75" customHeight="1">
      <c r="A527" s="32"/>
      <c r="C527" s="32"/>
      <c r="D527" s="32"/>
      <c r="E527" s="32"/>
      <c r="F527" s="32"/>
      <c r="G527" s="32"/>
      <c r="H527" s="32"/>
    </row>
    <row r="528" ht="15.75" customHeight="1">
      <c r="A528" s="32"/>
      <c r="C528" s="32"/>
      <c r="D528" s="32"/>
      <c r="E528" s="32"/>
      <c r="F528" s="32"/>
      <c r="G528" s="32"/>
      <c r="H528" s="32"/>
    </row>
    <row r="529" ht="15.75" customHeight="1">
      <c r="A529" s="32"/>
      <c r="C529" s="32"/>
      <c r="D529" s="32"/>
      <c r="E529" s="32"/>
      <c r="F529" s="32"/>
      <c r="G529" s="32"/>
      <c r="H529" s="32"/>
    </row>
    <row r="530" ht="15.75" customHeight="1">
      <c r="A530" s="32"/>
      <c r="C530" s="32"/>
      <c r="D530" s="32"/>
      <c r="E530" s="32"/>
      <c r="F530" s="32"/>
      <c r="G530" s="32"/>
      <c r="H530" s="32"/>
    </row>
    <row r="531" ht="15.75" customHeight="1">
      <c r="A531" s="32"/>
      <c r="C531" s="32"/>
      <c r="D531" s="32"/>
      <c r="E531" s="32"/>
      <c r="F531" s="32"/>
      <c r="G531" s="32"/>
      <c r="H531" s="32"/>
    </row>
    <row r="532" ht="15.75" customHeight="1">
      <c r="A532" s="32"/>
      <c r="C532" s="32"/>
      <c r="D532" s="32"/>
      <c r="E532" s="32"/>
      <c r="F532" s="32"/>
      <c r="G532" s="32"/>
      <c r="H532" s="32"/>
    </row>
    <row r="533" ht="15.75" customHeight="1">
      <c r="A533" s="32"/>
      <c r="C533" s="32"/>
      <c r="D533" s="32"/>
      <c r="E533" s="32"/>
      <c r="F533" s="32"/>
      <c r="G533" s="32"/>
      <c r="H533" s="32"/>
    </row>
    <row r="534" ht="15.75" customHeight="1">
      <c r="A534" s="32"/>
      <c r="C534" s="32"/>
      <c r="D534" s="32"/>
      <c r="E534" s="32"/>
      <c r="F534" s="32"/>
      <c r="G534" s="32"/>
      <c r="H534" s="32"/>
    </row>
    <row r="535" ht="15.75" customHeight="1">
      <c r="A535" s="32"/>
      <c r="C535" s="32"/>
      <c r="D535" s="32"/>
      <c r="E535" s="32"/>
      <c r="F535" s="32"/>
      <c r="G535" s="32"/>
      <c r="H535" s="32"/>
    </row>
    <row r="536" ht="15.75" customHeight="1">
      <c r="A536" s="32"/>
      <c r="C536" s="32"/>
      <c r="D536" s="32"/>
      <c r="E536" s="32"/>
      <c r="F536" s="32"/>
      <c r="G536" s="32"/>
      <c r="H536" s="32"/>
    </row>
    <row r="537" ht="15.75" customHeight="1">
      <c r="A537" s="32"/>
      <c r="C537" s="32"/>
      <c r="D537" s="32"/>
      <c r="E537" s="32"/>
      <c r="F537" s="32"/>
      <c r="G537" s="32"/>
      <c r="H537" s="32"/>
    </row>
    <row r="538" ht="15.75" customHeight="1">
      <c r="A538" s="32"/>
      <c r="C538" s="32"/>
      <c r="D538" s="32"/>
      <c r="E538" s="32"/>
      <c r="F538" s="32"/>
      <c r="G538" s="32"/>
      <c r="H538" s="32"/>
    </row>
    <row r="539" ht="15.75" customHeight="1">
      <c r="A539" s="32"/>
      <c r="C539" s="32"/>
      <c r="D539" s="32"/>
      <c r="E539" s="32"/>
      <c r="F539" s="32"/>
      <c r="G539" s="32"/>
      <c r="H539" s="32"/>
    </row>
    <row r="540" ht="15.75" customHeight="1">
      <c r="A540" s="32"/>
      <c r="C540" s="32"/>
      <c r="D540" s="32"/>
      <c r="E540" s="32"/>
      <c r="F540" s="32"/>
      <c r="G540" s="32"/>
      <c r="H540" s="32"/>
    </row>
    <row r="541" ht="15.75" customHeight="1">
      <c r="A541" s="32"/>
      <c r="C541" s="32"/>
      <c r="D541" s="32"/>
      <c r="E541" s="32"/>
      <c r="F541" s="32"/>
      <c r="G541" s="32"/>
      <c r="H541" s="32"/>
    </row>
    <row r="542" ht="15.75" customHeight="1">
      <c r="A542" s="32"/>
      <c r="C542" s="32"/>
      <c r="D542" s="32"/>
      <c r="E542" s="32"/>
      <c r="F542" s="32"/>
      <c r="G542" s="32"/>
      <c r="H542" s="32"/>
    </row>
    <row r="543" ht="15.75" customHeight="1">
      <c r="A543" s="32"/>
      <c r="C543" s="32"/>
      <c r="D543" s="32"/>
      <c r="E543" s="32"/>
      <c r="F543" s="32"/>
      <c r="G543" s="32"/>
      <c r="H543" s="32"/>
    </row>
    <row r="544" ht="15.75" customHeight="1">
      <c r="A544" s="32"/>
      <c r="C544" s="32"/>
      <c r="D544" s="32"/>
      <c r="E544" s="32"/>
      <c r="F544" s="32"/>
      <c r="G544" s="32"/>
      <c r="H544" s="32"/>
    </row>
    <row r="545" ht="15.75" customHeight="1">
      <c r="A545" s="32"/>
      <c r="C545" s="32"/>
      <c r="D545" s="32"/>
      <c r="E545" s="32"/>
      <c r="F545" s="32"/>
      <c r="G545" s="32"/>
      <c r="H545" s="32"/>
    </row>
    <row r="546" ht="15.75" customHeight="1">
      <c r="A546" s="32"/>
      <c r="C546" s="32"/>
      <c r="D546" s="32"/>
      <c r="E546" s="32"/>
      <c r="F546" s="32"/>
      <c r="G546" s="32"/>
      <c r="H546" s="32"/>
    </row>
    <row r="547" ht="15.75" customHeight="1">
      <c r="A547" s="32"/>
      <c r="C547" s="32"/>
      <c r="D547" s="32"/>
      <c r="E547" s="32"/>
      <c r="F547" s="32"/>
      <c r="G547" s="32"/>
      <c r="H547" s="32"/>
    </row>
    <row r="548" ht="15.75" customHeight="1">
      <c r="A548" s="32"/>
      <c r="C548" s="32"/>
      <c r="D548" s="32"/>
      <c r="E548" s="32"/>
      <c r="F548" s="32"/>
      <c r="G548" s="32"/>
      <c r="H548" s="32"/>
    </row>
    <row r="549" ht="15.75" customHeight="1">
      <c r="A549" s="32"/>
      <c r="C549" s="32"/>
      <c r="D549" s="32"/>
      <c r="E549" s="32"/>
      <c r="F549" s="32"/>
      <c r="G549" s="32"/>
      <c r="H549" s="32"/>
    </row>
    <row r="550" ht="15.75" customHeight="1">
      <c r="A550" s="32"/>
      <c r="C550" s="32"/>
      <c r="D550" s="32"/>
      <c r="E550" s="32"/>
      <c r="F550" s="32"/>
      <c r="G550" s="32"/>
      <c r="H550" s="32"/>
    </row>
    <row r="551" ht="15.75" customHeight="1">
      <c r="A551" s="32"/>
      <c r="C551" s="32"/>
      <c r="D551" s="32"/>
      <c r="E551" s="32"/>
      <c r="F551" s="32"/>
      <c r="G551" s="32"/>
      <c r="H551" s="32"/>
    </row>
    <row r="552" ht="15.75" customHeight="1">
      <c r="A552" s="32"/>
      <c r="C552" s="32"/>
      <c r="D552" s="32"/>
      <c r="E552" s="32"/>
      <c r="F552" s="32"/>
      <c r="G552" s="32"/>
      <c r="H552" s="32"/>
    </row>
    <row r="553" ht="15.75" customHeight="1">
      <c r="A553" s="32"/>
      <c r="C553" s="32"/>
      <c r="D553" s="32"/>
      <c r="E553" s="32"/>
      <c r="F553" s="32"/>
      <c r="G553" s="32"/>
      <c r="H553" s="32"/>
    </row>
    <row r="554" ht="15.75" customHeight="1">
      <c r="A554" s="32"/>
      <c r="C554" s="32"/>
      <c r="D554" s="32"/>
      <c r="E554" s="32"/>
      <c r="F554" s="32"/>
      <c r="G554" s="32"/>
      <c r="H554" s="32"/>
    </row>
    <row r="555" ht="15.75" customHeight="1">
      <c r="A555" s="32"/>
      <c r="C555" s="32"/>
      <c r="D555" s="32"/>
      <c r="E555" s="32"/>
      <c r="F555" s="32"/>
      <c r="G555" s="32"/>
      <c r="H555" s="32"/>
    </row>
    <row r="556" ht="15.75" customHeight="1">
      <c r="A556" s="32"/>
      <c r="C556" s="32"/>
      <c r="D556" s="32"/>
      <c r="E556" s="32"/>
      <c r="F556" s="32"/>
      <c r="G556" s="32"/>
      <c r="H556" s="32"/>
    </row>
    <row r="557" ht="15.75" customHeight="1">
      <c r="A557" s="32"/>
      <c r="C557" s="32"/>
      <c r="D557" s="32"/>
      <c r="E557" s="32"/>
      <c r="F557" s="32"/>
      <c r="G557" s="32"/>
      <c r="H557" s="32"/>
    </row>
    <row r="558" ht="15.75" customHeight="1">
      <c r="A558" s="32"/>
      <c r="C558" s="32"/>
      <c r="D558" s="32"/>
      <c r="E558" s="32"/>
      <c r="F558" s="32"/>
      <c r="G558" s="32"/>
      <c r="H558" s="32"/>
    </row>
    <row r="559" ht="15.75" customHeight="1">
      <c r="A559" s="32"/>
      <c r="C559" s="32"/>
      <c r="D559" s="32"/>
      <c r="E559" s="32"/>
      <c r="F559" s="32"/>
      <c r="G559" s="32"/>
      <c r="H559" s="32"/>
    </row>
    <row r="560" ht="15.75" customHeight="1">
      <c r="A560" s="32"/>
      <c r="C560" s="32"/>
      <c r="D560" s="32"/>
      <c r="E560" s="32"/>
      <c r="F560" s="32"/>
      <c r="G560" s="32"/>
      <c r="H560" s="32"/>
    </row>
    <row r="561" ht="15.75" customHeight="1">
      <c r="A561" s="32"/>
      <c r="C561" s="32"/>
      <c r="D561" s="32"/>
      <c r="E561" s="32"/>
      <c r="F561" s="32"/>
      <c r="G561" s="32"/>
      <c r="H561" s="32"/>
    </row>
    <row r="562" ht="15.75" customHeight="1">
      <c r="A562" s="32"/>
      <c r="C562" s="32"/>
      <c r="D562" s="32"/>
      <c r="E562" s="32"/>
      <c r="F562" s="32"/>
      <c r="G562" s="32"/>
      <c r="H562" s="32"/>
    </row>
    <row r="563" ht="15.75" customHeight="1">
      <c r="A563" s="32"/>
      <c r="C563" s="32"/>
      <c r="D563" s="32"/>
      <c r="E563" s="32"/>
      <c r="F563" s="32"/>
      <c r="G563" s="32"/>
      <c r="H563" s="32"/>
    </row>
    <row r="564" ht="15.75" customHeight="1">
      <c r="A564" s="32"/>
      <c r="C564" s="32"/>
      <c r="D564" s="32"/>
      <c r="E564" s="32"/>
      <c r="F564" s="32"/>
      <c r="G564" s="32"/>
      <c r="H564" s="32"/>
    </row>
    <row r="565" ht="15.75" customHeight="1">
      <c r="A565" s="32"/>
      <c r="C565" s="32"/>
      <c r="D565" s="32"/>
      <c r="E565" s="32"/>
      <c r="F565" s="32"/>
      <c r="G565" s="32"/>
      <c r="H565" s="32"/>
    </row>
    <row r="566" ht="15.75" customHeight="1">
      <c r="A566" s="32"/>
      <c r="C566" s="32"/>
      <c r="D566" s="32"/>
      <c r="E566" s="32"/>
      <c r="F566" s="32"/>
      <c r="G566" s="32"/>
      <c r="H566" s="32"/>
    </row>
    <row r="567" ht="15.75" customHeight="1">
      <c r="A567" s="32"/>
      <c r="C567" s="32"/>
      <c r="D567" s="32"/>
      <c r="E567" s="32"/>
      <c r="F567" s="32"/>
      <c r="G567" s="32"/>
      <c r="H567" s="32"/>
    </row>
    <row r="568" ht="15.75" customHeight="1">
      <c r="A568" s="32"/>
      <c r="C568" s="32"/>
      <c r="D568" s="32"/>
      <c r="E568" s="32"/>
      <c r="F568" s="32"/>
      <c r="G568" s="32"/>
      <c r="H568" s="32"/>
    </row>
    <row r="569" ht="15.75" customHeight="1">
      <c r="A569" s="32"/>
      <c r="C569" s="32"/>
      <c r="D569" s="32"/>
      <c r="E569" s="32"/>
      <c r="F569" s="32"/>
      <c r="G569" s="32"/>
      <c r="H569" s="32"/>
    </row>
    <row r="570" ht="15.75" customHeight="1">
      <c r="A570" s="32"/>
      <c r="C570" s="32"/>
      <c r="D570" s="32"/>
      <c r="E570" s="32"/>
      <c r="F570" s="32"/>
      <c r="G570" s="32"/>
      <c r="H570" s="32"/>
    </row>
    <row r="571" ht="15.75" customHeight="1">
      <c r="A571" s="32"/>
      <c r="C571" s="32"/>
      <c r="D571" s="32"/>
      <c r="E571" s="32"/>
      <c r="F571" s="32"/>
      <c r="G571" s="32"/>
      <c r="H571" s="32"/>
    </row>
    <row r="572" ht="15.75" customHeight="1">
      <c r="A572" s="32"/>
      <c r="C572" s="32"/>
      <c r="D572" s="32"/>
      <c r="E572" s="32"/>
      <c r="F572" s="32"/>
      <c r="G572" s="32"/>
      <c r="H572" s="32"/>
    </row>
    <row r="573" ht="15.75" customHeight="1">
      <c r="A573" s="32"/>
      <c r="C573" s="32"/>
      <c r="D573" s="32"/>
      <c r="E573" s="32"/>
      <c r="F573" s="32"/>
      <c r="G573" s="32"/>
      <c r="H573" s="32"/>
    </row>
    <row r="574" ht="15.75" customHeight="1">
      <c r="A574" s="32"/>
      <c r="C574" s="32"/>
      <c r="D574" s="32"/>
      <c r="E574" s="32"/>
      <c r="F574" s="32"/>
      <c r="G574" s="32"/>
      <c r="H574" s="32"/>
    </row>
    <row r="575" ht="15.75" customHeight="1">
      <c r="A575" s="32"/>
      <c r="C575" s="32"/>
      <c r="D575" s="32"/>
      <c r="E575" s="32"/>
      <c r="F575" s="32"/>
      <c r="G575" s="32"/>
      <c r="H575" s="32"/>
    </row>
    <row r="576" ht="15.75" customHeight="1">
      <c r="A576" s="32"/>
      <c r="C576" s="32"/>
      <c r="D576" s="32"/>
      <c r="E576" s="32"/>
      <c r="F576" s="32"/>
      <c r="G576" s="32"/>
      <c r="H576" s="32"/>
    </row>
    <row r="577" ht="15.75" customHeight="1">
      <c r="A577" s="32"/>
      <c r="C577" s="32"/>
      <c r="D577" s="32"/>
      <c r="E577" s="32"/>
      <c r="F577" s="32"/>
      <c r="G577" s="32"/>
      <c r="H577" s="32"/>
    </row>
    <row r="578" ht="15.75" customHeight="1">
      <c r="A578" s="32"/>
      <c r="C578" s="32"/>
      <c r="D578" s="32"/>
      <c r="E578" s="32"/>
      <c r="F578" s="32"/>
      <c r="G578" s="32"/>
      <c r="H578" s="32"/>
    </row>
    <row r="579" ht="15.75" customHeight="1">
      <c r="A579" s="32"/>
      <c r="C579" s="32"/>
      <c r="D579" s="32"/>
      <c r="E579" s="32"/>
      <c r="F579" s="32"/>
      <c r="G579" s="32"/>
      <c r="H579" s="32"/>
    </row>
    <row r="580" ht="15.75" customHeight="1">
      <c r="A580" s="32"/>
      <c r="C580" s="32"/>
      <c r="D580" s="32"/>
      <c r="E580" s="32"/>
      <c r="F580" s="32"/>
      <c r="G580" s="32"/>
      <c r="H580" s="32"/>
    </row>
    <row r="581" ht="15.75" customHeight="1">
      <c r="A581" s="32"/>
      <c r="C581" s="32"/>
      <c r="D581" s="32"/>
      <c r="E581" s="32"/>
      <c r="F581" s="32"/>
      <c r="G581" s="32"/>
      <c r="H581" s="32"/>
    </row>
    <row r="582" ht="15.75" customHeight="1">
      <c r="A582" s="32"/>
      <c r="C582" s="32"/>
      <c r="D582" s="32"/>
      <c r="E582" s="32"/>
      <c r="F582" s="32"/>
      <c r="G582" s="32"/>
      <c r="H582" s="32"/>
    </row>
    <row r="583" ht="15.75" customHeight="1">
      <c r="A583" s="32"/>
      <c r="C583" s="32"/>
      <c r="D583" s="32"/>
      <c r="E583" s="32"/>
      <c r="F583" s="32"/>
      <c r="G583" s="32"/>
      <c r="H583" s="32"/>
    </row>
    <row r="584" ht="15.75" customHeight="1">
      <c r="A584" s="32"/>
      <c r="C584" s="32"/>
      <c r="D584" s="32"/>
      <c r="E584" s="32"/>
      <c r="F584" s="32"/>
      <c r="G584" s="32"/>
      <c r="H584" s="32"/>
    </row>
    <row r="585" ht="15.75" customHeight="1">
      <c r="A585" s="32"/>
      <c r="C585" s="32"/>
      <c r="D585" s="32"/>
      <c r="E585" s="32"/>
      <c r="F585" s="32"/>
      <c r="G585" s="32"/>
      <c r="H585" s="32"/>
    </row>
    <row r="586" ht="15.75" customHeight="1">
      <c r="A586" s="32"/>
      <c r="C586" s="32"/>
      <c r="D586" s="32"/>
      <c r="E586" s="32"/>
      <c r="F586" s="32"/>
      <c r="G586" s="32"/>
      <c r="H586" s="32"/>
    </row>
    <row r="587" ht="15.75" customHeight="1">
      <c r="A587" s="32"/>
      <c r="C587" s="32"/>
      <c r="D587" s="32"/>
      <c r="E587" s="32"/>
      <c r="F587" s="32"/>
      <c r="G587" s="32"/>
      <c r="H587" s="32"/>
    </row>
    <row r="588" ht="15.75" customHeight="1">
      <c r="A588" s="32"/>
      <c r="C588" s="32"/>
      <c r="D588" s="32"/>
      <c r="E588" s="32"/>
      <c r="F588" s="32"/>
      <c r="G588" s="32"/>
      <c r="H588" s="32"/>
    </row>
    <row r="589" ht="15.75" customHeight="1">
      <c r="A589" s="32"/>
      <c r="C589" s="32"/>
      <c r="D589" s="32"/>
      <c r="E589" s="32"/>
      <c r="F589" s="32"/>
      <c r="G589" s="32"/>
      <c r="H589" s="32"/>
    </row>
    <row r="590" ht="15.75" customHeight="1">
      <c r="A590" s="32"/>
      <c r="C590" s="32"/>
      <c r="D590" s="32"/>
      <c r="E590" s="32"/>
      <c r="F590" s="32"/>
      <c r="G590" s="32"/>
      <c r="H590" s="32"/>
    </row>
    <row r="591" ht="15.75" customHeight="1">
      <c r="A591" s="32"/>
      <c r="C591" s="32"/>
      <c r="D591" s="32"/>
      <c r="E591" s="32"/>
      <c r="F591" s="32"/>
      <c r="G591" s="32"/>
      <c r="H591" s="32"/>
    </row>
    <row r="592" ht="15.75" customHeight="1">
      <c r="A592" s="32"/>
      <c r="C592" s="32"/>
      <c r="D592" s="32"/>
      <c r="E592" s="32"/>
      <c r="F592" s="32"/>
      <c r="G592" s="32"/>
      <c r="H592" s="32"/>
    </row>
    <row r="593" ht="15.75" customHeight="1">
      <c r="A593" s="32"/>
      <c r="C593" s="32"/>
      <c r="D593" s="32"/>
      <c r="E593" s="32"/>
      <c r="F593" s="32"/>
      <c r="G593" s="32"/>
      <c r="H593" s="32"/>
    </row>
    <row r="594" ht="15.75" customHeight="1">
      <c r="A594" s="32"/>
      <c r="C594" s="32"/>
      <c r="D594" s="32"/>
      <c r="E594" s="32"/>
      <c r="F594" s="32"/>
      <c r="G594" s="32"/>
      <c r="H594" s="32"/>
    </row>
    <row r="595" ht="15.75" customHeight="1">
      <c r="A595" s="32"/>
      <c r="C595" s="32"/>
      <c r="D595" s="32"/>
      <c r="E595" s="32"/>
      <c r="F595" s="32"/>
      <c r="G595" s="32"/>
      <c r="H595" s="32"/>
    </row>
    <row r="596" ht="15.75" customHeight="1">
      <c r="A596" s="32"/>
      <c r="C596" s="32"/>
      <c r="D596" s="32"/>
      <c r="E596" s="32"/>
      <c r="F596" s="32"/>
      <c r="G596" s="32"/>
      <c r="H596" s="32"/>
    </row>
    <row r="597" ht="15.75" customHeight="1">
      <c r="A597" s="32"/>
      <c r="C597" s="32"/>
      <c r="D597" s="32"/>
      <c r="E597" s="32"/>
      <c r="F597" s="32"/>
      <c r="G597" s="32"/>
      <c r="H597" s="32"/>
    </row>
    <row r="598" ht="15.75" customHeight="1">
      <c r="A598" s="32"/>
      <c r="C598" s="32"/>
      <c r="D598" s="32"/>
      <c r="E598" s="32"/>
      <c r="F598" s="32"/>
      <c r="G598" s="32"/>
      <c r="H598" s="32"/>
    </row>
    <row r="599" ht="15.75" customHeight="1">
      <c r="A599" s="32"/>
      <c r="C599" s="32"/>
      <c r="D599" s="32"/>
      <c r="E599" s="32"/>
      <c r="F599" s="32"/>
      <c r="G599" s="32"/>
      <c r="H599" s="32"/>
    </row>
    <row r="600" ht="15.75" customHeight="1">
      <c r="A600" s="32"/>
      <c r="C600" s="32"/>
      <c r="D600" s="32"/>
      <c r="E600" s="32"/>
      <c r="F600" s="32"/>
      <c r="G600" s="32"/>
      <c r="H600" s="32"/>
    </row>
    <row r="601" ht="15.75" customHeight="1">
      <c r="A601" s="32"/>
      <c r="C601" s="32"/>
      <c r="D601" s="32"/>
      <c r="E601" s="32"/>
      <c r="F601" s="32"/>
      <c r="G601" s="32"/>
      <c r="H601" s="32"/>
    </row>
    <row r="602" ht="15.75" customHeight="1">
      <c r="A602" s="32"/>
      <c r="C602" s="32"/>
      <c r="D602" s="32"/>
      <c r="E602" s="32"/>
      <c r="F602" s="32"/>
      <c r="G602" s="32"/>
      <c r="H602" s="32"/>
    </row>
    <row r="603" ht="15.75" customHeight="1">
      <c r="A603" s="32"/>
      <c r="C603" s="32"/>
      <c r="D603" s="32"/>
      <c r="E603" s="32"/>
      <c r="F603" s="32"/>
      <c r="G603" s="32"/>
      <c r="H603" s="32"/>
    </row>
    <row r="604" ht="15.75" customHeight="1">
      <c r="A604" s="32"/>
      <c r="C604" s="32"/>
      <c r="D604" s="32"/>
      <c r="E604" s="32"/>
      <c r="F604" s="32"/>
      <c r="G604" s="32"/>
      <c r="H604" s="32"/>
    </row>
    <row r="605" ht="15.75" customHeight="1">
      <c r="A605" s="32"/>
      <c r="C605" s="32"/>
      <c r="D605" s="32"/>
      <c r="E605" s="32"/>
      <c r="F605" s="32"/>
      <c r="G605" s="32"/>
      <c r="H605" s="32"/>
    </row>
    <row r="606" ht="15.75" customHeight="1">
      <c r="A606" s="32"/>
      <c r="C606" s="32"/>
      <c r="D606" s="32"/>
      <c r="E606" s="32"/>
      <c r="F606" s="32"/>
      <c r="G606" s="32"/>
      <c r="H606" s="32"/>
    </row>
    <row r="607" ht="15.75" customHeight="1">
      <c r="A607" s="32"/>
      <c r="C607" s="32"/>
      <c r="D607" s="32"/>
      <c r="E607" s="32"/>
      <c r="F607" s="32"/>
      <c r="G607" s="32"/>
      <c r="H607" s="32"/>
    </row>
    <row r="608" ht="15.75" customHeight="1">
      <c r="A608" s="32"/>
      <c r="C608" s="32"/>
      <c r="D608" s="32"/>
      <c r="E608" s="32"/>
      <c r="F608" s="32"/>
      <c r="G608" s="32"/>
      <c r="H608" s="32"/>
    </row>
    <row r="609" ht="15.75" customHeight="1">
      <c r="A609" s="32"/>
      <c r="C609" s="32"/>
      <c r="D609" s="32"/>
      <c r="E609" s="32"/>
      <c r="F609" s="32"/>
      <c r="G609" s="32"/>
      <c r="H609" s="32"/>
    </row>
    <row r="610" ht="15.75" customHeight="1">
      <c r="A610" s="32"/>
      <c r="C610" s="32"/>
      <c r="D610" s="32"/>
      <c r="E610" s="32"/>
      <c r="F610" s="32"/>
      <c r="G610" s="32"/>
      <c r="H610" s="32"/>
    </row>
    <row r="611" ht="15.75" customHeight="1">
      <c r="A611" s="32"/>
      <c r="C611" s="32"/>
      <c r="D611" s="32"/>
      <c r="E611" s="32"/>
      <c r="F611" s="32"/>
      <c r="G611" s="32"/>
      <c r="H611" s="32"/>
    </row>
    <row r="612" ht="15.75" customHeight="1">
      <c r="A612" s="32"/>
      <c r="C612" s="32"/>
      <c r="D612" s="32"/>
      <c r="E612" s="32"/>
      <c r="F612" s="32"/>
      <c r="G612" s="32"/>
      <c r="H612" s="32"/>
    </row>
    <row r="613" ht="15.75" customHeight="1">
      <c r="A613" s="32"/>
      <c r="C613" s="32"/>
      <c r="D613" s="32"/>
      <c r="E613" s="32"/>
      <c r="F613" s="32"/>
      <c r="G613" s="32"/>
      <c r="H613" s="32"/>
    </row>
    <row r="614" ht="15.75" customHeight="1">
      <c r="A614" s="32"/>
      <c r="C614" s="32"/>
      <c r="D614" s="32"/>
      <c r="E614" s="32"/>
      <c r="F614" s="32"/>
      <c r="G614" s="32"/>
      <c r="H614" s="32"/>
    </row>
    <row r="615" ht="15.75" customHeight="1">
      <c r="A615" s="32"/>
      <c r="C615" s="32"/>
      <c r="D615" s="32"/>
      <c r="E615" s="32"/>
      <c r="F615" s="32"/>
      <c r="G615" s="32"/>
      <c r="H615" s="32"/>
    </row>
    <row r="616" ht="15.75" customHeight="1">
      <c r="A616" s="32"/>
      <c r="C616" s="32"/>
      <c r="D616" s="32"/>
      <c r="E616" s="32"/>
      <c r="F616" s="32"/>
      <c r="G616" s="32"/>
      <c r="H616" s="32"/>
    </row>
    <row r="617" ht="15.75" customHeight="1">
      <c r="A617" s="32"/>
      <c r="C617" s="32"/>
      <c r="D617" s="32"/>
      <c r="E617" s="32"/>
      <c r="F617" s="32"/>
      <c r="G617" s="32"/>
      <c r="H617" s="32"/>
    </row>
    <row r="618" ht="15.75" customHeight="1">
      <c r="A618" s="32"/>
      <c r="C618" s="32"/>
      <c r="D618" s="32"/>
      <c r="E618" s="32"/>
      <c r="F618" s="32"/>
      <c r="G618" s="32"/>
      <c r="H618" s="32"/>
    </row>
    <row r="619" ht="15.75" customHeight="1">
      <c r="A619" s="32"/>
      <c r="C619" s="32"/>
      <c r="D619" s="32"/>
      <c r="E619" s="32"/>
      <c r="F619" s="32"/>
      <c r="G619" s="32"/>
      <c r="H619" s="32"/>
    </row>
    <row r="620" ht="15.75" customHeight="1">
      <c r="A620" s="32"/>
      <c r="C620" s="32"/>
      <c r="D620" s="32"/>
      <c r="E620" s="32"/>
      <c r="F620" s="32"/>
      <c r="G620" s="32"/>
      <c r="H620" s="32"/>
    </row>
    <row r="621" ht="15.75" customHeight="1">
      <c r="A621" s="32"/>
      <c r="C621" s="32"/>
      <c r="D621" s="32"/>
      <c r="E621" s="32"/>
      <c r="F621" s="32"/>
      <c r="G621" s="32"/>
      <c r="H621" s="32"/>
    </row>
    <row r="622" ht="15.75" customHeight="1">
      <c r="A622" s="32"/>
      <c r="C622" s="32"/>
      <c r="D622" s="32"/>
      <c r="E622" s="32"/>
      <c r="F622" s="32"/>
      <c r="G622" s="32"/>
      <c r="H622" s="32"/>
    </row>
    <row r="623" ht="15.75" customHeight="1">
      <c r="A623" s="32"/>
      <c r="C623" s="32"/>
      <c r="D623" s="32"/>
      <c r="E623" s="32"/>
      <c r="F623" s="32"/>
      <c r="G623" s="32"/>
      <c r="H623" s="32"/>
    </row>
    <row r="624" ht="15.75" customHeight="1">
      <c r="A624" s="32"/>
      <c r="C624" s="32"/>
      <c r="D624" s="32"/>
      <c r="E624" s="32"/>
      <c r="F624" s="32"/>
      <c r="G624" s="32"/>
      <c r="H624" s="32"/>
    </row>
    <row r="625" ht="15.75" customHeight="1">
      <c r="A625" s="32"/>
      <c r="C625" s="32"/>
      <c r="D625" s="32"/>
      <c r="E625" s="32"/>
      <c r="F625" s="32"/>
      <c r="G625" s="32"/>
      <c r="H625" s="32"/>
    </row>
    <row r="626" ht="15.75" customHeight="1">
      <c r="A626" s="32"/>
      <c r="C626" s="32"/>
      <c r="D626" s="32"/>
      <c r="E626" s="32"/>
      <c r="F626" s="32"/>
      <c r="G626" s="32"/>
      <c r="H626" s="32"/>
    </row>
    <row r="627" ht="15.75" customHeight="1">
      <c r="A627" s="32"/>
      <c r="C627" s="32"/>
      <c r="D627" s="32"/>
      <c r="E627" s="32"/>
      <c r="F627" s="32"/>
      <c r="G627" s="32"/>
      <c r="H627" s="32"/>
    </row>
    <row r="628" ht="15.75" customHeight="1">
      <c r="A628" s="32"/>
      <c r="C628" s="32"/>
      <c r="D628" s="32"/>
      <c r="E628" s="32"/>
      <c r="F628" s="32"/>
      <c r="G628" s="32"/>
      <c r="H628" s="32"/>
    </row>
    <row r="629" ht="15.75" customHeight="1">
      <c r="A629" s="32"/>
      <c r="C629" s="32"/>
      <c r="D629" s="32"/>
      <c r="E629" s="32"/>
      <c r="F629" s="32"/>
      <c r="G629" s="32"/>
      <c r="H629" s="32"/>
    </row>
    <row r="630" ht="15.75" customHeight="1">
      <c r="A630" s="32"/>
      <c r="C630" s="32"/>
      <c r="D630" s="32"/>
      <c r="E630" s="32"/>
      <c r="F630" s="32"/>
      <c r="G630" s="32"/>
      <c r="H630" s="32"/>
    </row>
    <row r="631" ht="15.75" customHeight="1">
      <c r="A631" s="32"/>
      <c r="C631" s="32"/>
      <c r="D631" s="32"/>
      <c r="E631" s="32"/>
      <c r="F631" s="32"/>
      <c r="G631" s="32"/>
      <c r="H631" s="32"/>
    </row>
    <row r="632" ht="15.75" customHeight="1">
      <c r="A632" s="32"/>
      <c r="C632" s="32"/>
      <c r="D632" s="32"/>
      <c r="E632" s="32"/>
      <c r="F632" s="32"/>
      <c r="G632" s="32"/>
      <c r="H632" s="32"/>
    </row>
    <row r="633" ht="15.75" customHeight="1">
      <c r="A633" s="32"/>
      <c r="C633" s="32"/>
      <c r="D633" s="32"/>
      <c r="E633" s="32"/>
      <c r="F633" s="32"/>
      <c r="G633" s="32"/>
      <c r="H633" s="32"/>
    </row>
    <row r="634" ht="15.75" customHeight="1">
      <c r="A634" s="32"/>
      <c r="C634" s="32"/>
      <c r="D634" s="32"/>
      <c r="E634" s="32"/>
      <c r="F634" s="32"/>
      <c r="G634" s="32"/>
      <c r="H634" s="32"/>
    </row>
    <row r="635" ht="15.75" customHeight="1">
      <c r="A635" s="32"/>
      <c r="C635" s="32"/>
      <c r="D635" s="32"/>
      <c r="E635" s="32"/>
      <c r="F635" s="32"/>
      <c r="G635" s="32"/>
      <c r="H635" s="32"/>
    </row>
    <row r="636" ht="15.75" customHeight="1">
      <c r="A636" s="32"/>
      <c r="C636" s="32"/>
      <c r="D636" s="32"/>
      <c r="E636" s="32"/>
      <c r="F636" s="32"/>
      <c r="G636" s="32"/>
      <c r="H636" s="32"/>
    </row>
    <row r="637" ht="15.75" customHeight="1">
      <c r="A637" s="32"/>
      <c r="C637" s="32"/>
      <c r="D637" s="32"/>
      <c r="E637" s="32"/>
      <c r="F637" s="32"/>
      <c r="G637" s="32"/>
      <c r="H637" s="32"/>
    </row>
    <row r="638" ht="15.75" customHeight="1">
      <c r="A638" s="32"/>
      <c r="C638" s="32"/>
      <c r="D638" s="32"/>
      <c r="E638" s="32"/>
      <c r="F638" s="32"/>
      <c r="G638" s="32"/>
      <c r="H638" s="32"/>
    </row>
    <row r="639" ht="15.75" customHeight="1">
      <c r="A639" s="32"/>
      <c r="C639" s="32"/>
      <c r="D639" s="32"/>
      <c r="E639" s="32"/>
      <c r="F639" s="32"/>
      <c r="G639" s="32"/>
      <c r="H639" s="32"/>
    </row>
    <row r="640" ht="15.75" customHeight="1">
      <c r="A640" s="32"/>
      <c r="C640" s="32"/>
      <c r="D640" s="32"/>
      <c r="E640" s="32"/>
      <c r="F640" s="32"/>
      <c r="G640" s="32"/>
      <c r="H640" s="32"/>
    </row>
    <row r="641" ht="15.75" customHeight="1">
      <c r="A641" s="32"/>
      <c r="C641" s="32"/>
      <c r="D641" s="32"/>
      <c r="E641" s="32"/>
      <c r="F641" s="32"/>
      <c r="G641" s="32"/>
      <c r="H641" s="32"/>
    </row>
    <row r="642" ht="15.75" customHeight="1">
      <c r="A642" s="32"/>
      <c r="C642" s="32"/>
      <c r="D642" s="32"/>
      <c r="E642" s="32"/>
      <c r="F642" s="32"/>
      <c r="G642" s="32"/>
      <c r="H642" s="32"/>
    </row>
    <row r="643" ht="15.75" customHeight="1">
      <c r="A643" s="32"/>
      <c r="C643" s="32"/>
      <c r="D643" s="32"/>
      <c r="E643" s="32"/>
      <c r="F643" s="32"/>
      <c r="G643" s="32"/>
      <c r="H643" s="32"/>
    </row>
    <row r="644" ht="15.75" customHeight="1">
      <c r="A644" s="32"/>
      <c r="C644" s="32"/>
      <c r="D644" s="32"/>
      <c r="E644" s="32"/>
      <c r="F644" s="32"/>
      <c r="G644" s="32"/>
      <c r="H644" s="32"/>
    </row>
    <row r="645" ht="15.75" customHeight="1">
      <c r="A645" s="32"/>
      <c r="C645" s="32"/>
      <c r="D645" s="32"/>
      <c r="E645" s="32"/>
      <c r="F645" s="32"/>
      <c r="G645" s="32"/>
      <c r="H645" s="32"/>
    </row>
    <row r="646" ht="15.75" customHeight="1">
      <c r="A646" s="32"/>
      <c r="C646" s="32"/>
      <c r="D646" s="32"/>
      <c r="E646" s="32"/>
      <c r="F646" s="32"/>
      <c r="G646" s="32"/>
      <c r="H646" s="32"/>
    </row>
    <row r="647" ht="15.75" customHeight="1">
      <c r="A647" s="32"/>
      <c r="C647" s="32"/>
      <c r="D647" s="32"/>
      <c r="E647" s="32"/>
      <c r="F647" s="32"/>
      <c r="G647" s="32"/>
      <c r="H647" s="32"/>
    </row>
    <row r="648" ht="15.75" customHeight="1">
      <c r="A648" s="32"/>
      <c r="C648" s="32"/>
      <c r="D648" s="32"/>
      <c r="E648" s="32"/>
      <c r="F648" s="32"/>
      <c r="G648" s="32"/>
      <c r="H648" s="32"/>
    </row>
    <row r="649" ht="15.75" customHeight="1">
      <c r="A649" s="32"/>
      <c r="C649" s="32"/>
      <c r="D649" s="32"/>
      <c r="E649" s="32"/>
      <c r="F649" s="32"/>
      <c r="G649" s="32"/>
      <c r="H649" s="32"/>
    </row>
    <row r="650" ht="15.75" customHeight="1">
      <c r="A650" s="32"/>
      <c r="C650" s="32"/>
      <c r="D650" s="32"/>
      <c r="E650" s="32"/>
      <c r="F650" s="32"/>
      <c r="G650" s="32"/>
      <c r="H650" s="32"/>
    </row>
    <row r="651" ht="15.75" customHeight="1">
      <c r="A651" s="32"/>
      <c r="C651" s="32"/>
      <c r="D651" s="32"/>
      <c r="E651" s="32"/>
      <c r="F651" s="32"/>
      <c r="G651" s="32"/>
      <c r="H651" s="32"/>
    </row>
    <row r="652" ht="15.75" customHeight="1">
      <c r="A652" s="32"/>
      <c r="C652" s="32"/>
      <c r="D652" s="32"/>
      <c r="E652" s="32"/>
      <c r="F652" s="32"/>
      <c r="G652" s="32"/>
      <c r="H652" s="32"/>
    </row>
    <row r="653" ht="15.75" customHeight="1">
      <c r="A653" s="32"/>
      <c r="C653" s="32"/>
      <c r="D653" s="32"/>
      <c r="E653" s="32"/>
      <c r="F653" s="32"/>
      <c r="G653" s="32"/>
      <c r="H653" s="32"/>
    </row>
    <row r="654" ht="15.75" customHeight="1">
      <c r="A654" s="32"/>
      <c r="C654" s="32"/>
      <c r="D654" s="32"/>
      <c r="E654" s="32"/>
      <c r="F654" s="32"/>
      <c r="G654" s="32"/>
      <c r="H654" s="32"/>
    </row>
    <row r="655" ht="15.75" customHeight="1">
      <c r="A655" s="32"/>
      <c r="C655" s="32"/>
      <c r="D655" s="32"/>
      <c r="E655" s="32"/>
      <c r="F655" s="32"/>
      <c r="G655" s="32"/>
      <c r="H655" s="32"/>
    </row>
    <row r="656" ht="15.75" customHeight="1">
      <c r="A656" s="32"/>
      <c r="C656" s="32"/>
      <c r="D656" s="32"/>
      <c r="E656" s="32"/>
      <c r="F656" s="32"/>
      <c r="G656" s="32"/>
      <c r="H656" s="32"/>
    </row>
    <row r="657" ht="15.75" customHeight="1">
      <c r="A657" s="32"/>
      <c r="C657" s="32"/>
      <c r="D657" s="32"/>
      <c r="E657" s="32"/>
      <c r="F657" s="32"/>
      <c r="G657" s="32"/>
      <c r="H657" s="32"/>
    </row>
    <row r="658" ht="15.75" customHeight="1">
      <c r="A658" s="32"/>
      <c r="C658" s="32"/>
      <c r="D658" s="32"/>
      <c r="E658" s="32"/>
      <c r="F658" s="32"/>
      <c r="G658" s="32"/>
      <c r="H658" s="32"/>
    </row>
    <row r="659" ht="15.75" customHeight="1">
      <c r="A659" s="32"/>
      <c r="C659" s="32"/>
      <c r="D659" s="32"/>
      <c r="E659" s="32"/>
      <c r="F659" s="32"/>
      <c r="G659" s="32"/>
      <c r="H659" s="32"/>
    </row>
    <row r="660" ht="15.75" customHeight="1">
      <c r="A660" s="32"/>
      <c r="C660" s="32"/>
      <c r="D660" s="32"/>
      <c r="E660" s="32"/>
      <c r="F660" s="32"/>
      <c r="G660" s="32"/>
      <c r="H660" s="32"/>
    </row>
    <row r="661" ht="15.75" customHeight="1">
      <c r="A661" s="32"/>
      <c r="C661" s="32"/>
      <c r="D661" s="32"/>
      <c r="E661" s="32"/>
      <c r="F661" s="32"/>
      <c r="G661" s="32"/>
      <c r="H661" s="32"/>
    </row>
    <row r="662" ht="15.75" customHeight="1">
      <c r="A662" s="32"/>
      <c r="C662" s="32"/>
      <c r="D662" s="32"/>
      <c r="E662" s="32"/>
      <c r="F662" s="32"/>
      <c r="G662" s="32"/>
      <c r="H662" s="32"/>
    </row>
    <row r="663" ht="15.75" customHeight="1">
      <c r="A663" s="32"/>
      <c r="C663" s="32"/>
      <c r="D663" s="32"/>
      <c r="E663" s="32"/>
      <c r="F663" s="32"/>
      <c r="G663" s="32"/>
      <c r="H663" s="32"/>
    </row>
    <row r="664" ht="15.75" customHeight="1">
      <c r="A664" s="32"/>
      <c r="C664" s="32"/>
      <c r="D664" s="32"/>
      <c r="E664" s="32"/>
      <c r="F664" s="32"/>
      <c r="G664" s="32"/>
      <c r="H664" s="32"/>
    </row>
    <row r="665" ht="15.75" customHeight="1">
      <c r="A665" s="32"/>
      <c r="C665" s="32"/>
      <c r="D665" s="32"/>
      <c r="E665" s="32"/>
      <c r="F665" s="32"/>
      <c r="G665" s="32"/>
      <c r="H665" s="32"/>
    </row>
    <row r="666" ht="15.75" customHeight="1">
      <c r="A666" s="32"/>
      <c r="C666" s="32"/>
      <c r="D666" s="32"/>
      <c r="E666" s="32"/>
      <c r="F666" s="32"/>
      <c r="G666" s="32"/>
      <c r="H666" s="32"/>
    </row>
    <row r="667" ht="15.75" customHeight="1">
      <c r="A667" s="32"/>
      <c r="C667" s="32"/>
      <c r="D667" s="32"/>
      <c r="E667" s="32"/>
      <c r="F667" s="32"/>
      <c r="G667" s="32"/>
      <c r="H667" s="32"/>
    </row>
    <row r="668" ht="15.75" customHeight="1">
      <c r="A668" s="32"/>
      <c r="C668" s="32"/>
      <c r="D668" s="32"/>
      <c r="E668" s="32"/>
      <c r="F668" s="32"/>
      <c r="G668" s="32"/>
      <c r="H668" s="32"/>
    </row>
    <row r="669" ht="15.75" customHeight="1">
      <c r="A669" s="32"/>
      <c r="C669" s="32"/>
      <c r="D669" s="32"/>
      <c r="E669" s="32"/>
      <c r="F669" s="32"/>
      <c r="G669" s="32"/>
      <c r="H669" s="32"/>
    </row>
    <row r="670" ht="15.75" customHeight="1">
      <c r="A670" s="32"/>
      <c r="C670" s="32"/>
      <c r="D670" s="32"/>
      <c r="E670" s="32"/>
      <c r="F670" s="32"/>
      <c r="G670" s="32"/>
      <c r="H670" s="32"/>
    </row>
    <row r="671" ht="15.75" customHeight="1">
      <c r="A671" s="32"/>
      <c r="C671" s="32"/>
      <c r="D671" s="32"/>
      <c r="E671" s="32"/>
      <c r="F671" s="32"/>
      <c r="G671" s="32"/>
      <c r="H671" s="32"/>
    </row>
    <row r="672" ht="15.75" customHeight="1">
      <c r="A672" s="32"/>
      <c r="C672" s="32"/>
      <c r="D672" s="32"/>
      <c r="E672" s="32"/>
      <c r="F672" s="32"/>
      <c r="G672" s="32"/>
      <c r="H672" s="32"/>
    </row>
    <row r="673" ht="15.75" customHeight="1">
      <c r="A673" s="32"/>
      <c r="C673" s="32"/>
      <c r="D673" s="32"/>
      <c r="E673" s="32"/>
      <c r="F673" s="32"/>
      <c r="G673" s="32"/>
      <c r="H673" s="32"/>
    </row>
    <row r="674" ht="15.75" customHeight="1">
      <c r="A674" s="32"/>
      <c r="C674" s="32"/>
      <c r="D674" s="32"/>
      <c r="E674" s="32"/>
      <c r="F674" s="32"/>
      <c r="G674" s="32"/>
      <c r="H674" s="32"/>
    </row>
    <row r="675" ht="15.75" customHeight="1">
      <c r="A675" s="32"/>
      <c r="C675" s="32"/>
      <c r="D675" s="32"/>
      <c r="E675" s="32"/>
      <c r="F675" s="32"/>
      <c r="G675" s="32"/>
      <c r="H675" s="32"/>
    </row>
    <row r="676" ht="15.75" customHeight="1">
      <c r="A676" s="32"/>
      <c r="C676" s="32"/>
      <c r="D676" s="32"/>
      <c r="E676" s="32"/>
      <c r="F676" s="32"/>
      <c r="G676" s="32"/>
      <c r="H676" s="32"/>
    </row>
    <row r="677" ht="15.75" customHeight="1">
      <c r="A677" s="32"/>
      <c r="C677" s="32"/>
      <c r="D677" s="32"/>
      <c r="E677" s="32"/>
      <c r="F677" s="32"/>
      <c r="G677" s="32"/>
      <c r="H677" s="32"/>
    </row>
    <row r="678" ht="15.75" customHeight="1">
      <c r="A678" s="32"/>
      <c r="C678" s="32"/>
      <c r="D678" s="32"/>
      <c r="E678" s="32"/>
      <c r="F678" s="32"/>
      <c r="G678" s="32"/>
      <c r="H678" s="32"/>
    </row>
    <row r="679" ht="15.75" customHeight="1">
      <c r="A679" s="32"/>
      <c r="C679" s="32"/>
      <c r="D679" s="32"/>
      <c r="E679" s="32"/>
      <c r="F679" s="32"/>
      <c r="G679" s="32"/>
      <c r="H679" s="32"/>
    </row>
    <row r="680" ht="15.75" customHeight="1">
      <c r="A680" s="32"/>
      <c r="C680" s="32"/>
      <c r="D680" s="32"/>
      <c r="E680" s="32"/>
      <c r="F680" s="32"/>
      <c r="G680" s="32"/>
      <c r="H680" s="32"/>
    </row>
    <row r="681" ht="15.75" customHeight="1">
      <c r="A681" s="32"/>
      <c r="C681" s="32"/>
      <c r="D681" s="32"/>
      <c r="E681" s="32"/>
      <c r="F681" s="32"/>
      <c r="G681" s="32"/>
      <c r="H681" s="32"/>
    </row>
    <row r="682" ht="15.75" customHeight="1">
      <c r="A682" s="32"/>
      <c r="C682" s="32"/>
      <c r="D682" s="32"/>
      <c r="E682" s="32"/>
      <c r="F682" s="32"/>
      <c r="G682" s="32"/>
      <c r="H682" s="32"/>
    </row>
    <row r="683" ht="15.75" customHeight="1">
      <c r="A683" s="32"/>
      <c r="C683" s="32"/>
      <c r="D683" s="32"/>
      <c r="E683" s="32"/>
      <c r="F683" s="32"/>
      <c r="G683" s="32"/>
      <c r="H683" s="32"/>
    </row>
    <row r="684" ht="15.75" customHeight="1">
      <c r="A684" s="32"/>
      <c r="C684" s="32"/>
      <c r="D684" s="32"/>
      <c r="E684" s="32"/>
      <c r="F684" s="32"/>
      <c r="G684" s="32"/>
      <c r="H684" s="32"/>
    </row>
    <row r="685" ht="15.75" customHeight="1">
      <c r="A685" s="32"/>
      <c r="C685" s="32"/>
      <c r="D685" s="32"/>
      <c r="E685" s="32"/>
      <c r="F685" s="32"/>
      <c r="G685" s="32"/>
      <c r="H685" s="32"/>
    </row>
    <row r="686" ht="15.75" customHeight="1">
      <c r="A686" s="32"/>
      <c r="C686" s="32"/>
      <c r="D686" s="32"/>
      <c r="E686" s="32"/>
      <c r="F686" s="32"/>
      <c r="G686" s="32"/>
      <c r="H686" s="32"/>
    </row>
    <row r="687" ht="15.75" customHeight="1">
      <c r="A687" s="32"/>
      <c r="C687" s="32"/>
      <c r="D687" s="32"/>
      <c r="E687" s="32"/>
      <c r="F687" s="32"/>
      <c r="G687" s="32"/>
      <c r="H687" s="32"/>
    </row>
    <row r="688" ht="15.75" customHeight="1">
      <c r="A688" s="32"/>
      <c r="C688" s="32"/>
      <c r="D688" s="32"/>
      <c r="E688" s="32"/>
      <c r="F688" s="32"/>
      <c r="G688" s="32"/>
      <c r="H688" s="32"/>
    </row>
    <row r="689" ht="15.75" customHeight="1">
      <c r="A689" s="32"/>
      <c r="C689" s="32"/>
      <c r="D689" s="32"/>
      <c r="E689" s="32"/>
      <c r="F689" s="32"/>
      <c r="G689" s="32"/>
      <c r="H689" s="32"/>
    </row>
    <row r="690" ht="15.75" customHeight="1">
      <c r="A690" s="32"/>
      <c r="C690" s="32"/>
      <c r="D690" s="32"/>
      <c r="E690" s="32"/>
      <c r="F690" s="32"/>
      <c r="G690" s="32"/>
      <c r="H690" s="32"/>
    </row>
    <row r="691" ht="15.75" customHeight="1">
      <c r="A691" s="32"/>
      <c r="C691" s="32"/>
      <c r="D691" s="32"/>
      <c r="E691" s="32"/>
      <c r="F691" s="32"/>
      <c r="G691" s="32"/>
      <c r="H691" s="32"/>
    </row>
    <row r="692" ht="15.75" customHeight="1">
      <c r="A692" s="32"/>
      <c r="C692" s="32"/>
      <c r="D692" s="32"/>
      <c r="E692" s="32"/>
      <c r="F692" s="32"/>
      <c r="G692" s="32"/>
      <c r="H692" s="32"/>
    </row>
    <row r="693" ht="15.75" customHeight="1">
      <c r="A693" s="32"/>
      <c r="C693" s="32"/>
      <c r="D693" s="32"/>
      <c r="E693" s="32"/>
      <c r="F693" s="32"/>
      <c r="G693" s="32"/>
      <c r="H693" s="32"/>
    </row>
    <row r="694" ht="15.75" customHeight="1">
      <c r="A694" s="32"/>
      <c r="C694" s="32"/>
      <c r="D694" s="32"/>
      <c r="E694" s="32"/>
      <c r="F694" s="32"/>
      <c r="G694" s="32"/>
      <c r="H694" s="32"/>
    </row>
    <row r="695" ht="15.75" customHeight="1">
      <c r="A695" s="32"/>
      <c r="C695" s="32"/>
      <c r="D695" s="32"/>
      <c r="E695" s="32"/>
      <c r="F695" s="32"/>
      <c r="G695" s="32"/>
      <c r="H695" s="32"/>
    </row>
    <row r="696" ht="15.75" customHeight="1">
      <c r="A696" s="32"/>
      <c r="C696" s="32"/>
      <c r="D696" s="32"/>
      <c r="E696" s="32"/>
      <c r="F696" s="32"/>
      <c r="G696" s="32"/>
      <c r="H696" s="32"/>
    </row>
    <row r="697" ht="15.75" customHeight="1">
      <c r="A697" s="32"/>
      <c r="C697" s="32"/>
      <c r="D697" s="32"/>
      <c r="E697" s="32"/>
      <c r="F697" s="32"/>
      <c r="G697" s="32"/>
      <c r="H697" s="32"/>
    </row>
    <row r="698" ht="15.75" customHeight="1">
      <c r="A698" s="32"/>
      <c r="C698" s="32"/>
      <c r="D698" s="32"/>
      <c r="E698" s="32"/>
      <c r="F698" s="32"/>
      <c r="G698" s="32"/>
      <c r="H698" s="32"/>
    </row>
    <row r="699" ht="15.75" customHeight="1">
      <c r="A699" s="32"/>
      <c r="C699" s="32"/>
      <c r="D699" s="32"/>
      <c r="E699" s="32"/>
      <c r="F699" s="32"/>
      <c r="G699" s="32"/>
      <c r="H699" s="32"/>
    </row>
    <row r="700" ht="15.75" customHeight="1">
      <c r="A700" s="32"/>
      <c r="C700" s="32"/>
      <c r="D700" s="32"/>
      <c r="E700" s="32"/>
      <c r="F700" s="32"/>
      <c r="G700" s="32"/>
      <c r="H700" s="32"/>
    </row>
    <row r="701" ht="15.75" customHeight="1">
      <c r="A701" s="32"/>
      <c r="C701" s="32"/>
      <c r="D701" s="32"/>
      <c r="E701" s="32"/>
      <c r="F701" s="32"/>
      <c r="G701" s="32"/>
      <c r="H701" s="32"/>
    </row>
    <row r="702" ht="15.75" customHeight="1">
      <c r="A702" s="32"/>
      <c r="C702" s="32"/>
      <c r="D702" s="32"/>
      <c r="E702" s="32"/>
      <c r="F702" s="32"/>
      <c r="G702" s="32"/>
      <c r="H702" s="32"/>
    </row>
    <row r="703" ht="15.75" customHeight="1">
      <c r="A703" s="32"/>
      <c r="C703" s="32"/>
      <c r="D703" s="32"/>
      <c r="E703" s="32"/>
      <c r="F703" s="32"/>
      <c r="G703" s="32"/>
      <c r="H703" s="32"/>
    </row>
    <row r="704" ht="15.75" customHeight="1">
      <c r="A704" s="32"/>
      <c r="C704" s="32"/>
      <c r="D704" s="32"/>
      <c r="E704" s="32"/>
      <c r="F704" s="32"/>
      <c r="G704" s="32"/>
      <c r="H704" s="32"/>
    </row>
    <row r="705" ht="15.75" customHeight="1">
      <c r="A705" s="32"/>
      <c r="C705" s="32"/>
      <c r="D705" s="32"/>
      <c r="E705" s="32"/>
      <c r="F705" s="32"/>
      <c r="G705" s="32"/>
      <c r="H705" s="32"/>
    </row>
    <row r="706" ht="15.75" customHeight="1">
      <c r="A706" s="32"/>
      <c r="C706" s="32"/>
      <c r="D706" s="32"/>
      <c r="E706" s="32"/>
      <c r="F706" s="32"/>
      <c r="G706" s="32"/>
      <c r="H706" s="32"/>
    </row>
    <row r="707" ht="15.75" customHeight="1">
      <c r="A707" s="32"/>
      <c r="C707" s="32"/>
      <c r="D707" s="32"/>
      <c r="E707" s="32"/>
      <c r="F707" s="32"/>
      <c r="G707" s="32"/>
      <c r="H707" s="32"/>
    </row>
    <row r="708" ht="15.75" customHeight="1">
      <c r="A708" s="32"/>
      <c r="C708" s="32"/>
      <c r="D708" s="32"/>
      <c r="E708" s="32"/>
      <c r="F708" s="32"/>
      <c r="G708" s="32"/>
      <c r="H708" s="32"/>
    </row>
    <row r="709" ht="15.75" customHeight="1">
      <c r="A709" s="32"/>
      <c r="C709" s="32"/>
      <c r="D709" s="32"/>
      <c r="E709" s="32"/>
      <c r="F709" s="32"/>
      <c r="G709" s="32"/>
      <c r="H709" s="32"/>
    </row>
    <row r="710" ht="15.75" customHeight="1">
      <c r="A710" s="32"/>
      <c r="C710" s="32"/>
      <c r="D710" s="32"/>
      <c r="E710" s="32"/>
      <c r="F710" s="32"/>
      <c r="G710" s="32"/>
      <c r="H710" s="32"/>
    </row>
    <row r="711" ht="15.75" customHeight="1">
      <c r="A711" s="32"/>
      <c r="C711" s="32"/>
      <c r="D711" s="32"/>
      <c r="E711" s="32"/>
      <c r="F711" s="32"/>
      <c r="G711" s="32"/>
      <c r="H711" s="32"/>
    </row>
    <row r="712" ht="15.75" customHeight="1">
      <c r="A712" s="32"/>
      <c r="C712" s="32"/>
      <c r="D712" s="32"/>
      <c r="E712" s="32"/>
      <c r="F712" s="32"/>
      <c r="G712" s="32"/>
      <c r="H712" s="32"/>
    </row>
    <row r="713" ht="15.75" customHeight="1">
      <c r="A713" s="32"/>
      <c r="C713" s="32"/>
      <c r="D713" s="32"/>
      <c r="E713" s="32"/>
      <c r="F713" s="32"/>
      <c r="G713" s="32"/>
      <c r="H713" s="32"/>
    </row>
    <row r="714" ht="15.75" customHeight="1">
      <c r="A714" s="32"/>
      <c r="C714" s="32"/>
      <c r="D714" s="32"/>
      <c r="E714" s="32"/>
      <c r="F714" s="32"/>
      <c r="G714" s="32"/>
      <c r="H714" s="32"/>
    </row>
    <row r="715" ht="15.75" customHeight="1">
      <c r="A715" s="32"/>
      <c r="C715" s="32"/>
      <c r="D715" s="32"/>
      <c r="E715" s="32"/>
      <c r="F715" s="32"/>
      <c r="G715" s="32"/>
      <c r="H715" s="32"/>
    </row>
    <row r="716" ht="15.75" customHeight="1">
      <c r="A716" s="32"/>
      <c r="C716" s="32"/>
      <c r="D716" s="32"/>
      <c r="E716" s="32"/>
      <c r="F716" s="32"/>
      <c r="G716" s="32"/>
      <c r="H716" s="32"/>
    </row>
    <row r="717" ht="15.75" customHeight="1">
      <c r="A717" s="32"/>
      <c r="C717" s="32"/>
      <c r="D717" s="32"/>
      <c r="E717" s="32"/>
      <c r="F717" s="32"/>
      <c r="G717" s="32"/>
      <c r="H717" s="32"/>
    </row>
    <row r="718" ht="15.75" customHeight="1">
      <c r="A718" s="32"/>
      <c r="C718" s="32"/>
      <c r="D718" s="32"/>
      <c r="E718" s="32"/>
      <c r="F718" s="32"/>
      <c r="G718" s="32"/>
      <c r="H718" s="32"/>
    </row>
    <row r="719" ht="15.75" customHeight="1">
      <c r="A719" s="32"/>
      <c r="C719" s="32"/>
      <c r="D719" s="32"/>
      <c r="E719" s="32"/>
      <c r="F719" s="32"/>
      <c r="G719" s="32"/>
      <c r="H719" s="32"/>
    </row>
    <row r="720" ht="15.75" customHeight="1">
      <c r="A720" s="32"/>
      <c r="C720" s="32"/>
      <c r="D720" s="32"/>
      <c r="E720" s="32"/>
      <c r="F720" s="32"/>
      <c r="G720" s="32"/>
      <c r="H720" s="32"/>
    </row>
    <row r="721" ht="15.75" customHeight="1">
      <c r="A721" s="32"/>
      <c r="C721" s="32"/>
      <c r="D721" s="32"/>
      <c r="E721" s="32"/>
      <c r="F721" s="32"/>
      <c r="G721" s="32"/>
      <c r="H721" s="32"/>
    </row>
    <row r="722" ht="15.75" customHeight="1">
      <c r="A722" s="32"/>
      <c r="C722" s="32"/>
      <c r="D722" s="32"/>
      <c r="E722" s="32"/>
      <c r="F722" s="32"/>
      <c r="G722" s="32"/>
      <c r="H722" s="32"/>
    </row>
    <row r="723" ht="15.75" customHeight="1">
      <c r="A723" s="32"/>
      <c r="C723" s="32"/>
      <c r="D723" s="32"/>
      <c r="E723" s="32"/>
      <c r="F723" s="32"/>
      <c r="G723" s="32"/>
      <c r="H723" s="32"/>
    </row>
    <row r="724" ht="15.75" customHeight="1">
      <c r="A724" s="32"/>
      <c r="C724" s="32"/>
      <c r="D724" s="32"/>
      <c r="E724" s="32"/>
      <c r="F724" s="32"/>
      <c r="G724" s="32"/>
      <c r="H724" s="32"/>
    </row>
    <row r="725" ht="15.75" customHeight="1">
      <c r="A725" s="32"/>
      <c r="C725" s="32"/>
      <c r="D725" s="32"/>
      <c r="E725" s="32"/>
      <c r="F725" s="32"/>
      <c r="G725" s="32"/>
      <c r="H725" s="32"/>
    </row>
    <row r="726" ht="15.75" customHeight="1">
      <c r="A726" s="32"/>
      <c r="C726" s="32"/>
      <c r="D726" s="32"/>
      <c r="E726" s="32"/>
      <c r="F726" s="32"/>
      <c r="G726" s="32"/>
      <c r="H726" s="32"/>
    </row>
    <row r="727" ht="15.75" customHeight="1">
      <c r="A727" s="32"/>
      <c r="C727" s="32"/>
      <c r="D727" s="32"/>
      <c r="E727" s="32"/>
      <c r="F727" s="32"/>
      <c r="G727" s="32"/>
      <c r="H727" s="32"/>
    </row>
    <row r="728" ht="15.75" customHeight="1">
      <c r="A728" s="32"/>
      <c r="C728" s="32"/>
      <c r="D728" s="32"/>
      <c r="E728" s="32"/>
      <c r="F728" s="32"/>
      <c r="G728" s="32"/>
      <c r="H728" s="32"/>
    </row>
    <row r="729" ht="15.75" customHeight="1">
      <c r="A729" s="32"/>
      <c r="C729" s="32"/>
      <c r="D729" s="32"/>
      <c r="E729" s="32"/>
      <c r="F729" s="32"/>
      <c r="G729" s="32"/>
      <c r="H729" s="32"/>
    </row>
    <row r="730" ht="15.75" customHeight="1">
      <c r="A730" s="32"/>
      <c r="C730" s="32"/>
      <c r="D730" s="32"/>
      <c r="E730" s="32"/>
      <c r="F730" s="32"/>
      <c r="G730" s="32"/>
      <c r="H730" s="32"/>
    </row>
    <row r="731" ht="15.75" customHeight="1">
      <c r="A731" s="32"/>
      <c r="C731" s="32"/>
      <c r="D731" s="32"/>
      <c r="E731" s="32"/>
      <c r="F731" s="32"/>
      <c r="G731" s="32"/>
      <c r="H731" s="32"/>
    </row>
    <row r="732" ht="15.75" customHeight="1">
      <c r="A732" s="32"/>
      <c r="C732" s="32"/>
      <c r="D732" s="32"/>
      <c r="E732" s="32"/>
      <c r="F732" s="32"/>
      <c r="G732" s="32"/>
      <c r="H732" s="32"/>
    </row>
    <row r="733" ht="15.75" customHeight="1">
      <c r="A733" s="32"/>
      <c r="C733" s="32"/>
      <c r="D733" s="32"/>
      <c r="E733" s="32"/>
      <c r="F733" s="32"/>
      <c r="G733" s="32"/>
      <c r="H733" s="32"/>
    </row>
    <row r="734" ht="15.75" customHeight="1">
      <c r="A734" s="32"/>
      <c r="C734" s="32"/>
      <c r="D734" s="32"/>
      <c r="E734" s="32"/>
      <c r="F734" s="32"/>
      <c r="G734" s="32"/>
      <c r="H734" s="32"/>
    </row>
    <row r="735" ht="15.75" customHeight="1">
      <c r="A735" s="32"/>
      <c r="C735" s="32"/>
      <c r="D735" s="32"/>
      <c r="E735" s="32"/>
      <c r="F735" s="32"/>
      <c r="G735" s="32"/>
      <c r="H735" s="32"/>
    </row>
    <row r="736" ht="15.75" customHeight="1">
      <c r="A736" s="32"/>
      <c r="C736" s="32"/>
      <c r="D736" s="32"/>
      <c r="E736" s="32"/>
      <c r="F736" s="32"/>
      <c r="G736" s="32"/>
      <c r="H736" s="32"/>
    </row>
    <row r="737" ht="15.75" customHeight="1">
      <c r="A737" s="32"/>
      <c r="C737" s="32"/>
      <c r="D737" s="32"/>
      <c r="E737" s="32"/>
      <c r="F737" s="32"/>
      <c r="G737" s="32"/>
      <c r="H737" s="32"/>
    </row>
    <row r="738" ht="15.75" customHeight="1">
      <c r="A738" s="32"/>
      <c r="C738" s="32"/>
      <c r="D738" s="32"/>
      <c r="E738" s="32"/>
      <c r="F738" s="32"/>
      <c r="G738" s="32"/>
      <c r="H738" s="32"/>
    </row>
    <row r="739" ht="15.75" customHeight="1">
      <c r="A739" s="32"/>
      <c r="C739" s="32"/>
      <c r="D739" s="32"/>
      <c r="E739" s="32"/>
      <c r="F739" s="32"/>
      <c r="G739" s="32"/>
      <c r="H739" s="32"/>
    </row>
    <row r="740" ht="15.75" customHeight="1">
      <c r="A740" s="32"/>
      <c r="C740" s="32"/>
      <c r="D740" s="32"/>
      <c r="E740" s="32"/>
      <c r="F740" s="32"/>
      <c r="G740" s="32"/>
      <c r="H740" s="32"/>
    </row>
    <row r="741" ht="15.75" customHeight="1">
      <c r="A741" s="32"/>
      <c r="C741" s="32"/>
      <c r="D741" s="32"/>
      <c r="E741" s="32"/>
      <c r="F741" s="32"/>
      <c r="G741" s="32"/>
      <c r="H741" s="32"/>
    </row>
    <row r="742" ht="15.75" customHeight="1">
      <c r="A742" s="32"/>
      <c r="C742" s="32"/>
      <c r="D742" s="32"/>
      <c r="E742" s="32"/>
      <c r="F742" s="32"/>
      <c r="G742" s="32"/>
      <c r="H742" s="32"/>
    </row>
    <row r="743" ht="15.75" customHeight="1">
      <c r="A743" s="32"/>
      <c r="C743" s="32"/>
      <c r="D743" s="32"/>
      <c r="E743" s="32"/>
      <c r="F743" s="32"/>
      <c r="G743" s="32"/>
      <c r="H743" s="32"/>
    </row>
    <row r="744" ht="15.75" customHeight="1">
      <c r="A744" s="32"/>
      <c r="C744" s="32"/>
      <c r="D744" s="32"/>
      <c r="E744" s="32"/>
      <c r="F744" s="32"/>
      <c r="G744" s="32"/>
      <c r="H744" s="32"/>
    </row>
    <row r="745" ht="15.75" customHeight="1">
      <c r="A745" s="32"/>
      <c r="C745" s="32"/>
      <c r="D745" s="32"/>
      <c r="E745" s="32"/>
      <c r="F745" s="32"/>
      <c r="G745" s="32"/>
      <c r="H745" s="32"/>
    </row>
    <row r="746" ht="15.75" customHeight="1">
      <c r="A746" s="32"/>
      <c r="C746" s="32"/>
      <c r="D746" s="32"/>
      <c r="E746" s="32"/>
      <c r="F746" s="32"/>
      <c r="G746" s="32"/>
      <c r="H746" s="32"/>
    </row>
    <row r="747" ht="15.75" customHeight="1">
      <c r="A747" s="32"/>
      <c r="C747" s="32"/>
      <c r="D747" s="32"/>
      <c r="E747" s="32"/>
      <c r="F747" s="32"/>
      <c r="G747" s="32"/>
      <c r="H747" s="32"/>
    </row>
    <row r="748" ht="15.75" customHeight="1">
      <c r="A748" s="32"/>
      <c r="C748" s="32"/>
      <c r="D748" s="32"/>
      <c r="E748" s="32"/>
      <c r="F748" s="32"/>
      <c r="G748" s="32"/>
      <c r="H748" s="32"/>
    </row>
    <row r="749" ht="15.75" customHeight="1">
      <c r="A749" s="32"/>
      <c r="C749" s="32"/>
      <c r="D749" s="32"/>
      <c r="E749" s="32"/>
      <c r="F749" s="32"/>
      <c r="G749" s="32"/>
      <c r="H749" s="32"/>
    </row>
    <row r="750" ht="15.75" customHeight="1">
      <c r="A750" s="32"/>
      <c r="C750" s="32"/>
      <c r="D750" s="32"/>
      <c r="E750" s="32"/>
      <c r="F750" s="32"/>
      <c r="G750" s="32"/>
      <c r="H750" s="32"/>
    </row>
    <row r="751" ht="15.75" customHeight="1">
      <c r="A751" s="32"/>
      <c r="C751" s="32"/>
      <c r="D751" s="32"/>
      <c r="E751" s="32"/>
      <c r="F751" s="32"/>
      <c r="G751" s="32"/>
      <c r="H751" s="32"/>
    </row>
    <row r="752" ht="15.75" customHeight="1">
      <c r="A752" s="32"/>
      <c r="C752" s="32"/>
      <c r="D752" s="32"/>
      <c r="E752" s="32"/>
      <c r="F752" s="32"/>
      <c r="G752" s="32"/>
      <c r="H752" s="32"/>
    </row>
    <row r="753" ht="15.75" customHeight="1">
      <c r="A753" s="32"/>
      <c r="C753" s="32"/>
      <c r="D753" s="32"/>
      <c r="E753" s="32"/>
      <c r="F753" s="32"/>
      <c r="G753" s="32"/>
      <c r="H753" s="32"/>
    </row>
    <row r="754" ht="15.75" customHeight="1">
      <c r="A754" s="32"/>
      <c r="C754" s="32"/>
      <c r="D754" s="32"/>
      <c r="E754" s="32"/>
      <c r="F754" s="32"/>
      <c r="G754" s="32"/>
      <c r="H754" s="32"/>
    </row>
    <row r="755" ht="15.75" customHeight="1">
      <c r="A755" s="32"/>
      <c r="C755" s="32"/>
      <c r="D755" s="32"/>
      <c r="E755" s="32"/>
      <c r="F755" s="32"/>
      <c r="G755" s="32"/>
      <c r="H755" s="32"/>
    </row>
    <row r="756" ht="15.75" customHeight="1">
      <c r="A756" s="32"/>
      <c r="C756" s="32"/>
      <c r="D756" s="32"/>
      <c r="E756" s="32"/>
      <c r="F756" s="32"/>
      <c r="G756" s="32"/>
      <c r="H756" s="32"/>
    </row>
    <row r="757" ht="15.75" customHeight="1">
      <c r="A757" s="32"/>
      <c r="C757" s="32"/>
      <c r="D757" s="32"/>
      <c r="E757" s="32"/>
      <c r="F757" s="32"/>
      <c r="G757" s="32"/>
      <c r="H757" s="32"/>
    </row>
    <row r="758" ht="15.75" customHeight="1">
      <c r="A758" s="32"/>
      <c r="C758" s="32"/>
      <c r="D758" s="32"/>
      <c r="E758" s="32"/>
      <c r="F758" s="32"/>
      <c r="G758" s="32"/>
      <c r="H758" s="32"/>
    </row>
    <row r="759" ht="15.75" customHeight="1">
      <c r="A759" s="32"/>
      <c r="C759" s="32"/>
      <c r="D759" s="32"/>
      <c r="E759" s="32"/>
      <c r="F759" s="32"/>
      <c r="G759" s="32"/>
      <c r="H759" s="32"/>
    </row>
    <row r="760" ht="15.75" customHeight="1">
      <c r="A760" s="32"/>
      <c r="C760" s="32"/>
      <c r="D760" s="32"/>
      <c r="E760" s="32"/>
      <c r="F760" s="32"/>
      <c r="G760" s="32"/>
      <c r="H760" s="32"/>
    </row>
    <row r="761" ht="15.75" customHeight="1">
      <c r="A761" s="32"/>
      <c r="C761" s="32"/>
      <c r="D761" s="32"/>
      <c r="E761" s="32"/>
      <c r="F761" s="32"/>
      <c r="G761" s="32"/>
      <c r="H761" s="32"/>
    </row>
    <row r="762" ht="15.75" customHeight="1">
      <c r="A762" s="32"/>
      <c r="C762" s="32"/>
      <c r="D762" s="32"/>
      <c r="E762" s="32"/>
      <c r="F762" s="32"/>
      <c r="G762" s="32"/>
      <c r="H762" s="32"/>
    </row>
    <row r="763" ht="15.75" customHeight="1">
      <c r="A763" s="32"/>
      <c r="C763" s="32"/>
      <c r="D763" s="32"/>
      <c r="E763" s="32"/>
      <c r="F763" s="32"/>
      <c r="G763" s="32"/>
      <c r="H763" s="32"/>
    </row>
    <row r="764" ht="15.75" customHeight="1">
      <c r="A764" s="32"/>
      <c r="C764" s="32"/>
      <c r="D764" s="32"/>
      <c r="E764" s="32"/>
      <c r="F764" s="32"/>
      <c r="G764" s="32"/>
      <c r="H764" s="32"/>
    </row>
    <row r="765" ht="15.75" customHeight="1">
      <c r="A765" s="32"/>
      <c r="C765" s="32"/>
      <c r="D765" s="32"/>
      <c r="E765" s="32"/>
      <c r="F765" s="32"/>
      <c r="G765" s="32"/>
      <c r="H765" s="32"/>
    </row>
    <row r="766" ht="15.75" customHeight="1">
      <c r="A766" s="32"/>
      <c r="C766" s="32"/>
      <c r="D766" s="32"/>
      <c r="E766" s="32"/>
      <c r="F766" s="32"/>
      <c r="G766" s="32"/>
      <c r="H766" s="32"/>
    </row>
    <row r="767" ht="15.75" customHeight="1">
      <c r="A767" s="32"/>
      <c r="C767" s="32"/>
      <c r="D767" s="32"/>
      <c r="E767" s="32"/>
      <c r="F767" s="32"/>
      <c r="G767" s="32"/>
      <c r="H767" s="32"/>
    </row>
    <row r="768" ht="15.75" customHeight="1">
      <c r="A768" s="32"/>
      <c r="C768" s="32"/>
      <c r="D768" s="32"/>
      <c r="E768" s="32"/>
      <c r="F768" s="32"/>
      <c r="G768" s="32"/>
      <c r="H768" s="32"/>
    </row>
    <row r="769" ht="15.75" customHeight="1">
      <c r="A769" s="32"/>
      <c r="C769" s="32"/>
      <c r="D769" s="32"/>
      <c r="E769" s="32"/>
      <c r="F769" s="32"/>
      <c r="G769" s="32"/>
      <c r="H769" s="32"/>
    </row>
    <row r="770" ht="15.75" customHeight="1">
      <c r="A770" s="32"/>
      <c r="C770" s="32"/>
      <c r="D770" s="32"/>
      <c r="E770" s="32"/>
      <c r="F770" s="32"/>
      <c r="G770" s="32"/>
      <c r="H770" s="32"/>
    </row>
    <row r="771" ht="15.75" customHeight="1">
      <c r="A771" s="32"/>
      <c r="C771" s="32"/>
      <c r="D771" s="32"/>
      <c r="E771" s="32"/>
      <c r="F771" s="32"/>
      <c r="G771" s="32"/>
      <c r="H771" s="32"/>
    </row>
    <row r="772" ht="15.75" customHeight="1">
      <c r="A772" s="32"/>
      <c r="C772" s="32"/>
      <c r="D772" s="32"/>
      <c r="E772" s="32"/>
      <c r="F772" s="32"/>
      <c r="G772" s="32"/>
      <c r="H772" s="32"/>
    </row>
    <row r="773" ht="15.75" customHeight="1">
      <c r="A773" s="32"/>
      <c r="C773" s="32"/>
      <c r="D773" s="32"/>
      <c r="E773" s="32"/>
      <c r="F773" s="32"/>
      <c r="G773" s="32"/>
      <c r="H773" s="32"/>
    </row>
    <row r="774" ht="15.75" customHeight="1">
      <c r="A774" s="32"/>
      <c r="C774" s="32"/>
      <c r="D774" s="32"/>
      <c r="E774" s="32"/>
      <c r="F774" s="32"/>
      <c r="G774" s="32"/>
      <c r="H774" s="32"/>
    </row>
    <row r="775" ht="15.75" customHeight="1">
      <c r="A775" s="32"/>
      <c r="C775" s="32"/>
      <c r="D775" s="32"/>
      <c r="E775" s="32"/>
      <c r="F775" s="32"/>
      <c r="G775" s="32"/>
      <c r="H775" s="32"/>
    </row>
    <row r="776" ht="15.75" customHeight="1">
      <c r="A776" s="32"/>
      <c r="C776" s="32"/>
      <c r="D776" s="32"/>
      <c r="E776" s="32"/>
      <c r="F776" s="32"/>
      <c r="G776" s="32"/>
      <c r="H776" s="32"/>
    </row>
    <row r="777" ht="15.75" customHeight="1">
      <c r="A777" s="32"/>
      <c r="C777" s="32"/>
      <c r="D777" s="32"/>
      <c r="E777" s="32"/>
      <c r="F777" s="32"/>
      <c r="G777" s="32"/>
      <c r="H777" s="32"/>
    </row>
    <row r="778" ht="15.75" customHeight="1">
      <c r="A778" s="32"/>
      <c r="C778" s="32"/>
      <c r="D778" s="32"/>
      <c r="E778" s="32"/>
      <c r="F778" s="32"/>
      <c r="G778" s="32"/>
      <c r="H778" s="32"/>
    </row>
    <row r="779" ht="15.75" customHeight="1">
      <c r="A779" s="32"/>
      <c r="C779" s="32"/>
      <c r="D779" s="32"/>
      <c r="E779" s="32"/>
      <c r="F779" s="32"/>
      <c r="G779" s="32"/>
      <c r="H779" s="32"/>
    </row>
    <row r="780" ht="15.75" customHeight="1">
      <c r="A780" s="32"/>
      <c r="C780" s="32"/>
      <c r="D780" s="32"/>
      <c r="E780" s="32"/>
      <c r="F780" s="32"/>
      <c r="G780" s="32"/>
      <c r="H780" s="32"/>
    </row>
    <row r="781" ht="15.75" customHeight="1">
      <c r="A781" s="32"/>
      <c r="C781" s="32"/>
      <c r="D781" s="32"/>
      <c r="E781" s="32"/>
      <c r="F781" s="32"/>
      <c r="G781" s="32"/>
      <c r="H781" s="32"/>
    </row>
    <row r="782" ht="15.75" customHeight="1">
      <c r="A782" s="32"/>
      <c r="C782" s="32"/>
      <c r="D782" s="32"/>
      <c r="E782" s="32"/>
      <c r="F782" s="32"/>
      <c r="G782" s="32"/>
      <c r="H782" s="32"/>
    </row>
    <row r="783" ht="15.75" customHeight="1">
      <c r="A783" s="32"/>
      <c r="C783" s="32"/>
      <c r="D783" s="32"/>
      <c r="E783" s="32"/>
      <c r="F783" s="32"/>
      <c r="G783" s="32"/>
      <c r="H783" s="32"/>
    </row>
    <row r="784" ht="15.75" customHeight="1">
      <c r="A784" s="32"/>
      <c r="C784" s="32"/>
      <c r="D784" s="32"/>
      <c r="E784" s="32"/>
      <c r="F784" s="32"/>
      <c r="G784" s="32"/>
      <c r="H784" s="32"/>
    </row>
    <row r="785" ht="15.75" customHeight="1">
      <c r="A785" s="32"/>
      <c r="C785" s="32"/>
      <c r="D785" s="32"/>
      <c r="E785" s="32"/>
      <c r="F785" s="32"/>
      <c r="G785" s="32"/>
      <c r="H785" s="32"/>
    </row>
    <row r="786" ht="15.75" customHeight="1">
      <c r="A786" s="32"/>
      <c r="C786" s="32"/>
      <c r="D786" s="32"/>
      <c r="E786" s="32"/>
      <c r="F786" s="32"/>
      <c r="G786" s="32"/>
      <c r="H786" s="32"/>
    </row>
    <row r="787" ht="15.75" customHeight="1">
      <c r="A787" s="32"/>
      <c r="C787" s="32"/>
      <c r="D787" s="32"/>
      <c r="E787" s="32"/>
      <c r="F787" s="32"/>
      <c r="G787" s="32"/>
      <c r="H787" s="32"/>
    </row>
    <row r="788" ht="15.75" customHeight="1">
      <c r="A788" s="32"/>
      <c r="C788" s="32"/>
      <c r="D788" s="32"/>
      <c r="E788" s="32"/>
      <c r="F788" s="32"/>
      <c r="G788" s="32"/>
      <c r="H788" s="32"/>
    </row>
    <row r="789" ht="15.75" customHeight="1">
      <c r="A789" s="32"/>
      <c r="C789" s="32"/>
      <c r="D789" s="32"/>
      <c r="E789" s="32"/>
      <c r="F789" s="32"/>
      <c r="G789" s="32"/>
      <c r="H789" s="32"/>
    </row>
    <row r="790" ht="15.75" customHeight="1">
      <c r="A790" s="32"/>
      <c r="C790" s="32"/>
      <c r="D790" s="32"/>
      <c r="E790" s="32"/>
      <c r="F790" s="32"/>
      <c r="G790" s="32"/>
      <c r="H790" s="32"/>
    </row>
    <row r="791" ht="15.75" customHeight="1">
      <c r="A791" s="32"/>
      <c r="C791" s="32"/>
      <c r="D791" s="32"/>
      <c r="E791" s="32"/>
      <c r="F791" s="32"/>
      <c r="G791" s="32"/>
      <c r="H791" s="32"/>
    </row>
    <row r="792" ht="15.75" customHeight="1">
      <c r="A792" s="32"/>
      <c r="C792" s="32"/>
      <c r="D792" s="32"/>
      <c r="E792" s="32"/>
      <c r="F792" s="32"/>
      <c r="G792" s="32"/>
      <c r="H792" s="32"/>
    </row>
    <row r="793" ht="15.75" customHeight="1">
      <c r="A793" s="32"/>
      <c r="C793" s="32"/>
      <c r="D793" s="32"/>
      <c r="E793" s="32"/>
      <c r="F793" s="32"/>
      <c r="G793" s="32"/>
      <c r="H793" s="32"/>
    </row>
    <row r="794" ht="15.75" customHeight="1">
      <c r="A794" s="32"/>
      <c r="C794" s="32"/>
      <c r="D794" s="32"/>
      <c r="E794" s="32"/>
      <c r="F794" s="32"/>
      <c r="G794" s="32"/>
      <c r="H794" s="32"/>
    </row>
    <row r="795" ht="15.75" customHeight="1">
      <c r="A795" s="32"/>
      <c r="C795" s="32"/>
      <c r="D795" s="32"/>
      <c r="E795" s="32"/>
      <c r="F795" s="32"/>
      <c r="G795" s="32"/>
      <c r="H795" s="32"/>
    </row>
    <row r="796" ht="15.75" customHeight="1">
      <c r="A796" s="32"/>
      <c r="C796" s="32"/>
      <c r="D796" s="32"/>
      <c r="E796" s="32"/>
      <c r="F796" s="32"/>
      <c r="G796" s="32"/>
      <c r="H796" s="32"/>
    </row>
    <row r="797" ht="15.75" customHeight="1">
      <c r="A797" s="32"/>
      <c r="C797" s="32"/>
      <c r="D797" s="32"/>
      <c r="E797" s="32"/>
      <c r="F797" s="32"/>
      <c r="G797" s="32"/>
      <c r="H797" s="32"/>
    </row>
    <row r="798" ht="15.75" customHeight="1">
      <c r="A798" s="32"/>
      <c r="C798" s="32"/>
      <c r="D798" s="32"/>
      <c r="E798" s="32"/>
      <c r="F798" s="32"/>
      <c r="G798" s="32"/>
      <c r="H798" s="32"/>
    </row>
    <row r="799" ht="15.75" customHeight="1">
      <c r="A799" s="32"/>
      <c r="C799" s="32"/>
      <c r="D799" s="32"/>
      <c r="E799" s="32"/>
      <c r="F799" s="32"/>
      <c r="G799" s="32"/>
      <c r="H799" s="32"/>
    </row>
    <row r="800" ht="15.75" customHeight="1">
      <c r="A800" s="32"/>
      <c r="C800" s="32"/>
      <c r="D800" s="32"/>
      <c r="E800" s="32"/>
      <c r="F800" s="32"/>
      <c r="G800" s="32"/>
      <c r="H800" s="32"/>
    </row>
    <row r="801" ht="15.75" customHeight="1">
      <c r="A801" s="32"/>
      <c r="C801" s="32"/>
      <c r="D801" s="32"/>
      <c r="E801" s="32"/>
      <c r="F801" s="32"/>
      <c r="G801" s="32"/>
      <c r="H801" s="32"/>
    </row>
    <row r="802" ht="15.75" customHeight="1">
      <c r="A802" s="32"/>
      <c r="C802" s="32"/>
      <c r="D802" s="32"/>
      <c r="E802" s="32"/>
      <c r="F802" s="32"/>
      <c r="G802" s="32"/>
      <c r="H802" s="32"/>
    </row>
    <row r="803" ht="15.75" customHeight="1">
      <c r="A803" s="32"/>
      <c r="C803" s="32"/>
      <c r="D803" s="32"/>
      <c r="E803" s="32"/>
      <c r="F803" s="32"/>
      <c r="G803" s="32"/>
      <c r="H803" s="32"/>
    </row>
    <row r="804" ht="15.75" customHeight="1">
      <c r="A804" s="32"/>
      <c r="C804" s="32"/>
      <c r="D804" s="32"/>
      <c r="E804" s="32"/>
      <c r="F804" s="32"/>
      <c r="G804" s="32"/>
      <c r="H804" s="32"/>
    </row>
    <row r="805" ht="15.75" customHeight="1">
      <c r="A805" s="32"/>
      <c r="C805" s="32"/>
      <c r="D805" s="32"/>
      <c r="E805" s="32"/>
      <c r="F805" s="32"/>
      <c r="G805" s="32"/>
      <c r="H805" s="32"/>
    </row>
    <row r="806" ht="15.75" customHeight="1">
      <c r="A806" s="32"/>
      <c r="C806" s="32"/>
      <c r="D806" s="32"/>
      <c r="E806" s="32"/>
      <c r="F806" s="32"/>
      <c r="G806" s="32"/>
      <c r="H806" s="32"/>
    </row>
    <row r="807" ht="15.75" customHeight="1">
      <c r="A807" s="32"/>
      <c r="C807" s="32"/>
      <c r="D807" s="32"/>
      <c r="E807" s="32"/>
      <c r="F807" s="32"/>
      <c r="G807" s="32"/>
      <c r="H807" s="32"/>
    </row>
    <row r="808" ht="15.75" customHeight="1">
      <c r="A808" s="32"/>
      <c r="C808" s="32"/>
      <c r="D808" s="32"/>
      <c r="E808" s="32"/>
      <c r="F808" s="32"/>
      <c r="G808" s="32"/>
      <c r="H808" s="32"/>
    </row>
    <row r="809" ht="15.75" customHeight="1">
      <c r="A809" s="32"/>
      <c r="C809" s="32"/>
      <c r="D809" s="32"/>
      <c r="E809" s="32"/>
      <c r="F809" s="32"/>
      <c r="G809" s="32"/>
      <c r="H809" s="32"/>
    </row>
    <row r="810" ht="15.75" customHeight="1">
      <c r="A810" s="32"/>
      <c r="C810" s="32"/>
      <c r="D810" s="32"/>
      <c r="E810" s="32"/>
      <c r="F810" s="32"/>
      <c r="G810" s="32"/>
      <c r="H810" s="32"/>
    </row>
    <row r="811" ht="15.75" customHeight="1">
      <c r="A811" s="32"/>
      <c r="C811" s="32"/>
      <c r="D811" s="32"/>
      <c r="E811" s="32"/>
      <c r="F811" s="32"/>
      <c r="G811" s="32"/>
      <c r="H811" s="32"/>
    </row>
    <row r="812" ht="15.75" customHeight="1">
      <c r="A812" s="32"/>
      <c r="C812" s="32"/>
      <c r="D812" s="32"/>
      <c r="E812" s="32"/>
      <c r="F812" s="32"/>
      <c r="G812" s="32"/>
      <c r="H812" s="32"/>
    </row>
    <row r="813" ht="15.75" customHeight="1">
      <c r="A813" s="32"/>
      <c r="C813" s="32"/>
      <c r="D813" s="32"/>
      <c r="E813" s="32"/>
      <c r="F813" s="32"/>
      <c r="G813" s="32"/>
      <c r="H813" s="32"/>
    </row>
    <row r="814" ht="15.75" customHeight="1">
      <c r="A814" s="32"/>
      <c r="C814" s="32"/>
      <c r="D814" s="32"/>
      <c r="E814" s="32"/>
      <c r="F814" s="32"/>
      <c r="G814" s="32"/>
      <c r="H814" s="32"/>
    </row>
    <row r="815" ht="15.75" customHeight="1">
      <c r="A815" s="32"/>
      <c r="C815" s="32"/>
      <c r="D815" s="32"/>
      <c r="E815" s="32"/>
      <c r="F815" s="32"/>
      <c r="G815" s="32"/>
      <c r="H815" s="32"/>
    </row>
    <row r="816" ht="15.75" customHeight="1">
      <c r="A816" s="32"/>
      <c r="C816" s="32"/>
      <c r="D816" s="32"/>
      <c r="E816" s="32"/>
      <c r="F816" s="32"/>
      <c r="G816" s="32"/>
      <c r="H816" s="32"/>
    </row>
    <row r="817" ht="15.75" customHeight="1">
      <c r="A817" s="32"/>
      <c r="C817" s="32"/>
      <c r="D817" s="32"/>
      <c r="E817" s="32"/>
      <c r="F817" s="32"/>
      <c r="G817" s="32"/>
      <c r="H817" s="32"/>
    </row>
    <row r="818" ht="15.75" customHeight="1">
      <c r="A818" s="32"/>
      <c r="C818" s="32"/>
      <c r="D818" s="32"/>
      <c r="E818" s="32"/>
      <c r="F818" s="32"/>
      <c r="G818" s="32"/>
      <c r="H818" s="32"/>
    </row>
    <row r="819" ht="15.75" customHeight="1">
      <c r="A819" s="32"/>
      <c r="C819" s="32"/>
      <c r="D819" s="32"/>
      <c r="E819" s="32"/>
      <c r="F819" s="32"/>
      <c r="G819" s="32"/>
      <c r="H819" s="32"/>
    </row>
    <row r="820" ht="15.75" customHeight="1">
      <c r="A820" s="32"/>
      <c r="C820" s="32"/>
      <c r="D820" s="32"/>
      <c r="E820" s="32"/>
      <c r="F820" s="32"/>
      <c r="G820" s="32"/>
      <c r="H820" s="32"/>
    </row>
    <row r="821" ht="15.75" customHeight="1">
      <c r="A821" s="32"/>
      <c r="C821" s="32"/>
      <c r="D821" s="32"/>
      <c r="E821" s="32"/>
      <c r="F821" s="32"/>
      <c r="G821" s="32"/>
      <c r="H821" s="32"/>
    </row>
    <row r="822" ht="15.75" customHeight="1">
      <c r="A822" s="32"/>
      <c r="C822" s="32"/>
      <c r="D822" s="32"/>
      <c r="E822" s="32"/>
      <c r="F822" s="32"/>
      <c r="G822" s="32"/>
      <c r="H822" s="32"/>
    </row>
    <row r="823" ht="15.75" customHeight="1">
      <c r="A823" s="32"/>
      <c r="C823" s="32"/>
      <c r="D823" s="32"/>
      <c r="E823" s="32"/>
      <c r="F823" s="32"/>
      <c r="G823" s="32"/>
      <c r="H823" s="32"/>
    </row>
    <row r="824" ht="15.75" customHeight="1">
      <c r="A824" s="32"/>
      <c r="C824" s="32"/>
      <c r="D824" s="32"/>
      <c r="E824" s="32"/>
      <c r="F824" s="32"/>
      <c r="G824" s="32"/>
      <c r="H824" s="32"/>
    </row>
    <row r="825" ht="15.75" customHeight="1">
      <c r="A825" s="32"/>
      <c r="C825" s="32"/>
      <c r="D825" s="32"/>
      <c r="E825" s="32"/>
      <c r="F825" s="32"/>
      <c r="G825" s="32"/>
      <c r="H825" s="32"/>
    </row>
    <row r="826" ht="15.75" customHeight="1">
      <c r="A826" s="32"/>
      <c r="C826" s="32"/>
      <c r="D826" s="32"/>
      <c r="E826" s="32"/>
      <c r="F826" s="32"/>
      <c r="G826" s="32"/>
      <c r="H826" s="32"/>
    </row>
    <row r="827" ht="15.75" customHeight="1">
      <c r="A827" s="32"/>
      <c r="C827" s="32"/>
      <c r="D827" s="32"/>
      <c r="E827" s="32"/>
      <c r="F827" s="32"/>
      <c r="G827" s="32"/>
      <c r="H827" s="32"/>
    </row>
    <row r="828" ht="15.75" customHeight="1">
      <c r="A828" s="32"/>
      <c r="C828" s="32"/>
      <c r="D828" s="32"/>
      <c r="E828" s="32"/>
      <c r="F828" s="32"/>
      <c r="G828" s="32"/>
      <c r="H828" s="32"/>
    </row>
    <row r="829" ht="15.75" customHeight="1">
      <c r="A829" s="32"/>
      <c r="C829" s="32"/>
      <c r="D829" s="32"/>
      <c r="E829" s="32"/>
      <c r="F829" s="32"/>
      <c r="G829" s="32"/>
      <c r="H829" s="32"/>
    </row>
    <row r="830" ht="15.75" customHeight="1">
      <c r="A830" s="32"/>
      <c r="C830" s="32"/>
      <c r="D830" s="32"/>
      <c r="E830" s="32"/>
      <c r="F830" s="32"/>
      <c r="G830" s="32"/>
      <c r="H830" s="32"/>
    </row>
    <row r="831" ht="15.75" customHeight="1">
      <c r="A831" s="32"/>
      <c r="C831" s="32"/>
      <c r="D831" s="32"/>
      <c r="E831" s="32"/>
      <c r="F831" s="32"/>
      <c r="G831" s="32"/>
      <c r="H831" s="32"/>
    </row>
    <row r="832" ht="15.75" customHeight="1">
      <c r="A832" s="32"/>
      <c r="C832" s="32"/>
      <c r="D832" s="32"/>
      <c r="E832" s="32"/>
      <c r="F832" s="32"/>
      <c r="G832" s="32"/>
      <c r="H832" s="32"/>
    </row>
    <row r="833" ht="15.75" customHeight="1">
      <c r="A833" s="32"/>
      <c r="C833" s="32"/>
      <c r="D833" s="32"/>
      <c r="E833" s="32"/>
      <c r="F833" s="32"/>
      <c r="G833" s="32"/>
      <c r="H833" s="32"/>
    </row>
    <row r="834" ht="15.75" customHeight="1">
      <c r="A834" s="32"/>
      <c r="C834" s="32"/>
      <c r="D834" s="32"/>
      <c r="E834" s="32"/>
      <c r="F834" s="32"/>
      <c r="G834" s="32"/>
      <c r="H834" s="32"/>
    </row>
    <row r="835" ht="15.75" customHeight="1">
      <c r="A835" s="32"/>
      <c r="C835" s="32"/>
      <c r="D835" s="32"/>
      <c r="E835" s="32"/>
      <c r="F835" s="32"/>
      <c r="G835" s="32"/>
      <c r="H835" s="32"/>
    </row>
    <row r="836" ht="15.75" customHeight="1">
      <c r="A836" s="32"/>
      <c r="C836" s="32"/>
      <c r="D836" s="32"/>
      <c r="E836" s="32"/>
      <c r="F836" s="32"/>
      <c r="G836" s="32"/>
      <c r="H836" s="32"/>
    </row>
    <row r="837" ht="15.75" customHeight="1">
      <c r="A837" s="32"/>
      <c r="C837" s="32"/>
      <c r="D837" s="32"/>
      <c r="E837" s="32"/>
      <c r="F837" s="32"/>
      <c r="G837" s="32"/>
      <c r="H837" s="32"/>
    </row>
    <row r="838" ht="15.75" customHeight="1">
      <c r="A838" s="32"/>
      <c r="C838" s="32"/>
      <c r="D838" s="32"/>
      <c r="E838" s="32"/>
      <c r="F838" s="32"/>
      <c r="G838" s="32"/>
      <c r="H838" s="32"/>
    </row>
    <row r="839" ht="15.75" customHeight="1">
      <c r="A839" s="32"/>
      <c r="C839" s="32"/>
      <c r="D839" s="32"/>
      <c r="E839" s="32"/>
      <c r="F839" s="32"/>
      <c r="G839" s="32"/>
      <c r="H839" s="32"/>
    </row>
    <row r="840" ht="15.75" customHeight="1">
      <c r="A840" s="32"/>
      <c r="C840" s="32"/>
      <c r="D840" s="32"/>
      <c r="E840" s="32"/>
      <c r="F840" s="32"/>
      <c r="G840" s="32"/>
      <c r="H840" s="32"/>
    </row>
    <row r="841" ht="15.75" customHeight="1">
      <c r="A841" s="32"/>
      <c r="C841" s="32"/>
      <c r="D841" s="32"/>
      <c r="E841" s="32"/>
      <c r="F841" s="32"/>
      <c r="G841" s="32"/>
      <c r="H841" s="32"/>
    </row>
    <row r="842" ht="15.75" customHeight="1">
      <c r="A842" s="32"/>
      <c r="C842" s="32"/>
      <c r="D842" s="32"/>
      <c r="E842" s="32"/>
      <c r="F842" s="32"/>
      <c r="G842" s="32"/>
      <c r="H842" s="32"/>
    </row>
    <row r="843" ht="15.75" customHeight="1">
      <c r="A843" s="32"/>
      <c r="C843" s="32"/>
      <c r="D843" s="32"/>
      <c r="E843" s="32"/>
      <c r="F843" s="32"/>
      <c r="G843" s="32"/>
      <c r="H843" s="32"/>
    </row>
    <row r="844" ht="15.75" customHeight="1">
      <c r="A844" s="32"/>
      <c r="C844" s="32"/>
      <c r="D844" s="32"/>
      <c r="E844" s="32"/>
      <c r="F844" s="32"/>
      <c r="G844" s="32"/>
      <c r="H844" s="32"/>
    </row>
    <row r="845" ht="15.75" customHeight="1">
      <c r="A845" s="32"/>
      <c r="C845" s="32"/>
      <c r="D845" s="32"/>
      <c r="E845" s="32"/>
      <c r="F845" s="32"/>
      <c r="G845" s="32"/>
      <c r="H845" s="32"/>
    </row>
    <row r="846" ht="15.75" customHeight="1">
      <c r="A846" s="32"/>
      <c r="C846" s="32"/>
      <c r="D846" s="32"/>
      <c r="E846" s="32"/>
      <c r="F846" s="32"/>
      <c r="G846" s="32"/>
      <c r="H846" s="32"/>
    </row>
    <row r="847" ht="15.75" customHeight="1">
      <c r="A847" s="32"/>
      <c r="C847" s="32"/>
      <c r="D847" s="32"/>
      <c r="E847" s="32"/>
      <c r="F847" s="32"/>
      <c r="G847" s="32"/>
      <c r="H847" s="32"/>
    </row>
    <row r="848" ht="15.75" customHeight="1">
      <c r="A848" s="32"/>
      <c r="C848" s="32"/>
      <c r="D848" s="32"/>
      <c r="E848" s="32"/>
      <c r="F848" s="32"/>
      <c r="G848" s="32"/>
      <c r="H848" s="32"/>
    </row>
    <row r="849" ht="15.75" customHeight="1">
      <c r="A849" s="32"/>
      <c r="C849" s="32"/>
      <c r="D849" s="32"/>
      <c r="E849" s="32"/>
      <c r="F849" s="32"/>
      <c r="G849" s="32"/>
      <c r="H849" s="32"/>
    </row>
    <row r="850" ht="15.75" customHeight="1">
      <c r="A850" s="32"/>
      <c r="C850" s="32"/>
      <c r="D850" s="32"/>
      <c r="E850" s="32"/>
      <c r="F850" s="32"/>
      <c r="G850" s="32"/>
      <c r="H850" s="32"/>
    </row>
    <row r="851" ht="15.75" customHeight="1">
      <c r="A851" s="32"/>
      <c r="C851" s="32"/>
      <c r="D851" s="32"/>
      <c r="E851" s="32"/>
      <c r="F851" s="32"/>
      <c r="G851" s="32"/>
      <c r="H851" s="32"/>
    </row>
    <row r="852" ht="15.75" customHeight="1">
      <c r="A852" s="32"/>
      <c r="C852" s="32"/>
      <c r="D852" s="32"/>
      <c r="E852" s="32"/>
      <c r="F852" s="32"/>
      <c r="G852" s="32"/>
      <c r="H852" s="32"/>
    </row>
    <row r="853" ht="15.75" customHeight="1">
      <c r="A853" s="32"/>
      <c r="C853" s="32"/>
      <c r="D853" s="32"/>
      <c r="E853" s="32"/>
      <c r="F853" s="32"/>
      <c r="G853" s="32"/>
      <c r="H853" s="32"/>
    </row>
    <row r="854" ht="15.75" customHeight="1">
      <c r="A854" s="32"/>
      <c r="C854" s="32"/>
      <c r="D854" s="32"/>
      <c r="E854" s="32"/>
      <c r="F854" s="32"/>
      <c r="G854" s="32"/>
      <c r="H854" s="32"/>
    </row>
    <row r="855" ht="15.75" customHeight="1">
      <c r="A855" s="32"/>
      <c r="C855" s="32"/>
      <c r="D855" s="32"/>
      <c r="E855" s="32"/>
      <c r="F855" s="32"/>
      <c r="G855" s="32"/>
      <c r="H855" s="32"/>
    </row>
    <row r="856" ht="15.75" customHeight="1">
      <c r="A856" s="32"/>
      <c r="C856" s="32"/>
      <c r="D856" s="32"/>
      <c r="E856" s="32"/>
      <c r="F856" s="32"/>
      <c r="G856" s="32"/>
      <c r="H856" s="32"/>
    </row>
    <row r="857" ht="15.75" customHeight="1">
      <c r="A857" s="32"/>
      <c r="C857" s="32"/>
      <c r="D857" s="32"/>
      <c r="E857" s="32"/>
      <c r="F857" s="32"/>
      <c r="G857" s="32"/>
      <c r="H857" s="32"/>
    </row>
    <row r="858" ht="15.75" customHeight="1">
      <c r="A858" s="32"/>
      <c r="C858" s="32"/>
      <c r="D858" s="32"/>
      <c r="E858" s="32"/>
      <c r="F858" s="32"/>
      <c r="G858" s="32"/>
      <c r="H858" s="32"/>
    </row>
    <row r="859" ht="15.75" customHeight="1">
      <c r="A859" s="32"/>
      <c r="C859" s="32"/>
      <c r="D859" s="32"/>
      <c r="E859" s="32"/>
      <c r="F859" s="32"/>
      <c r="G859" s="32"/>
      <c r="H859" s="32"/>
    </row>
    <row r="860" ht="15.75" customHeight="1">
      <c r="A860" s="32"/>
      <c r="C860" s="32"/>
      <c r="D860" s="32"/>
      <c r="E860" s="32"/>
      <c r="F860" s="32"/>
      <c r="G860" s="32"/>
      <c r="H860" s="32"/>
    </row>
    <row r="861" ht="15.75" customHeight="1">
      <c r="A861" s="32"/>
      <c r="C861" s="32"/>
      <c r="D861" s="32"/>
      <c r="E861" s="32"/>
      <c r="F861" s="32"/>
      <c r="G861" s="32"/>
      <c r="H861" s="32"/>
    </row>
    <row r="862" ht="15.75" customHeight="1">
      <c r="A862" s="32"/>
      <c r="C862" s="32"/>
      <c r="D862" s="32"/>
      <c r="E862" s="32"/>
      <c r="F862" s="32"/>
      <c r="G862" s="32"/>
      <c r="H862" s="32"/>
    </row>
    <row r="863" ht="15.75" customHeight="1">
      <c r="A863" s="32"/>
      <c r="C863" s="32"/>
      <c r="D863" s="32"/>
      <c r="E863" s="32"/>
      <c r="F863" s="32"/>
      <c r="G863" s="32"/>
      <c r="H863" s="32"/>
    </row>
    <row r="864" ht="15.75" customHeight="1">
      <c r="A864" s="32"/>
      <c r="C864" s="32"/>
      <c r="D864" s="32"/>
      <c r="E864" s="32"/>
      <c r="F864" s="32"/>
      <c r="G864" s="32"/>
      <c r="H864" s="32"/>
    </row>
    <row r="865" ht="15.75" customHeight="1">
      <c r="A865" s="32"/>
      <c r="C865" s="32"/>
      <c r="D865" s="32"/>
      <c r="E865" s="32"/>
      <c r="F865" s="32"/>
      <c r="G865" s="32"/>
      <c r="H865" s="32"/>
    </row>
    <row r="866" ht="15.75" customHeight="1">
      <c r="A866" s="32"/>
      <c r="C866" s="32"/>
      <c r="D866" s="32"/>
      <c r="E866" s="32"/>
      <c r="F866" s="32"/>
      <c r="G866" s="32"/>
      <c r="H866" s="32"/>
    </row>
    <row r="867" ht="15.75" customHeight="1">
      <c r="A867" s="32"/>
      <c r="C867" s="32"/>
      <c r="D867" s="32"/>
      <c r="E867" s="32"/>
      <c r="F867" s="32"/>
      <c r="G867" s="32"/>
      <c r="H867" s="32"/>
    </row>
    <row r="868" ht="15.75" customHeight="1">
      <c r="A868" s="32"/>
      <c r="C868" s="32"/>
      <c r="D868" s="32"/>
      <c r="E868" s="32"/>
      <c r="F868" s="32"/>
      <c r="G868" s="32"/>
      <c r="H868" s="32"/>
    </row>
    <row r="869" ht="15.75" customHeight="1">
      <c r="A869" s="32"/>
      <c r="C869" s="32"/>
      <c r="D869" s="32"/>
      <c r="E869" s="32"/>
      <c r="F869" s="32"/>
      <c r="G869" s="32"/>
      <c r="H869" s="32"/>
    </row>
    <row r="870" ht="15.75" customHeight="1">
      <c r="A870" s="32"/>
      <c r="C870" s="32"/>
      <c r="D870" s="32"/>
      <c r="E870" s="32"/>
      <c r="F870" s="32"/>
      <c r="G870" s="32"/>
      <c r="H870" s="32"/>
    </row>
    <row r="871" ht="15.75" customHeight="1">
      <c r="A871" s="32"/>
      <c r="C871" s="32"/>
      <c r="D871" s="32"/>
      <c r="E871" s="32"/>
      <c r="F871" s="32"/>
      <c r="G871" s="32"/>
      <c r="H871" s="32"/>
    </row>
    <row r="872" ht="15.75" customHeight="1">
      <c r="A872" s="32"/>
      <c r="C872" s="32"/>
      <c r="D872" s="32"/>
      <c r="E872" s="32"/>
      <c r="F872" s="32"/>
      <c r="G872" s="32"/>
      <c r="H872" s="32"/>
    </row>
    <row r="873" ht="15.75" customHeight="1">
      <c r="A873" s="32"/>
      <c r="C873" s="32"/>
      <c r="D873" s="32"/>
      <c r="E873" s="32"/>
      <c r="F873" s="32"/>
      <c r="G873" s="32"/>
      <c r="H873" s="32"/>
    </row>
    <row r="874" ht="15.75" customHeight="1">
      <c r="A874" s="32"/>
      <c r="C874" s="32"/>
      <c r="D874" s="32"/>
      <c r="E874" s="32"/>
      <c r="F874" s="32"/>
      <c r="G874" s="32"/>
      <c r="H874" s="32"/>
    </row>
    <row r="875" ht="15.75" customHeight="1">
      <c r="A875" s="32"/>
      <c r="C875" s="32"/>
      <c r="D875" s="32"/>
      <c r="E875" s="32"/>
      <c r="F875" s="32"/>
      <c r="G875" s="32"/>
      <c r="H875" s="32"/>
    </row>
    <row r="876" ht="15.75" customHeight="1">
      <c r="A876" s="32"/>
      <c r="C876" s="32"/>
      <c r="D876" s="32"/>
      <c r="E876" s="32"/>
      <c r="F876" s="32"/>
      <c r="G876" s="32"/>
      <c r="H876" s="32"/>
    </row>
    <row r="877" ht="15.75" customHeight="1">
      <c r="A877" s="32"/>
      <c r="C877" s="32"/>
      <c r="D877" s="32"/>
      <c r="E877" s="32"/>
      <c r="F877" s="32"/>
      <c r="G877" s="32"/>
      <c r="H877" s="32"/>
    </row>
    <row r="878" ht="15.75" customHeight="1">
      <c r="A878" s="32"/>
      <c r="C878" s="32"/>
      <c r="D878" s="32"/>
      <c r="E878" s="32"/>
      <c r="F878" s="32"/>
      <c r="G878" s="32"/>
      <c r="H878" s="32"/>
    </row>
    <row r="879" ht="15.75" customHeight="1">
      <c r="A879" s="32"/>
      <c r="C879" s="32"/>
      <c r="D879" s="32"/>
      <c r="E879" s="32"/>
      <c r="F879" s="32"/>
      <c r="G879" s="32"/>
      <c r="H879" s="32"/>
    </row>
    <row r="880" ht="15.75" customHeight="1">
      <c r="A880" s="32"/>
      <c r="C880" s="32"/>
      <c r="D880" s="32"/>
      <c r="E880" s="32"/>
      <c r="F880" s="32"/>
      <c r="G880" s="32"/>
      <c r="H880" s="32"/>
    </row>
    <row r="881" ht="15.75" customHeight="1">
      <c r="A881" s="32"/>
      <c r="C881" s="32"/>
      <c r="D881" s="32"/>
      <c r="E881" s="32"/>
      <c r="F881" s="32"/>
      <c r="G881" s="32"/>
      <c r="H881" s="32"/>
    </row>
    <row r="882" ht="15.75" customHeight="1">
      <c r="A882" s="32"/>
      <c r="C882" s="32"/>
      <c r="D882" s="32"/>
      <c r="E882" s="32"/>
      <c r="F882" s="32"/>
      <c r="G882" s="32"/>
      <c r="H882" s="32"/>
    </row>
    <row r="883" ht="15.75" customHeight="1">
      <c r="A883" s="32"/>
      <c r="C883" s="32"/>
      <c r="D883" s="32"/>
      <c r="E883" s="32"/>
      <c r="F883" s="32"/>
      <c r="G883" s="32"/>
      <c r="H883" s="32"/>
    </row>
    <row r="884" ht="15.75" customHeight="1">
      <c r="A884" s="32"/>
      <c r="C884" s="32"/>
      <c r="D884" s="32"/>
      <c r="E884" s="32"/>
      <c r="F884" s="32"/>
      <c r="G884" s="32"/>
      <c r="H884" s="32"/>
    </row>
    <row r="885" ht="15.75" customHeight="1">
      <c r="A885" s="32"/>
      <c r="C885" s="32"/>
      <c r="D885" s="32"/>
      <c r="E885" s="32"/>
      <c r="F885" s="32"/>
      <c r="G885" s="32"/>
      <c r="H885" s="32"/>
    </row>
    <row r="886" ht="15.75" customHeight="1">
      <c r="A886" s="32"/>
      <c r="C886" s="32"/>
      <c r="D886" s="32"/>
      <c r="E886" s="32"/>
      <c r="F886" s="32"/>
      <c r="G886" s="32"/>
      <c r="H886" s="32"/>
    </row>
    <row r="887" ht="15.75" customHeight="1">
      <c r="A887" s="32"/>
      <c r="C887" s="32"/>
      <c r="D887" s="32"/>
      <c r="E887" s="32"/>
      <c r="F887" s="32"/>
      <c r="G887" s="32"/>
      <c r="H887" s="32"/>
    </row>
    <row r="888" ht="15.75" customHeight="1">
      <c r="A888" s="32"/>
      <c r="C888" s="32"/>
      <c r="D888" s="32"/>
      <c r="E888" s="32"/>
      <c r="F888" s="32"/>
      <c r="G888" s="32"/>
      <c r="H888" s="32"/>
    </row>
    <row r="889" ht="15.75" customHeight="1">
      <c r="A889" s="32"/>
      <c r="C889" s="32"/>
      <c r="D889" s="32"/>
      <c r="E889" s="32"/>
      <c r="F889" s="32"/>
      <c r="G889" s="32"/>
      <c r="H889" s="32"/>
    </row>
    <row r="890" ht="15.75" customHeight="1">
      <c r="A890" s="32"/>
      <c r="C890" s="32"/>
      <c r="D890" s="32"/>
      <c r="E890" s="32"/>
      <c r="F890" s="32"/>
      <c r="G890" s="32"/>
      <c r="H890" s="32"/>
    </row>
    <row r="891" ht="15.75" customHeight="1">
      <c r="A891" s="32"/>
      <c r="C891" s="32"/>
      <c r="D891" s="32"/>
      <c r="E891" s="32"/>
      <c r="F891" s="32"/>
      <c r="G891" s="32"/>
      <c r="H891" s="32"/>
    </row>
    <row r="892" ht="15.75" customHeight="1">
      <c r="A892" s="32"/>
      <c r="C892" s="32"/>
      <c r="D892" s="32"/>
      <c r="E892" s="32"/>
      <c r="F892" s="32"/>
      <c r="G892" s="32"/>
      <c r="H892" s="32"/>
    </row>
    <row r="893" ht="15.75" customHeight="1">
      <c r="A893" s="32"/>
      <c r="C893" s="32"/>
      <c r="D893" s="32"/>
      <c r="E893" s="32"/>
      <c r="F893" s="32"/>
      <c r="G893" s="32"/>
      <c r="H893" s="32"/>
    </row>
    <row r="894" ht="15.75" customHeight="1">
      <c r="A894" s="32"/>
      <c r="C894" s="32"/>
      <c r="D894" s="32"/>
      <c r="E894" s="32"/>
      <c r="F894" s="32"/>
      <c r="G894" s="32"/>
      <c r="H894" s="32"/>
    </row>
    <row r="895" ht="15.75" customHeight="1">
      <c r="A895" s="32"/>
      <c r="C895" s="32"/>
      <c r="D895" s="32"/>
      <c r="E895" s="32"/>
      <c r="F895" s="32"/>
      <c r="G895" s="32"/>
      <c r="H895" s="32"/>
    </row>
    <row r="896" ht="15.75" customHeight="1">
      <c r="A896" s="32"/>
      <c r="C896" s="32"/>
      <c r="D896" s="32"/>
      <c r="E896" s="32"/>
      <c r="F896" s="32"/>
      <c r="G896" s="32"/>
      <c r="H896" s="32"/>
    </row>
    <row r="897" ht="15.75" customHeight="1">
      <c r="A897" s="32"/>
      <c r="C897" s="32"/>
      <c r="D897" s="32"/>
      <c r="E897" s="32"/>
      <c r="F897" s="32"/>
      <c r="G897" s="32"/>
      <c r="H897" s="32"/>
    </row>
    <row r="898" ht="15.75" customHeight="1">
      <c r="A898" s="32"/>
      <c r="C898" s="32"/>
      <c r="D898" s="32"/>
      <c r="E898" s="32"/>
      <c r="F898" s="32"/>
      <c r="G898" s="32"/>
      <c r="H898" s="32"/>
    </row>
    <row r="899" ht="15.75" customHeight="1">
      <c r="A899" s="32"/>
      <c r="C899" s="32"/>
      <c r="D899" s="32"/>
      <c r="E899" s="32"/>
      <c r="F899" s="32"/>
      <c r="G899" s="32"/>
      <c r="H899" s="32"/>
    </row>
    <row r="900" ht="15.75" customHeight="1">
      <c r="A900" s="32"/>
      <c r="C900" s="32"/>
      <c r="D900" s="32"/>
      <c r="E900" s="32"/>
      <c r="F900" s="32"/>
      <c r="G900" s="32"/>
      <c r="H900" s="32"/>
    </row>
    <row r="901" ht="15.75" customHeight="1">
      <c r="A901" s="32"/>
      <c r="C901" s="32"/>
      <c r="D901" s="32"/>
      <c r="E901" s="32"/>
      <c r="F901" s="32"/>
      <c r="G901" s="32"/>
      <c r="H901" s="32"/>
    </row>
    <row r="902" ht="15.75" customHeight="1">
      <c r="A902" s="32"/>
      <c r="C902" s="32"/>
      <c r="D902" s="32"/>
      <c r="E902" s="32"/>
      <c r="F902" s="32"/>
      <c r="G902" s="32"/>
      <c r="H902" s="32"/>
    </row>
    <row r="903" ht="15.75" customHeight="1">
      <c r="A903" s="32"/>
      <c r="C903" s="32"/>
      <c r="D903" s="32"/>
      <c r="E903" s="32"/>
      <c r="F903" s="32"/>
      <c r="G903" s="32"/>
      <c r="H903" s="32"/>
    </row>
    <row r="904" ht="15.75" customHeight="1">
      <c r="A904" s="32"/>
      <c r="C904" s="32"/>
      <c r="D904" s="32"/>
      <c r="E904" s="32"/>
      <c r="F904" s="32"/>
      <c r="G904" s="32"/>
      <c r="H904" s="32"/>
    </row>
    <row r="905" ht="15.75" customHeight="1">
      <c r="A905" s="32"/>
      <c r="C905" s="32"/>
      <c r="D905" s="32"/>
      <c r="E905" s="32"/>
      <c r="F905" s="32"/>
      <c r="G905" s="32"/>
      <c r="H905" s="32"/>
    </row>
    <row r="906" ht="15.75" customHeight="1">
      <c r="A906" s="32"/>
      <c r="C906" s="32"/>
      <c r="D906" s="32"/>
      <c r="E906" s="32"/>
      <c r="F906" s="32"/>
      <c r="G906" s="32"/>
      <c r="H906" s="32"/>
    </row>
    <row r="907" ht="15.75" customHeight="1">
      <c r="A907" s="32"/>
      <c r="C907" s="32"/>
      <c r="D907" s="32"/>
      <c r="E907" s="32"/>
      <c r="F907" s="32"/>
      <c r="G907" s="32"/>
      <c r="H907" s="32"/>
    </row>
    <row r="908" ht="15.75" customHeight="1">
      <c r="A908" s="32"/>
      <c r="C908" s="32"/>
      <c r="D908" s="32"/>
      <c r="E908" s="32"/>
      <c r="F908" s="32"/>
      <c r="G908" s="32"/>
      <c r="H908" s="32"/>
    </row>
    <row r="909" ht="15.75" customHeight="1">
      <c r="A909" s="32"/>
      <c r="C909" s="32"/>
      <c r="D909" s="32"/>
      <c r="E909" s="32"/>
      <c r="F909" s="32"/>
      <c r="G909" s="32"/>
      <c r="H909" s="32"/>
    </row>
    <row r="910" ht="15.75" customHeight="1">
      <c r="A910" s="32"/>
      <c r="C910" s="32"/>
      <c r="D910" s="32"/>
      <c r="E910" s="32"/>
      <c r="F910" s="32"/>
      <c r="G910" s="32"/>
      <c r="H910" s="32"/>
    </row>
    <row r="911" ht="15.75" customHeight="1">
      <c r="A911" s="32"/>
      <c r="C911" s="32"/>
      <c r="D911" s="32"/>
      <c r="E911" s="32"/>
      <c r="F911" s="32"/>
      <c r="G911" s="32"/>
      <c r="H911" s="32"/>
    </row>
    <row r="912" ht="15.75" customHeight="1">
      <c r="A912" s="32"/>
      <c r="C912" s="32"/>
      <c r="D912" s="32"/>
      <c r="E912" s="32"/>
      <c r="F912" s="32"/>
      <c r="G912" s="32"/>
      <c r="H912" s="32"/>
    </row>
    <row r="913" ht="15.75" customHeight="1">
      <c r="A913" s="32"/>
      <c r="C913" s="32"/>
      <c r="D913" s="32"/>
      <c r="E913" s="32"/>
      <c r="F913" s="32"/>
      <c r="G913" s="32"/>
      <c r="H913" s="32"/>
    </row>
    <row r="914" ht="15.75" customHeight="1">
      <c r="A914" s="32"/>
      <c r="C914" s="32"/>
      <c r="D914" s="32"/>
      <c r="E914" s="32"/>
      <c r="F914" s="32"/>
      <c r="G914" s="32"/>
      <c r="H914" s="32"/>
    </row>
    <row r="915" ht="15.75" customHeight="1">
      <c r="A915" s="32"/>
      <c r="C915" s="32"/>
      <c r="D915" s="32"/>
      <c r="E915" s="32"/>
      <c r="F915" s="32"/>
      <c r="G915" s="32"/>
      <c r="H915" s="32"/>
    </row>
    <row r="916" ht="15.75" customHeight="1">
      <c r="A916" s="32"/>
      <c r="C916" s="32"/>
      <c r="D916" s="32"/>
      <c r="E916" s="32"/>
      <c r="F916" s="32"/>
      <c r="G916" s="32"/>
      <c r="H916" s="32"/>
    </row>
    <row r="917" ht="15.75" customHeight="1">
      <c r="A917" s="32"/>
      <c r="C917" s="32"/>
      <c r="D917" s="32"/>
      <c r="E917" s="32"/>
      <c r="F917" s="32"/>
      <c r="G917" s="32"/>
      <c r="H917" s="32"/>
    </row>
    <row r="918" ht="15.75" customHeight="1">
      <c r="A918" s="32"/>
      <c r="C918" s="32"/>
      <c r="D918" s="32"/>
      <c r="E918" s="32"/>
      <c r="F918" s="32"/>
      <c r="G918" s="32"/>
      <c r="H918" s="32"/>
    </row>
    <row r="919" ht="15.75" customHeight="1">
      <c r="A919" s="32"/>
      <c r="C919" s="32"/>
      <c r="D919" s="32"/>
      <c r="E919" s="32"/>
      <c r="F919" s="32"/>
      <c r="G919" s="32"/>
      <c r="H919" s="32"/>
    </row>
    <row r="920" ht="15.75" customHeight="1">
      <c r="A920" s="32"/>
      <c r="C920" s="32"/>
      <c r="D920" s="32"/>
      <c r="E920" s="32"/>
      <c r="F920" s="32"/>
      <c r="G920" s="32"/>
      <c r="H920" s="32"/>
    </row>
    <row r="921" ht="15.75" customHeight="1">
      <c r="A921" s="32"/>
      <c r="C921" s="32"/>
      <c r="D921" s="32"/>
      <c r="E921" s="32"/>
      <c r="F921" s="32"/>
      <c r="G921" s="32"/>
      <c r="H921" s="32"/>
    </row>
    <row r="922" ht="15.75" customHeight="1">
      <c r="A922" s="32"/>
      <c r="C922" s="32"/>
      <c r="D922" s="32"/>
      <c r="E922" s="32"/>
      <c r="F922" s="32"/>
      <c r="G922" s="32"/>
      <c r="H922" s="32"/>
    </row>
    <row r="923" ht="15.75" customHeight="1">
      <c r="A923" s="32"/>
      <c r="C923" s="32"/>
      <c r="D923" s="32"/>
      <c r="E923" s="32"/>
      <c r="F923" s="32"/>
      <c r="G923" s="32"/>
      <c r="H923" s="32"/>
    </row>
    <row r="924" ht="15.75" customHeight="1">
      <c r="A924" s="32"/>
      <c r="C924" s="32"/>
      <c r="D924" s="32"/>
      <c r="E924" s="32"/>
      <c r="F924" s="32"/>
      <c r="G924" s="32"/>
      <c r="H924" s="32"/>
    </row>
    <row r="925" ht="15.75" customHeight="1">
      <c r="A925" s="32"/>
      <c r="C925" s="32"/>
      <c r="D925" s="32"/>
      <c r="E925" s="32"/>
      <c r="F925" s="32"/>
      <c r="G925" s="32"/>
      <c r="H925" s="32"/>
    </row>
    <row r="926" ht="15.75" customHeight="1">
      <c r="A926" s="32"/>
      <c r="C926" s="32"/>
      <c r="D926" s="32"/>
      <c r="E926" s="32"/>
      <c r="F926" s="32"/>
      <c r="G926" s="32"/>
      <c r="H926" s="32"/>
    </row>
    <row r="927" ht="15.75" customHeight="1">
      <c r="A927" s="32"/>
      <c r="C927" s="32"/>
      <c r="D927" s="32"/>
      <c r="E927" s="32"/>
      <c r="F927" s="32"/>
      <c r="G927" s="32"/>
      <c r="H927" s="32"/>
    </row>
    <row r="928" ht="15.75" customHeight="1">
      <c r="A928" s="32"/>
      <c r="C928" s="32"/>
      <c r="D928" s="32"/>
      <c r="E928" s="32"/>
      <c r="F928" s="32"/>
      <c r="G928" s="32"/>
      <c r="H928" s="32"/>
    </row>
    <row r="929" ht="15.75" customHeight="1">
      <c r="A929" s="32"/>
      <c r="C929" s="32"/>
      <c r="D929" s="32"/>
      <c r="E929" s="32"/>
      <c r="F929" s="32"/>
      <c r="G929" s="32"/>
      <c r="H929" s="32"/>
    </row>
    <row r="930" ht="15.75" customHeight="1">
      <c r="A930" s="32"/>
      <c r="C930" s="32"/>
      <c r="D930" s="32"/>
      <c r="E930" s="32"/>
      <c r="F930" s="32"/>
      <c r="G930" s="32"/>
      <c r="H930" s="32"/>
    </row>
    <row r="931" ht="15.75" customHeight="1">
      <c r="A931" s="32"/>
      <c r="C931" s="32"/>
      <c r="D931" s="32"/>
      <c r="E931" s="32"/>
      <c r="F931" s="32"/>
      <c r="G931" s="32"/>
      <c r="H931" s="32"/>
    </row>
    <row r="932" ht="15.75" customHeight="1">
      <c r="A932" s="32"/>
      <c r="C932" s="32"/>
      <c r="D932" s="32"/>
      <c r="E932" s="32"/>
      <c r="F932" s="32"/>
      <c r="G932" s="32"/>
      <c r="H932" s="32"/>
    </row>
    <row r="933" ht="15.75" customHeight="1">
      <c r="A933" s="32"/>
      <c r="C933" s="32"/>
      <c r="D933" s="32"/>
      <c r="E933" s="32"/>
      <c r="F933" s="32"/>
      <c r="G933" s="32"/>
      <c r="H933" s="32"/>
    </row>
    <row r="934" ht="15.75" customHeight="1">
      <c r="A934" s="32"/>
      <c r="C934" s="32"/>
      <c r="D934" s="32"/>
      <c r="E934" s="32"/>
      <c r="F934" s="32"/>
      <c r="G934" s="32"/>
      <c r="H934" s="32"/>
    </row>
    <row r="935" ht="15.75" customHeight="1">
      <c r="A935" s="32"/>
      <c r="C935" s="32"/>
      <c r="D935" s="32"/>
      <c r="E935" s="32"/>
      <c r="F935" s="32"/>
      <c r="G935" s="32"/>
      <c r="H935" s="32"/>
    </row>
    <row r="936" ht="15.75" customHeight="1">
      <c r="A936" s="32"/>
      <c r="C936" s="32"/>
      <c r="D936" s="32"/>
      <c r="E936" s="32"/>
      <c r="F936" s="32"/>
      <c r="G936" s="32"/>
      <c r="H936" s="32"/>
    </row>
    <row r="937" ht="15.75" customHeight="1">
      <c r="A937" s="32"/>
      <c r="C937" s="32"/>
      <c r="D937" s="32"/>
      <c r="E937" s="32"/>
      <c r="F937" s="32"/>
      <c r="G937" s="32"/>
      <c r="H937" s="32"/>
    </row>
    <row r="938" ht="15.75" customHeight="1">
      <c r="A938" s="32"/>
      <c r="C938" s="32"/>
      <c r="D938" s="32"/>
      <c r="E938" s="32"/>
      <c r="F938" s="32"/>
      <c r="G938" s="32"/>
      <c r="H938" s="32"/>
    </row>
    <row r="939" ht="15.75" customHeight="1">
      <c r="A939" s="32"/>
      <c r="C939" s="32"/>
      <c r="D939" s="32"/>
      <c r="E939" s="32"/>
      <c r="F939" s="32"/>
      <c r="G939" s="32"/>
      <c r="H939" s="32"/>
    </row>
    <row r="940" ht="15.75" customHeight="1">
      <c r="A940" s="32"/>
      <c r="C940" s="32"/>
      <c r="D940" s="32"/>
      <c r="E940" s="32"/>
      <c r="F940" s="32"/>
      <c r="G940" s="32"/>
      <c r="H940" s="32"/>
    </row>
    <row r="941" ht="15.75" customHeight="1">
      <c r="A941" s="32"/>
      <c r="C941" s="32"/>
      <c r="D941" s="32"/>
      <c r="E941" s="32"/>
      <c r="F941" s="32"/>
      <c r="G941" s="32"/>
      <c r="H941" s="32"/>
    </row>
    <row r="942" ht="15.75" customHeight="1">
      <c r="A942" s="32"/>
      <c r="C942" s="32"/>
      <c r="D942" s="32"/>
      <c r="E942" s="32"/>
      <c r="F942" s="32"/>
      <c r="G942" s="32"/>
      <c r="H942" s="32"/>
    </row>
    <row r="943" ht="15.75" customHeight="1">
      <c r="A943" s="32"/>
      <c r="C943" s="32"/>
      <c r="D943" s="32"/>
      <c r="E943" s="32"/>
      <c r="F943" s="32"/>
      <c r="G943" s="32"/>
      <c r="H943" s="32"/>
    </row>
    <row r="944" ht="15.75" customHeight="1">
      <c r="A944" s="32"/>
      <c r="C944" s="32"/>
      <c r="D944" s="32"/>
      <c r="E944" s="32"/>
      <c r="F944" s="32"/>
      <c r="G944" s="32"/>
      <c r="H944" s="32"/>
    </row>
    <row r="945" ht="15.75" customHeight="1">
      <c r="A945" s="32"/>
      <c r="C945" s="32"/>
      <c r="D945" s="32"/>
      <c r="E945" s="32"/>
      <c r="F945" s="32"/>
      <c r="G945" s="32"/>
      <c r="H945" s="32"/>
    </row>
    <row r="946" ht="15.75" customHeight="1">
      <c r="A946" s="32"/>
      <c r="C946" s="32"/>
      <c r="D946" s="32"/>
      <c r="E946" s="32"/>
      <c r="F946" s="32"/>
      <c r="G946" s="32"/>
      <c r="H946" s="32"/>
    </row>
    <row r="947" ht="15.75" customHeight="1">
      <c r="A947" s="32"/>
      <c r="C947" s="32"/>
      <c r="D947" s="32"/>
      <c r="E947" s="32"/>
      <c r="F947" s="32"/>
      <c r="G947" s="32"/>
      <c r="H947" s="32"/>
    </row>
    <row r="948" ht="15.75" customHeight="1">
      <c r="A948" s="32"/>
      <c r="C948" s="32"/>
      <c r="D948" s="32"/>
      <c r="E948" s="32"/>
      <c r="F948" s="32"/>
      <c r="G948" s="32"/>
      <c r="H948" s="32"/>
    </row>
    <row r="949" ht="15.75" customHeight="1">
      <c r="A949" s="32"/>
      <c r="C949" s="32"/>
      <c r="D949" s="32"/>
      <c r="E949" s="32"/>
      <c r="F949" s="32"/>
      <c r="G949" s="32"/>
      <c r="H949" s="32"/>
    </row>
    <row r="950" ht="15.75" customHeight="1">
      <c r="A950" s="32"/>
      <c r="C950" s="32"/>
      <c r="D950" s="32"/>
      <c r="E950" s="32"/>
      <c r="F950" s="32"/>
      <c r="G950" s="32"/>
      <c r="H950" s="32"/>
    </row>
    <row r="951" ht="15.75" customHeight="1">
      <c r="A951" s="32"/>
      <c r="C951" s="32"/>
      <c r="D951" s="32"/>
      <c r="E951" s="32"/>
      <c r="F951" s="32"/>
      <c r="G951" s="32"/>
      <c r="H951" s="32"/>
    </row>
    <row r="952" ht="15.75" customHeight="1">
      <c r="A952" s="32"/>
      <c r="C952" s="32"/>
      <c r="D952" s="32"/>
      <c r="E952" s="32"/>
      <c r="F952" s="32"/>
      <c r="G952" s="32"/>
      <c r="H952" s="32"/>
    </row>
    <row r="953" ht="15.75" customHeight="1">
      <c r="A953" s="32"/>
      <c r="C953" s="32"/>
      <c r="D953" s="32"/>
      <c r="E953" s="32"/>
      <c r="F953" s="32"/>
      <c r="G953" s="32"/>
      <c r="H953" s="32"/>
    </row>
    <row r="954" ht="15.75" customHeight="1">
      <c r="A954" s="32"/>
      <c r="C954" s="32"/>
      <c r="D954" s="32"/>
      <c r="E954" s="32"/>
      <c r="F954" s="32"/>
      <c r="G954" s="32"/>
      <c r="H954" s="32"/>
    </row>
    <row r="955" ht="15.75" customHeight="1">
      <c r="A955" s="32"/>
      <c r="C955" s="32"/>
      <c r="D955" s="32"/>
      <c r="E955" s="32"/>
      <c r="F955" s="32"/>
      <c r="G955" s="32"/>
      <c r="H955" s="32"/>
    </row>
    <row r="956" ht="15.75" customHeight="1">
      <c r="A956" s="32"/>
      <c r="C956" s="32"/>
      <c r="D956" s="32"/>
      <c r="E956" s="32"/>
      <c r="F956" s="32"/>
      <c r="G956" s="32"/>
      <c r="H956" s="32"/>
    </row>
    <row r="957" ht="15.75" customHeight="1">
      <c r="A957" s="32"/>
      <c r="C957" s="32"/>
      <c r="D957" s="32"/>
      <c r="E957" s="32"/>
      <c r="F957" s="32"/>
      <c r="G957" s="32"/>
      <c r="H957" s="32"/>
    </row>
    <row r="958" ht="15.75" customHeight="1">
      <c r="A958" s="32"/>
      <c r="C958" s="32"/>
      <c r="D958" s="32"/>
      <c r="E958" s="32"/>
      <c r="F958" s="32"/>
      <c r="G958" s="32"/>
      <c r="H958" s="32"/>
    </row>
    <row r="959" ht="15.75" customHeight="1">
      <c r="A959" s="32"/>
      <c r="C959" s="32"/>
      <c r="D959" s="32"/>
      <c r="E959" s="32"/>
      <c r="F959" s="32"/>
      <c r="G959" s="32"/>
      <c r="H959" s="32"/>
    </row>
    <row r="960" ht="15.75" customHeight="1">
      <c r="A960" s="32"/>
      <c r="C960" s="32"/>
      <c r="D960" s="32"/>
      <c r="E960" s="32"/>
      <c r="F960" s="32"/>
      <c r="G960" s="32"/>
      <c r="H960" s="32"/>
    </row>
    <row r="961" ht="15.75" customHeight="1">
      <c r="A961" s="32"/>
      <c r="C961" s="32"/>
      <c r="D961" s="32"/>
      <c r="E961" s="32"/>
      <c r="F961" s="32"/>
      <c r="G961" s="32"/>
      <c r="H961" s="32"/>
    </row>
    <row r="962" ht="15.75" customHeight="1">
      <c r="A962" s="32"/>
      <c r="C962" s="32"/>
      <c r="D962" s="32"/>
      <c r="E962" s="32"/>
      <c r="F962" s="32"/>
      <c r="G962" s="32"/>
      <c r="H962" s="32"/>
    </row>
    <row r="963" ht="15.75" customHeight="1">
      <c r="A963" s="32"/>
      <c r="C963" s="32"/>
      <c r="D963" s="32"/>
      <c r="E963" s="32"/>
      <c r="F963" s="32"/>
      <c r="G963" s="32"/>
      <c r="H963" s="32"/>
    </row>
    <row r="964" ht="15.75" customHeight="1">
      <c r="A964" s="32"/>
      <c r="C964" s="32"/>
      <c r="D964" s="32"/>
      <c r="E964" s="32"/>
      <c r="F964" s="32"/>
      <c r="G964" s="32"/>
      <c r="H964" s="32"/>
    </row>
    <row r="965" ht="15.75" customHeight="1">
      <c r="A965" s="32"/>
      <c r="C965" s="32"/>
      <c r="D965" s="32"/>
      <c r="E965" s="32"/>
      <c r="F965" s="32"/>
      <c r="G965" s="32"/>
      <c r="H965" s="32"/>
    </row>
    <row r="966" ht="15.75" customHeight="1">
      <c r="A966" s="32"/>
      <c r="C966" s="32"/>
      <c r="D966" s="32"/>
      <c r="E966" s="32"/>
      <c r="F966" s="32"/>
      <c r="G966" s="32"/>
      <c r="H966" s="32"/>
    </row>
    <row r="967" ht="15.75" customHeight="1">
      <c r="A967" s="32"/>
      <c r="C967" s="32"/>
      <c r="D967" s="32"/>
      <c r="E967" s="32"/>
      <c r="F967" s="32"/>
      <c r="G967" s="32"/>
      <c r="H967" s="32"/>
    </row>
    <row r="968" ht="15.75" customHeight="1">
      <c r="A968" s="32"/>
      <c r="C968" s="32"/>
      <c r="D968" s="32"/>
      <c r="E968" s="32"/>
      <c r="F968" s="32"/>
      <c r="G968" s="32"/>
      <c r="H968" s="32"/>
    </row>
    <row r="969" ht="15.75" customHeight="1">
      <c r="A969" s="32"/>
      <c r="C969" s="32"/>
      <c r="D969" s="32"/>
      <c r="E969" s="32"/>
      <c r="F969" s="32"/>
      <c r="G969" s="32"/>
      <c r="H969" s="32"/>
    </row>
    <row r="970" ht="15.75" customHeight="1">
      <c r="A970" s="32"/>
      <c r="C970" s="32"/>
      <c r="D970" s="32"/>
      <c r="E970" s="32"/>
      <c r="F970" s="32"/>
      <c r="G970" s="32"/>
      <c r="H970" s="32"/>
    </row>
    <row r="971" ht="15.75" customHeight="1">
      <c r="A971" s="32"/>
      <c r="C971" s="32"/>
      <c r="D971" s="32"/>
      <c r="E971" s="32"/>
      <c r="F971" s="32"/>
      <c r="G971" s="32"/>
      <c r="H971" s="32"/>
    </row>
    <row r="972" ht="15.75" customHeight="1">
      <c r="A972" s="32"/>
      <c r="C972" s="32"/>
      <c r="D972" s="32"/>
      <c r="E972" s="32"/>
      <c r="F972" s="32"/>
      <c r="G972" s="32"/>
      <c r="H972" s="32"/>
    </row>
    <row r="973" ht="15.75" customHeight="1">
      <c r="A973" s="32"/>
      <c r="C973" s="32"/>
      <c r="D973" s="32"/>
      <c r="E973" s="32"/>
      <c r="F973" s="32"/>
      <c r="G973" s="32"/>
      <c r="H973" s="32"/>
    </row>
    <row r="974" ht="15.75" customHeight="1">
      <c r="A974" s="32"/>
      <c r="C974" s="32"/>
      <c r="D974" s="32"/>
      <c r="E974" s="32"/>
      <c r="F974" s="32"/>
      <c r="G974" s="32"/>
      <c r="H974" s="32"/>
    </row>
    <row r="975" ht="15.75" customHeight="1">
      <c r="A975" s="32"/>
      <c r="C975" s="32"/>
      <c r="D975" s="32"/>
      <c r="E975" s="32"/>
      <c r="F975" s="32"/>
      <c r="G975" s="32"/>
      <c r="H975" s="32"/>
    </row>
    <row r="976" ht="15.75" customHeight="1">
      <c r="A976" s="32"/>
      <c r="C976" s="32"/>
      <c r="D976" s="32"/>
      <c r="E976" s="32"/>
      <c r="F976" s="32"/>
      <c r="G976" s="32"/>
      <c r="H976" s="32"/>
    </row>
    <row r="977" ht="15.75" customHeight="1">
      <c r="A977" s="32"/>
      <c r="C977" s="32"/>
      <c r="D977" s="32"/>
      <c r="E977" s="32"/>
      <c r="F977" s="32"/>
      <c r="G977" s="32"/>
      <c r="H977" s="32"/>
    </row>
    <row r="978" ht="15.75" customHeight="1">
      <c r="A978" s="32"/>
      <c r="C978" s="32"/>
      <c r="D978" s="32"/>
      <c r="E978" s="32"/>
      <c r="F978" s="32"/>
      <c r="G978" s="32"/>
      <c r="H978" s="32"/>
    </row>
    <row r="979" ht="15.75" customHeight="1">
      <c r="A979" s="32"/>
      <c r="C979" s="32"/>
      <c r="D979" s="32"/>
      <c r="E979" s="32"/>
      <c r="F979" s="32"/>
      <c r="G979" s="32"/>
      <c r="H979" s="32"/>
    </row>
    <row r="980" ht="15.75" customHeight="1">
      <c r="A980" s="32"/>
      <c r="C980" s="32"/>
      <c r="D980" s="32"/>
      <c r="E980" s="32"/>
      <c r="F980" s="32"/>
      <c r="G980" s="32"/>
      <c r="H980" s="32"/>
    </row>
    <row r="981" ht="15.75" customHeight="1">
      <c r="A981" s="32"/>
      <c r="C981" s="32"/>
      <c r="D981" s="32"/>
      <c r="E981" s="32"/>
      <c r="F981" s="32"/>
      <c r="G981" s="32"/>
      <c r="H981" s="32"/>
    </row>
    <row r="982" ht="15.75" customHeight="1">
      <c r="A982" s="32"/>
      <c r="C982" s="32"/>
      <c r="D982" s="32"/>
      <c r="E982" s="32"/>
      <c r="F982" s="32"/>
      <c r="G982" s="32"/>
      <c r="H982" s="32"/>
    </row>
    <row r="983" ht="15.75" customHeight="1">
      <c r="A983" s="32"/>
      <c r="C983" s="32"/>
      <c r="D983" s="32"/>
      <c r="E983" s="32"/>
      <c r="F983" s="32"/>
      <c r="G983" s="32"/>
      <c r="H983" s="32"/>
    </row>
    <row r="984" ht="15.75" customHeight="1">
      <c r="A984" s="32"/>
      <c r="C984" s="32"/>
      <c r="D984" s="32"/>
      <c r="E984" s="32"/>
      <c r="F984" s="32"/>
      <c r="G984" s="32"/>
      <c r="H984" s="32"/>
    </row>
    <row r="985" ht="15.75" customHeight="1">
      <c r="A985" s="32"/>
      <c r="C985" s="32"/>
      <c r="D985" s="32"/>
      <c r="E985" s="32"/>
      <c r="F985" s="32"/>
      <c r="G985" s="32"/>
      <c r="H985" s="32"/>
    </row>
    <row r="986" ht="15.75" customHeight="1">
      <c r="A986" s="32"/>
      <c r="C986" s="32"/>
      <c r="D986" s="32"/>
      <c r="E986" s="32"/>
      <c r="F986" s="32"/>
      <c r="G986" s="32"/>
      <c r="H986" s="32"/>
    </row>
    <row r="987" ht="15.75" customHeight="1">
      <c r="A987" s="32"/>
      <c r="C987" s="32"/>
      <c r="D987" s="32"/>
      <c r="E987" s="32"/>
      <c r="F987" s="32"/>
      <c r="G987" s="32"/>
      <c r="H987" s="32"/>
    </row>
    <row r="988" ht="15.75" customHeight="1">
      <c r="A988" s="32"/>
      <c r="C988" s="32"/>
      <c r="D988" s="32"/>
      <c r="E988" s="32"/>
      <c r="F988" s="32"/>
      <c r="G988" s="32"/>
      <c r="H988" s="32"/>
    </row>
    <row r="989" ht="15.75" customHeight="1">
      <c r="A989" s="32"/>
      <c r="C989" s="32"/>
      <c r="D989" s="32"/>
      <c r="E989" s="32"/>
      <c r="F989" s="32"/>
      <c r="G989" s="32"/>
      <c r="H989" s="32"/>
    </row>
    <row r="990" ht="15.75" customHeight="1">
      <c r="A990" s="32"/>
      <c r="C990" s="32"/>
      <c r="D990" s="32"/>
      <c r="E990" s="32"/>
      <c r="F990" s="32"/>
      <c r="G990" s="32"/>
      <c r="H990" s="32"/>
    </row>
    <row r="991" ht="15.75" customHeight="1">
      <c r="A991" s="32"/>
      <c r="C991" s="32"/>
      <c r="D991" s="32"/>
      <c r="E991" s="32"/>
      <c r="F991" s="32"/>
      <c r="G991" s="32"/>
      <c r="H991" s="32"/>
    </row>
    <row r="992" ht="15.75" customHeight="1">
      <c r="A992" s="32"/>
      <c r="C992" s="32"/>
      <c r="D992" s="32"/>
      <c r="E992" s="32"/>
      <c r="F992" s="32"/>
      <c r="G992" s="32"/>
      <c r="H992" s="32"/>
    </row>
    <row r="993" ht="15.75" customHeight="1">
      <c r="A993" s="32"/>
      <c r="C993" s="32"/>
      <c r="D993" s="32"/>
      <c r="E993" s="32"/>
      <c r="F993" s="32"/>
      <c r="G993" s="32"/>
      <c r="H993" s="32"/>
    </row>
    <row r="994" ht="15.75" customHeight="1">
      <c r="A994" s="32"/>
      <c r="C994" s="32"/>
      <c r="D994" s="32"/>
      <c r="E994" s="32"/>
      <c r="F994" s="32"/>
      <c r="G994" s="32"/>
      <c r="H994" s="32"/>
    </row>
    <row r="995" ht="15.75" customHeight="1">
      <c r="A995" s="32"/>
      <c r="C995" s="32"/>
      <c r="D995" s="32"/>
      <c r="E995" s="32"/>
      <c r="F995" s="32"/>
      <c r="G995" s="32"/>
      <c r="H995" s="32"/>
    </row>
    <row r="996" ht="15.75" customHeight="1">
      <c r="A996" s="32"/>
      <c r="C996" s="32"/>
      <c r="D996" s="32"/>
      <c r="E996" s="32"/>
      <c r="F996" s="32"/>
      <c r="G996" s="32"/>
      <c r="H996" s="32"/>
    </row>
    <row r="997" ht="15.75" customHeight="1">
      <c r="A997" s="32"/>
      <c r="C997" s="32"/>
      <c r="D997" s="32"/>
      <c r="E997" s="32"/>
      <c r="F997" s="32"/>
      <c r="G997" s="32"/>
      <c r="H997" s="32"/>
    </row>
    <row r="998" ht="15.75" customHeight="1">
      <c r="A998" s="32"/>
      <c r="C998" s="32"/>
      <c r="D998" s="32"/>
      <c r="E998" s="32"/>
      <c r="F998" s="32"/>
      <c r="G998" s="32"/>
      <c r="H998" s="32"/>
    </row>
    <row r="999" ht="15.75" customHeight="1">
      <c r="A999" s="32"/>
      <c r="C999" s="32"/>
      <c r="D999" s="32"/>
      <c r="E999" s="32"/>
      <c r="F999" s="32"/>
      <c r="G999" s="32"/>
      <c r="H999" s="32"/>
    </row>
    <row r="1000" ht="15.75" customHeight="1">
      <c r="A1000" s="32"/>
      <c r="C1000" s="32"/>
      <c r="D1000" s="32"/>
      <c r="E1000" s="32"/>
      <c r="F1000" s="32"/>
      <c r="G1000" s="32"/>
      <c r="H1000" s="32"/>
    </row>
  </sheetData>
  <mergeCells count="6">
    <mergeCell ref="D1:H1"/>
    <mergeCell ref="A3:A15"/>
    <mergeCell ref="A17:A29"/>
    <mergeCell ref="A31:A43"/>
    <mergeCell ref="A45:A57"/>
    <mergeCell ref="A59:A7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2.63"/>
    <col customWidth="1" min="3" max="3" width="1.75"/>
    <col customWidth="1" min="4" max="7" width="28.88"/>
  </cols>
  <sheetData>
    <row r="1" ht="15.75" customHeight="1">
      <c r="A1" s="129"/>
      <c r="B1" s="130"/>
      <c r="C1" s="131"/>
      <c r="D1" s="149" t="s">
        <v>16</v>
      </c>
      <c r="E1" s="8"/>
      <c r="F1" s="8"/>
      <c r="G1" s="10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5.75" customHeight="1">
      <c r="A2" s="99" t="s">
        <v>20</v>
      </c>
      <c r="B2" s="99" t="s">
        <v>23</v>
      </c>
      <c r="C2" s="131"/>
      <c r="D2" s="6" t="s">
        <v>53</v>
      </c>
      <c r="E2" s="6" t="s">
        <v>54</v>
      </c>
      <c r="F2" s="6" t="s">
        <v>56</v>
      </c>
      <c r="G2" s="6" t="s">
        <v>57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5.75" customHeight="1">
      <c r="A3" s="134" t="s">
        <v>770</v>
      </c>
      <c r="B3" s="140" t="s">
        <v>164</v>
      </c>
      <c r="C3" s="131"/>
      <c r="D3" s="75" t="str">
        <f>'Horário - Graduação'!Z17</f>
        <v/>
      </c>
      <c r="E3" s="75" t="str">
        <f>'Horário - Graduação'!AA17</f>
        <v/>
      </c>
      <c r="F3" s="75" t="str">
        <f>'Horário - Graduação'!AB17</f>
        <v>ESTATÍSTICA BÁSICA (EAD) (Agnaldo)</v>
      </c>
      <c r="G3" s="75" t="str">
        <f>'Horário - Graduação'!AC17</f>
        <v>Estágio Curricular Supervisionado lV (Rosi) (1/8)</v>
      </c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ht="15.75" customHeight="1">
      <c r="A4" s="36"/>
      <c r="B4" s="140" t="s">
        <v>174</v>
      </c>
      <c r="C4" s="131"/>
      <c r="D4" s="150" t="str">
        <f>'Horário - Graduação'!Z18</f>
        <v/>
      </c>
      <c r="E4" s="150" t="str">
        <f>'Horário - Graduação'!AA18</f>
        <v> Bioquímica (Cristiane)
 (1/6)</v>
      </c>
      <c r="F4" s="150" t="str">
        <f>'Horário - Graduação'!AB18</f>
        <v>Investigação Científica (Vanessa Santana) (1/7)</v>
      </c>
      <c r="G4" s="150" t="str">
        <f>'Horário - Graduação'!AC18</f>
        <v>Tópicos Especiais em Biologia lll (Rosi) (1/8)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ht="15.75" customHeight="1">
      <c r="A5" s="36"/>
      <c r="B5" s="140" t="s">
        <v>193</v>
      </c>
      <c r="C5" s="131"/>
      <c r="D5" s="150" t="str">
        <f>'Horário - Graduação'!Z19</f>
        <v>Fundamentos  filosóficos da Educação (Emille) (1/5)</v>
      </c>
      <c r="E5" s="150" t="str">
        <f>'Horário - Graduação'!AA19</f>
        <v> Bioquímica (Cristiane)
 (1/6)</v>
      </c>
      <c r="F5" s="150" t="str">
        <f>'Horário - Graduação'!AB19</f>
        <v>Investigação Científica (Vanessa Santana) (1/7)</v>
      </c>
      <c r="G5" s="150" t="str">
        <f>'Horário - Graduação'!AC19</f>
        <v>Prática Pedagógica Xll: Processo de Ensino-Aprendizagem em Ciências e Biologia (Rosi) (1/8)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ht="15.75" customHeight="1">
      <c r="A6" s="36"/>
      <c r="B6" s="147" t="s">
        <v>111</v>
      </c>
      <c r="C6" s="131"/>
      <c r="D6" s="143" t="str">
        <f>'Horário - Graduação'!Z47</f>
        <v/>
      </c>
      <c r="E6" s="143" t="str">
        <f>'Horário - Graduação'!AA47</f>
        <v/>
      </c>
      <c r="F6" s="143" t="str">
        <f>'Horário - Graduação'!AB47</f>
        <v/>
      </c>
      <c r="G6" s="143" t="str">
        <f>'Horário - Graduação'!AC47</f>
        <v/>
      </c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5.75" customHeight="1">
      <c r="A7" s="36"/>
      <c r="B7" s="140" t="s">
        <v>198</v>
      </c>
      <c r="C7" s="131"/>
      <c r="D7" s="150" t="str">
        <f>'Horário - Graduação'!Z21</f>
        <v>Fundamentos  filosóficos da Educação (Emille) (1/5)</v>
      </c>
      <c r="E7" s="150" t="str">
        <f>'Horário - Graduação'!AA21</f>
        <v>Diversidade dos Vegetais (Michellia) (1/6)</v>
      </c>
      <c r="F7" s="150" t="str">
        <f>'Horário - Graduação'!AB21</f>
        <v> Ecologia de Populações (Tatianne) (1/7)</v>
      </c>
      <c r="G7" s="150" t="str">
        <f>'Horário - Graduação'!AC21</f>
        <v>Prática Pedagógica Xll: Processo de Ensino-Aprendizagem em Ciências e Biologia (Rosi) (1/8)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5.75" customHeight="1">
      <c r="A8" s="66"/>
      <c r="B8" s="140" t="s">
        <v>210</v>
      </c>
      <c r="C8" s="131"/>
      <c r="D8" s="150" t="str">
        <f>'Horário - Graduação'!Z22</f>
        <v/>
      </c>
      <c r="E8" s="150" t="str">
        <f>'Horário - Graduação'!AA22</f>
        <v>Diversidade dos Vegetais (Michellia) (1/6)</v>
      </c>
      <c r="F8" s="150" t="str">
        <f>'Horário - Graduação'!AB22</f>
        <v> Ecologia de Populações (Tatianne) (1/7)</v>
      </c>
      <c r="G8" s="150" t="str">
        <f>'Horário - Graduação'!AC22</f>
        <v/>
      </c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5.75" customHeight="1">
      <c r="A9" s="99" t="s">
        <v>20</v>
      </c>
      <c r="B9" s="140" t="s">
        <v>23</v>
      </c>
      <c r="C9" s="131"/>
      <c r="D9" s="6" t="s">
        <v>53</v>
      </c>
      <c r="E9" s="6" t="s">
        <v>54</v>
      </c>
      <c r="F9" s="6" t="s">
        <v>56</v>
      </c>
      <c r="G9" s="6" t="s">
        <v>57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5.75" customHeight="1">
      <c r="A10" s="134" t="s">
        <v>11</v>
      </c>
      <c r="B10" s="140" t="s">
        <v>164</v>
      </c>
      <c r="C10" s="131"/>
      <c r="D10" s="75" t="str">
        <f>'Horário - Graduação'!Z38</f>
        <v/>
      </c>
      <c r="E10" s="75" t="str">
        <f>'Horário - Graduação'!AA38</f>
        <v/>
      </c>
      <c r="F10" s="75" t="str">
        <f>'Horário - Graduação'!AB38</f>
        <v>ESTATÍSTICA BÁSICA (EAD) (Agnaldo)</v>
      </c>
      <c r="G10" s="75" t="str">
        <f>'Horário - Graduação'!AC38</f>
        <v>Prática Pedagógica V: Laboratório de Genética (Turma Extra Pré Horário) (Vanessa Santana) (1/8)</v>
      </c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ht="15.75" customHeight="1">
      <c r="A11" s="36"/>
      <c r="B11" s="140" t="s">
        <v>174</v>
      </c>
      <c r="C11" s="131"/>
      <c r="D11" s="148" t="str">
        <f>'Horário - Graduação'!Z39</f>
        <v>Histologia (Valéria) (1/5)</v>
      </c>
      <c r="E11" s="148" t="str">
        <f>'Horário - Graduação'!AA39</f>
        <v>Parasitologia (Filipe) (1/6)</v>
      </c>
      <c r="F11" s="148" t="str">
        <f>'Horário - Graduação'!AB39</f>
        <v>ESTATÍSTICA BÁSICA (EAD) (Arilson)</v>
      </c>
      <c r="G11" s="148" t="str">
        <f>'Horário - Graduação'!AC39</f>
        <v>Educação Profissional (Laio) (1/8)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5.75" customHeight="1">
      <c r="A12" s="36"/>
      <c r="B12" s="140" t="s">
        <v>193</v>
      </c>
      <c r="C12" s="131"/>
      <c r="D12" s="148" t="str">
        <f>'Horário - Graduação'!Z40</f>
        <v>Histologia (Valéria) (1/5)</v>
      </c>
      <c r="E12" s="148" t="str">
        <f>'Horário - Graduação'!AA40</f>
        <v>Parasitologia (Filipe) (1/6)</v>
      </c>
      <c r="F12" s="148" t="str">
        <f>'Horário - Graduação'!AB40</f>
        <v> Ecologia de Populações (Tatianne) (1/7)</v>
      </c>
      <c r="G12" s="148" t="str">
        <f>'Horário - Graduação'!AC40</f>
        <v>Educação Profissional (Laio) (1/8)</v>
      </c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ht="15.75" customHeight="1">
      <c r="A13" s="36"/>
      <c r="B13" s="147" t="s">
        <v>111</v>
      </c>
      <c r="C13" s="131"/>
      <c r="D13" s="143" t="str">
        <f>'Horário - Graduação'!Z55</f>
        <v/>
      </c>
      <c r="E13" s="143" t="str">
        <f>'Horário - Graduação'!AA55</f>
        <v/>
      </c>
      <c r="F13" s="143" t="str">
        <f>'Horário - Graduação'!AB55</f>
        <v/>
      </c>
      <c r="G13" s="143" t="str">
        <f>'Horário - Graduação'!AC55</f>
        <v>Libras ll (EAD)</v>
      </c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ht="15.75" customHeight="1">
      <c r="A14" s="36"/>
      <c r="B14" s="140" t="s">
        <v>198</v>
      </c>
      <c r="C14" s="131"/>
      <c r="D14" s="150" t="str">
        <f>'Horário - Graduação'!Z42</f>
        <v>Genética (Marinalva / Vanessa Santana) (1/5)</v>
      </c>
      <c r="E14" s="150" t="str">
        <f>'Horário - Graduação'!AA42</f>
        <v>Educação, Sociedade e Trabalho (Márlio) (1/6)</v>
      </c>
      <c r="F14" s="150" t="str">
        <f>'Horário - Graduação'!AB42</f>
        <v>Pesquisa e Educação: Produtos Educacionais 1 (Laio) (1/7)</v>
      </c>
      <c r="G14" s="150" t="str">
        <f>'Horário - Graduação'!AC42</f>
        <v>Fundamentos de Geologia e Paleontologia (Élcio José) (1/8)</v>
      </c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ht="15.75" customHeight="1">
      <c r="A15" s="66"/>
      <c r="B15" s="140" t="s">
        <v>210</v>
      </c>
      <c r="C15" s="131"/>
      <c r="D15" s="150" t="str">
        <f>'Horário - Graduação'!Z43</f>
        <v>Genética (Marinalva / Vanessa Santana) (1/5)</v>
      </c>
      <c r="E15" s="150" t="str">
        <f>'Horário - Graduação'!AA43</f>
        <v>Educação, Sociedade e Trabalho (Márlio) (1/6)</v>
      </c>
      <c r="F15" s="150" t="str">
        <f>'Horário - Graduação'!AB43</f>
        <v>Pesquisa e Educação: Produtos Educacionais 1 (Laio)  (1/7)</v>
      </c>
      <c r="G15" s="150" t="str">
        <f>'Horário - Graduação'!AC43</f>
        <v>Fundamentos de Geologia e Paleontologia (Élcio José) (1/8)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15.75" customHeight="1">
      <c r="A16" s="99" t="s">
        <v>20</v>
      </c>
      <c r="B16" s="140" t="s">
        <v>23</v>
      </c>
      <c r="C16" s="131"/>
      <c r="D16" s="6" t="s">
        <v>53</v>
      </c>
      <c r="E16" s="6" t="s">
        <v>54</v>
      </c>
      <c r="F16" s="6" t="s">
        <v>56</v>
      </c>
      <c r="G16" s="6" t="s">
        <v>57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15.75" customHeight="1">
      <c r="A17" s="134" t="s">
        <v>12</v>
      </c>
      <c r="B17" s="140" t="s">
        <v>164</v>
      </c>
      <c r="C17" s="131"/>
      <c r="D17" s="75" t="str">
        <f>'Horário - Graduação'!Z59</f>
        <v/>
      </c>
      <c r="E17" s="75" t="str">
        <f>'Horário - Graduação'!AA59</f>
        <v/>
      </c>
      <c r="F17" s="75" t="str">
        <f>'Horário - Graduação'!AB59</f>
        <v/>
      </c>
      <c r="G17" s="75" t="str">
        <f>'Horário - Graduação'!AC59</f>
        <v/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15.75" customHeight="1">
      <c r="A18" s="36"/>
      <c r="B18" s="140" t="s">
        <v>174</v>
      </c>
      <c r="C18" s="131"/>
      <c r="D18" s="150" t="str">
        <f>'Horário - Graduação'!Z60</f>
        <v>Histologia (Valéria) (1/5)</v>
      </c>
      <c r="E18" s="150" t="str">
        <f>'Horário - Graduação'!AA60</f>
        <v>Didática I (Gerson) (1/6)</v>
      </c>
      <c r="F18" s="150" t="str">
        <f>'Horário - Graduação'!AB60</f>
        <v>Pesquisa e Educação: Produtos Educacionais 1 (Laio)  (1/7)</v>
      </c>
      <c r="G18" s="150" t="str">
        <f>'Horário - Graduação'!AC60</f>
        <v>Fundamentos de Geologia e Paleontologia (Filipe) (1/8)</v>
      </c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15.75" customHeight="1">
      <c r="A19" s="36"/>
      <c r="B19" s="140" t="s">
        <v>193</v>
      </c>
      <c r="C19" s="131"/>
      <c r="D19" s="150" t="str">
        <f>'Horário - Graduação'!Z61</f>
        <v>Histologia (Valéria) (1/5)</v>
      </c>
      <c r="E19" s="150" t="str">
        <f>'Horário - Graduação'!AA61</f>
        <v>Didática I (Gerson) (1/6)</v>
      </c>
      <c r="F19" s="150" t="str">
        <f>'Horário - Graduação'!AB61</f>
        <v>Pesquisa e Educação: Produtos Educacionais 1 (Laio)  (1/7)</v>
      </c>
      <c r="G19" s="150" t="str">
        <f>'Horário - Graduação'!AC61</f>
        <v>Fundamentos de Geologia e Paleontologia (Filipe) (1/8)</v>
      </c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ht="15.75" customHeight="1">
      <c r="A20" s="36"/>
      <c r="B20" s="147" t="s">
        <v>111</v>
      </c>
      <c r="C20" s="131"/>
      <c r="D20" s="143" t="str">
        <f>'Horário - Graduação'!Z62</f>
        <v/>
      </c>
      <c r="E20" s="143" t="str">
        <f>'Horário - Graduação'!AA62</f>
        <v/>
      </c>
      <c r="F20" s="143" t="str">
        <f>'Horário - Graduação'!AB62</f>
        <v/>
      </c>
      <c r="G20" s="143" t="str">
        <f>'Horário - Graduação'!AC62</f>
        <v/>
      </c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5.75" customHeight="1">
      <c r="A21" s="36"/>
      <c r="B21" s="140" t="s">
        <v>198</v>
      </c>
      <c r="C21" s="131"/>
      <c r="D21" s="150" t="str">
        <f>'Horário - Graduação'!Z63</f>
        <v>Embriologia (Lídia) (1/5)</v>
      </c>
      <c r="E21" s="150" t="str">
        <f>'Horário - Graduação'!AA63</f>
        <v>Física Experimental para o Ensino Fundamental (Rodrigo Freitas) (1/6)</v>
      </c>
      <c r="F21" s="150" t="str">
        <f>'Horário - Graduação'!AB63</f>
        <v>Leitura e Produção de Textos Acadêmicos (Evelyn)  (1/7)</v>
      </c>
      <c r="G21" s="150" t="str">
        <f>'Horário - Graduação'!AC63</f>
        <v>Prática Pedagógica X: Laboratório de Botânica (Lays) (1/8)</v>
      </c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66"/>
      <c r="B22" s="140" t="s">
        <v>210</v>
      </c>
      <c r="C22" s="131"/>
      <c r="D22" s="150" t="str">
        <f>'Horário - Graduação'!Z64</f>
        <v>Embriologia (Lídia) (1/5)</v>
      </c>
      <c r="E22" s="150" t="str">
        <f>'Horário - Graduação'!AA64</f>
        <v>Física Experimental para o Ensino Fundamental (Rodrigo Freitas) (1/6)</v>
      </c>
      <c r="F22" s="150" t="str">
        <f>'Horário - Graduação'!AB64</f>
        <v>Leitura e Produção de Textos Acadêmicos (Evelyn)  (1/7)</v>
      </c>
      <c r="G22" s="150" t="str">
        <f>'Horário - Graduação'!AC64</f>
        <v>Prática Pedagógica X: Laboratório de Botânica (Lays) (1/8)</v>
      </c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99" t="s">
        <v>20</v>
      </c>
      <c r="B23" s="140" t="s">
        <v>23</v>
      </c>
      <c r="C23" s="131"/>
      <c r="D23" s="6" t="s">
        <v>53</v>
      </c>
      <c r="E23" s="6" t="s">
        <v>54</v>
      </c>
      <c r="F23" s="6" t="s">
        <v>56</v>
      </c>
      <c r="G23" s="6" t="s">
        <v>57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4" t="s">
        <v>13</v>
      </c>
      <c r="B24" s="140" t="s">
        <v>164</v>
      </c>
      <c r="C24" s="131"/>
      <c r="D24" s="75" t="str">
        <f>'Horário - Graduação'!Z80</f>
        <v/>
      </c>
      <c r="E24" s="75" t="str">
        <f>'Horário - Graduação'!AA80</f>
        <v/>
      </c>
      <c r="F24" s="75" t="str">
        <f>'Horário - Graduação'!AB80</f>
        <v>Estágio Curricular Supervisionado lll (Érica)  (1/7)</v>
      </c>
      <c r="G24" s="75" t="str">
        <f>'Horário - Graduação'!AC80</f>
        <v/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36"/>
      <c r="B25" s="140" t="s">
        <v>174</v>
      </c>
      <c r="C25" s="131"/>
      <c r="D25" s="150" t="str">
        <f>'Horário - Graduação'!Z81</f>
        <v>Zoologia comparada de Invertebrados ll (Filipe) (1/5)</v>
      </c>
      <c r="E25" s="150" t="str">
        <f>'Horário - Graduação'!AA81</f>
        <v>Bioquímica (Cristiane) (1/6)</v>
      </c>
      <c r="F25" s="150" t="str">
        <f>'Horário - Graduação'!AB81</f>
        <v>Sistemática de Angiospermas (Michellia)  (1/7)</v>
      </c>
      <c r="G25" s="150" t="str">
        <f>'Horário - Graduação'!AC81</f>
        <v> Prática Pedagógica Vlll: Laboratório de Ecologia (Vanessa Santana) (1/8)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36"/>
      <c r="B26" s="140" t="s">
        <v>193</v>
      </c>
      <c r="C26" s="131"/>
      <c r="D26" s="150" t="str">
        <f>'Horário - Graduação'!Z82</f>
        <v>Zoologia comparada de Invertebrados ll (Filipe) (1/5)</v>
      </c>
      <c r="E26" s="150" t="str">
        <f>'Horário - Graduação'!AA82</f>
        <v>Bioquímica (Cristiane) (1/6)</v>
      </c>
      <c r="F26" s="150" t="str">
        <f>'Horário - Graduação'!AB82</f>
        <v>Sistemática de Angiospermas (Michellia)  (1/7)</v>
      </c>
      <c r="G26" s="150" t="str">
        <f>'Horário - Graduação'!AC82</f>
        <v> Prática Pedagógica Vlll: Laboratório de Ecologia (Vanessa Santana) (1/8)</v>
      </c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36"/>
      <c r="B27" s="147" t="s">
        <v>111</v>
      </c>
      <c r="C27" s="131"/>
      <c r="D27" s="143" t="str">
        <f>'Horário - Graduação'!Z83</f>
        <v/>
      </c>
      <c r="E27" s="143" t="str">
        <f>'Horário - Graduação'!AA83</f>
        <v/>
      </c>
      <c r="F27" s="143" t="str">
        <f>'Horário - Graduação'!AB83</f>
        <v/>
      </c>
      <c r="G27" s="143" t="str">
        <f>'Horário - Graduação'!AC83</f>
        <v/>
      </c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36"/>
      <c r="B28" s="140" t="s">
        <v>198</v>
      </c>
      <c r="C28" s="131"/>
      <c r="D28" s="150" t="str">
        <f>'Horário - Graduação'!Z84</f>
        <v>Genética (Marinalva / Vanessa Santana) (1/5)</v>
      </c>
      <c r="E28" s="150" t="str">
        <f>'Horário - Graduação'!AA84</f>
        <v>Diversidade dos Vegetais (Michellia) (1/6)</v>
      </c>
      <c r="F28" s="150" t="str">
        <f>'Horário - Graduação'!AB84</f>
        <v>Educação e Relações Étnico-Raciais (Márlio)  (1/7)</v>
      </c>
      <c r="G28" s="150" t="str">
        <f>'Horário - Graduação'!AC84</f>
        <v>Prática Pedagógica lX: Educação e Saúde (Filipe) (1/8)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66"/>
      <c r="B29" s="140" t="s">
        <v>210</v>
      </c>
      <c r="C29" s="131"/>
      <c r="D29" s="150" t="str">
        <f>'Horário - Graduação'!Z85</f>
        <v>Genética (Marinalva / Vanessa Santana) (1/5)</v>
      </c>
      <c r="E29" s="150" t="str">
        <f>'Horário - Graduação'!AA85</f>
        <v>Diversidade dos Vegetais (Michellia) (1/6)</v>
      </c>
      <c r="F29" s="150" t="str">
        <f>'Horário - Graduação'!AB85</f>
        <v>Educação e Relações Étnico-Raciais (Márlio)  (1/7)</v>
      </c>
      <c r="G29" s="150" t="str">
        <f>'Horário - Graduação'!AC85</f>
        <v>Prática Pedagógica lX: Educação e Saúde (Filipe) (1/8)</v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99" t="s">
        <v>20</v>
      </c>
      <c r="B30" s="140" t="s">
        <v>23</v>
      </c>
      <c r="C30" s="131"/>
      <c r="D30" s="6" t="s">
        <v>53</v>
      </c>
      <c r="E30" s="6" t="s">
        <v>54</v>
      </c>
      <c r="F30" s="6" t="s">
        <v>56</v>
      </c>
      <c r="G30" s="6" t="s">
        <v>57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4" t="s">
        <v>14</v>
      </c>
      <c r="B31" s="140" t="s">
        <v>164</v>
      </c>
      <c r="C31" s="131"/>
      <c r="D31" s="75" t="str">
        <f>'Horário - Graduação'!Z101</f>
        <v/>
      </c>
      <c r="E31" s="75" t="str">
        <f>'Horário - Graduação'!AA101</f>
        <v/>
      </c>
      <c r="F31" s="75" t="str">
        <f>'Horário - Graduação'!AB101</f>
        <v/>
      </c>
      <c r="G31" s="75" t="str">
        <f>'Horário - Graduação'!AC101</f>
        <v/>
      </c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36"/>
      <c r="B32" s="140" t="s">
        <v>174</v>
      </c>
      <c r="C32" s="131"/>
      <c r="D32" s="150" t="str">
        <f>'Horário - Graduação'!Z102</f>
        <v>Química Orgânica (Bruno) (1/5)</v>
      </c>
      <c r="E32" s="150" t="str">
        <f>'Horário - Graduação'!AA102</f>
        <v>Parasitologia (Filipe) (1/6)</v>
      </c>
      <c r="F32" s="150" t="str">
        <f>'Horário - Graduação'!AB102</f>
        <v>Sistemática de Angiospermas (Michellia)  (1/7)</v>
      </c>
      <c r="G32" s="150" t="str">
        <f>'Horário - Graduação'!AC102</f>
        <v>Prática Pedagógica Xl: Educação Ambienntal (Vanessa Santana) (1/8)</v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36"/>
      <c r="B33" s="140" t="s">
        <v>193</v>
      </c>
      <c r="C33" s="131"/>
      <c r="D33" s="150" t="str">
        <f>'Horário - Graduação'!Z103</f>
        <v>Química Orgânica (Bruno) (1/5)</v>
      </c>
      <c r="E33" s="150" t="str">
        <f>'Horário - Graduação'!AA103</f>
        <v>Parasitologia (Filipe) (1/6)</v>
      </c>
      <c r="F33" s="150" t="str">
        <f>'Horário - Graduação'!AB103</f>
        <v>Sistemática de Angiospermas (Michellia)  (1/7)</v>
      </c>
      <c r="G33" s="150" t="str">
        <f>'Horário - Graduação'!AC103</f>
        <v>Prática Pedagógica Xl: Educação Ambienntal (Vanessa Santana) (1/8)</v>
      </c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36"/>
      <c r="B34" s="147" t="s">
        <v>111</v>
      </c>
      <c r="C34" s="131"/>
      <c r="D34" s="143" t="str">
        <f>'Horário - Graduação'!Z104</f>
        <v/>
      </c>
      <c r="E34" s="143" t="str">
        <f>'Horário - Graduação'!AA104</f>
        <v/>
      </c>
      <c r="F34" s="143" t="str">
        <f>'Horário - Graduação'!AB104</f>
        <v/>
      </c>
      <c r="G34" s="143" t="str">
        <f>'Horário - Graduação'!AC104</f>
        <v/>
      </c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36"/>
      <c r="B35" s="140" t="s">
        <v>198</v>
      </c>
      <c r="C35" s="131"/>
      <c r="D35" s="150" t="str">
        <f>'Horário - Graduação'!Z105</f>
        <v>Zoologia comparada de Invertebrados ll (Filipe) (1/5)</v>
      </c>
      <c r="E35" s="150" t="str">
        <f>'Horário - Graduação'!AA105</f>
        <v>Didática I (Gerson) (1/6)</v>
      </c>
      <c r="F35" s="150" t="str">
        <f>'Horário - Graduação'!AB105</f>
        <v>Biofísica (Clayton)  (1/7)</v>
      </c>
      <c r="G35" s="150" t="str">
        <f>'Horário - Graduação'!AC105</f>
        <v/>
      </c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66"/>
      <c r="B36" s="140" t="s">
        <v>210</v>
      </c>
      <c r="C36" s="131"/>
      <c r="D36" s="150" t="str">
        <f>'Horário - Graduação'!Z106</f>
        <v>Zoologia comparada de Invertebrados ll (Filipe) (1/5)</v>
      </c>
      <c r="E36" s="150" t="str">
        <f>'Horário - Graduação'!AA106</f>
        <v>Didática I (Gerson) (1/6)</v>
      </c>
      <c r="F36" s="150" t="str">
        <f>'Horário - Graduação'!AB106</f>
        <v>Biofísica (Clayton)  (1/7)</v>
      </c>
      <c r="G36" s="150" t="str">
        <f>'Horário - Graduação'!AC106</f>
        <v/>
      </c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42" t="s">
        <v>20</v>
      </c>
      <c r="B37" s="140" t="s">
        <v>23</v>
      </c>
      <c r="C37" s="131"/>
      <c r="D37" s="6" t="s">
        <v>53</v>
      </c>
      <c r="E37" s="6" t="s">
        <v>54</v>
      </c>
      <c r="F37" s="6" t="s">
        <v>56</v>
      </c>
      <c r="G37" s="6" t="s">
        <v>57</v>
      </c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32"/>
      <c r="C238" s="32"/>
      <c r="D238" s="32"/>
      <c r="E238" s="32"/>
      <c r="F238" s="32"/>
      <c r="G238" s="32"/>
    </row>
    <row r="239" ht="15.75" customHeight="1">
      <c r="A239" s="32"/>
      <c r="C239" s="32"/>
      <c r="D239" s="32"/>
      <c r="E239" s="32"/>
      <c r="F239" s="32"/>
      <c r="G239" s="32"/>
    </row>
    <row r="240" ht="15.75" customHeight="1">
      <c r="A240" s="32"/>
      <c r="C240" s="32"/>
      <c r="D240" s="32"/>
      <c r="E240" s="32"/>
      <c r="F240" s="32"/>
      <c r="G240" s="32"/>
    </row>
    <row r="241" ht="15.75" customHeight="1">
      <c r="A241" s="32"/>
      <c r="C241" s="32"/>
      <c r="D241" s="32"/>
      <c r="E241" s="32"/>
      <c r="F241" s="32"/>
      <c r="G241" s="32"/>
    </row>
    <row r="242" ht="15.75" customHeight="1">
      <c r="A242" s="32"/>
      <c r="C242" s="32"/>
      <c r="D242" s="32"/>
      <c r="E242" s="32"/>
      <c r="F242" s="32"/>
      <c r="G242" s="32"/>
    </row>
    <row r="243" ht="15.75" customHeight="1">
      <c r="A243" s="32"/>
      <c r="C243" s="32"/>
      <c r="D243" s="32"/>
      <c r="E243" s="32"/>
      <c r="F243" s="32"/>
      <c r="G243" s="32"/>
    </row>
    <row r="244" ht="15.75" customHeight="1">
      <c r="A244" s="32"/>
      <c r="C244" s="32"/>
      <c r="D244" s="32"/>
      <c r="E244" s="32"/>
      <c r="F244" s="32"/>
      <c r="G244" s="32"/>
    </row>
    <row r="245" ht="15.75" customHeight="1">
      <c r="A245" s="32"/>
      <c r="C245" s="32"/>
      <c r="D245" s="32"/>
      <c r="E245" s="32"/>
      <c r="F245" s="32"/>
      <c r="G245" s="32"/>
    </row>
    <row r="246" ht="15.75" customHeight="1">
      <c r="A246" s="32"/>
      <c r="C246" s="32"/>
      <c r="D246" s="32"/>
      <c r="E246" s="32"/>
      <c r="F246" s="32"/>
      <c r="G246" s="32"/>
    </row>
    <row r="247" ht="15.75" customHeight="1">
      <c r="A247" s="32"/>
      <c r="C247" s="32"/>
      <c r="D247" s="32"/>
      <c r="E247" s="32"/>
      <c r="F247" s="32"/>
      <c r="G247" s="32"/>
    </row>
    <row r="248" ht="15.75" customHeight="1">
      <c r="A248" s="32"/>
      <c r="C248" s="32"/>
      <c r="D248" s="32"/>
      <c r="E248" s="32"/>
      <c r="F248" s="32"/>
      <c r="G248" s="32"/>
    </row>
    <row r="249" ht="15.75" customHeight="1">
      <c r="A249" s="32"/>
      <c r="C249" s="32"/>
      <c r="D249" s="32"/>
      <c r="E249" s="32"/>
      <c r="F249" s="32"/>
      <c r="G249" s="32"/>
    </row>
    <row r="250" ht="15.75" customHeight="1">
      <c r="A250" s="32"/>
      <c r="C250" s="32"/>
      <c r="D250" s="32"/>
      <c r="E250" s="32"/>
      <c r="F250" s="32"/>
      <c r="G250" s="32"/>
    </row>
    <row r="251" ht="15.75" customHeight="1">
      <c r="A251" s="32"/>
      <c r="C251" s="32"/>
      <c r="D251" s="32"/>
      <c r="E251" s="32"/>
      <c r="F251" s="32"/>
      <c r="G251" s="32"/>
    </row>
    <row r="252" ht="15.75" customHeight="1">
      <c r="A252" s="32"/>
      <c r="C252" s="32"/>
      <c r="D252" s="32"/>
      <c r="E252" s="32"/>
      <c r="F252" s="32"/>
      <c r="G252" s="32"/>
    </row>
    <row r="253" ht="15.75" customHeight="1">
      <c r="A253" s="32"/>
      <c r="C253" s="32"/>
      <c r="D253" s="32"/>
      <c r="E253" s="32"/>
      <c r="F253" s="32"/>
      <c r="G253" s="32"/>
    </row>
    <row r="254" ht="15.75" customHeight="1">
      <c r="A254" s="32"/>
      <c r="C254" s="32"/>
      <c r="D254" s="32"/>
      <c r="E254" s="32"/>
      <c r="F254" s="32"/>
      <c r="G254" s="32"/>
    </row>
    <row r="255" ht="15.75" customHeight="1">
      <c r="A255" s="32"/>
      <c r="C255" s="32"/>
      <c r="D255" s="32"/>
      <c r="E255" s="32"/>
      <c r="F255" s="32"/>
      <c r="G255" s="32"/>
    </row>
    <row r="256" ht="15.75" customHeight="1">
      <c r="A256" s="32"/>
      <c r="C256" s="32"/>
      <c r="D256" s="32"/>
      <c r="E256" s="32"/>
      <c r="F256" s="32"/>
      <c r="G256" s="32"/>
    </row>
    <row r="257" ht="15.75" customHeight="1">
      <c r="A257" s="32"/>
      <c r="C257" s="32"/>
      <c r="D257" s="32"/>
      <c r="E257" s="32"/>
      <c r="F257" s="32"/>
      <c r="G257" s="32"/>
    </row>
    <row r="258" ht="15.75" customHeight="1">
      <c r="A258" s="32"/>
      <c r="C258" s="32"/>
      <c r="D258" s="32"/>
      <c r="E258" s="32"/>
      <c r="F258" s="32"/>
      <c r="G258" s="32"/>
    </row>
    <row r="259" ht="15.75" customHeight="1">
      <c r="A259" s="32"/>
      <c r="C259" s="32"/>
      <c r="D259" s="32"/>
      <c r="E259" s="32"/>
      <c r="F259" s="32"/>
      <c r="G259" s="32"/>
    </row>
    <row r="260" ht="15.75" customHeight="1">
      <c r="A260" s="32"/>
      <c r="C260" s="32"/>
      <c r="D260" s="32"/>
      <c r="E260" s="32"/>
      <c r="F260" s="32"/>
      <c r="G260" s="32"/>
    </row>
    <row r="261" ht="15.75" customHeight="1">
      <c r="A261" s="32"/>
      <c r="C261" s="32"/>
      <c r="D261" s="32"/>
      <c r="E261" s="32"/>
      <c r="F261" s="32"/>
      <c r="G261" s="32"/>
    </row>
    <row r="262" ht="15.75" customHeight="1">
      <c r="A262" s="32"/>
      <c r="C262" s="32"/>
      <c r="D262" s="32"/>
      <c r="E262" s="32"/>
      <c r="F262" s="32"/>
      <c r="G262" s="32"/>
    </row>
    <row r="263" ht="15.75" customHeight="1">
      <c r="A263" s="32"/>
      <c r="C263" s="32"/>
      <c r="D263" s="32"/>
      <c r="E263" s="32"/>
      <c r="F263" s="32"/>
      <c r="G263" s="32"/>
    </row>
    <row r="264" ht="15.75" customHeight="1">
      <c r="A264" s="32"/>
      <c r="C264" s="32"/>
      <c r="D264" s="32"/>
      <c r="E264" s="32"/>
      <c r="F264" s="32"/>
      <c r="G264" s="32"/>
    </row>
    <row r="265" ht="15.75" customHeight="1">
      <c r="A265" s="32"/>
      <c r="C265" s="32"/>
      <c r="D265" s="32"/>
      <c r="E265" s="32"/>
      <c r="F265" s="32"/>
      <c r="G265" s="32"/>
    </row>
    <row r="266" ht="15.75" customHeight="1">
      <c r="A266" s="32"/>
      <c r="C266" s="32"/>
      <c r="D266" s="32"/>
      <c r="E266" s="32"/>
      <c r="F266" s="32"/>
      <c r="G266" s="32"/>
    </row>
    <row r="267" ht="15.75" customHeight="1">
      <c r="A267" s="32"/>
      <c r="C267" s="32"/>
      <c r="D267" s="32"/>
      <c r="E267" s="32"/>
      <c r="F267" s="32"/>
      <c r="G267" s="32"/>
    </row>
    <row r="268" ht="15.75" customHeight="1">
      <c r="A268" s="32"/>
      <c r="C268" s="32"/>
      <c r="D268" s="32"/>
      <c r="E268" s="32"/>
      <c r="F268" s="32"/>
      <c r="G268" s="32"/>
    </row>
    <row r="269" ht="15.75" customHeight="1">
      <c r="A269" s="32"/>
      <c r="C269" s="32"/>
      <c r="D269" s="32"/>
      <c r="E269" s="32"/>
      <c r="F269" s="32"/>
      <c r="G269" s="32"/>
    </row>
    <row r="270" ht="15.75" customHeight="1">
      <c r="A270" s="32"/>
      <c r="C270" s="32"/>
      <c r="D270" s="32"/>
      <c r="E270" s="32"/>
      <c r="F270" s="32"/>
      <c r="G270" s="32"/>
    </row>
    <row r="271" ht="15.75" customHeight="1">
      <c r="A271" s="32"/>
      <c r="C271" s="32"/>
      <c r="D271" s="32"/>
      <c r="E271" s="32"/>
      <c r="F271" s="32"/>
      <c r="G271" s="32"/>
    </row>
    <row r="272" ht="15.75" customHeight="1">
      <c r="A272" s="32"/>
      <c r="C272" s="32"/>
      <c r="D272" s="32"/>
      <c r="E272" s="32"/>
      <c r="F272" s="32"/>
      <c r="G272" s="32"/>
    </row>
    <row r="273" ht="15.75" customHeight="1">
      <c r="A273" s="32"/>
      <c r="C273" s="32"/>
      <c r="D273" s="32"/>
      <c r="E273" s="32"/>
      <c r="F273" s="32"/>
      <c r="G273" s="32"/>
    </row>
    <row r="274" ht="15.75" customHeight="1">
      <c r="A274" s="32"/>
      <c r="C274" s="32"/>
      <c r="D274" s="32"/>
      <c r="E274" s="32"/>
      <c r="F274" s="32"/>
      <c r="G274" s="32"/>
    </row>
    <row r="275" ht="15.75" customHeight="1">
      <c r="A275" s="32"/>
      <c r="C275" s="32"/>
      <c r="D275" s="32"/>
      <c r="E275" s="32"/>
      <c r="F275" s="32"/>
      <c r="G275" s="32"/>
    </row>
    <row r="276" ht="15.75" customHeight="1">
      <c r="A276" s="32"/>
      <c r="C276" s="32"/>
      <c r="D276" s="32"/>
      <c r="E276" s="32"/>
      <c r="F276" s="32"/>
      <c r="G276" s="32"/>
    </row>
    <row r="277" ht="15.75" customHeight="1">
      <c r="A277" s="32"/>
      <c r="C277" s="32"/>
      <c r="D277" s="32"/>
      <c r="E277" s="32"/>
      <c r="F277" s="32"/>
      <c r="G277" s="32"/>
    </row>
    <row r="278" ht="15.75" customHeight="1">
      <c r="A278" s="32"/>
      <c r="C278" s="32"/>
      <c r="D278" s="32"/>
      <c r="E278" s="32"/>
      <c r="F278" s="32"/>
      <c r="G278" s="32"/>
    </row>
    <row r="279" ht="15.75" customHeight="1">
      <c r="A279" s="32"/>
      <c r="C279" s="32"/>
      <c r="D279" s="32"/>
      <c r="E279" s="32"/>
      <c r="F279" s="32"/>
      <c r="G279" s="32"/>
    </row>
    <row r="280" ht="15.75" customHeight="1">
      <c r="A280" s="32"/>
      <c r="C280" s="32"/>
      <c r="D280" s="32"/>
      <c r="E280" s="32"/>
      <c r="F280" s="32"/>
      <c r="G280" s="32"/>
    </row>
    <row r="281" ht="15.75" customHeight="1">
      <c r="A281" s="32"/>
      <c r="C281" s="32"/>
      <c r="D281" s="32"/>
      <c r="E281" s="32"/>
      <c r="F281" s="32"/>
      <c r="G281" s="32"/>
    </row>
    <row r="282" ht="15.75" customHeight="1">
      <c r="A282" s="32"/>
      <c r="C282" s="32"/>
      <c r="D282" s="32"/>
      <c r="E282" s="32"/>
      <c r="F282" s="32"/>
      <c r="G282" s="32"/>
    </row>
    <row r="283" ht="15.75" customHeight="1">
      <c r="A283" s="32"/>
      <c r="C283" s="32"/>
      <c r="D283" s="32"/>
      <c r="E283" s="32"/>
      <c r="F283" s="32"/>
      <c r="G283" s="32"/>
    </row>
    <row r="284" ht="15.75" customHeight="1">
      <c r="A284" s="32"/>
      <c r="C284" s="32"/>
      <c r="D284" s="32"/>
      <c r="E284" s="32"/>
      <c r="F284" s="32"/>
      <c r="G284" s="32"/>
    </row>
    <row r="285" ht="15.75" customHeight="1">
      <c r="A285" s="32"/>
      <c r="C285" s="32"/>
      <c r="D285" s="32"/>
      <c r="E285" s="32"/>
      <c r="F285" s="32"/>
      <c r="G285" s="32"/>
    </row>
    <row r="286" ht="15.75" customHeight="1">
      <c r="A286" s="32"/>
      <c r="C286" s="32"/>
      <c r="D286" s="32"/>
      <c r="E286" s="32"/>
      <c r="F286" s="32"/>
      <c r="G286" s="32"/>
    </row>
    <row r="287" ht="15.75" customHeight="1">
      <c r="A287" s="32"/>
      <c r="C287" s="32"/>
      <c r="D287" s="32"/>
      <c r="E287" s="32"/>
      <c r="F287" s="32"/>
      <c r="G287" s="32"/>
    </row>
    <row r="288" ht="15.75" customHeight="1">
      <c r="A288" s="32"/>
      <c r="C288" s="32"/>
      <c r="D288" s="32"/>
      <c r="E288" s="32"/>
      <c r="F288" s="32"/>
      <c r="G288" s="32"/>
    </row>
    <row r="289" ht="15.75" customHeight="1">
      <c r="A289" s="32"/>
      <c r="C289" s="32"/>
      <c r="D289" s="32"/>
      <c r="E289" s="32"/>
      <c r="F289" s="32"/>
      <c r="G289" s="32"/>
    </row>
    <row r="290" ht="15.75" customHeight="1">
      <c r="A290" s="32"/>
      <c r="C290" s="32"/>
      <c r="D290" s="32"/>
      <c r="E290" s="32"/>
      <c r="F290" s="32"/>
      <c r="G290" s="32"/>
    </row>
    <row r="291" ht="15.75" customHeight="1">
      <c r="A291" s="32"/>
      <c r="C291" s="32"/>
      <c r="D291" s="32"/>
      <c r="E291" s="32"/>
      <c r="F291" s="32"/>
      <c r="G291" s="32"/>
    </row>
    <row r="292" ht="15.75" customHeight="1">
      <c r="A292" s="32"/>
      <c r="C292" s="32"/>
      <c r="D292" s="32"/>
      <c r="E292" s="32"/>
      <c r="F292" s="32"/>
      <c r="G292" s="32"/>
    </row>
    <row r="293" ht="15.75" customHeight="1">
      <c r="A293" s="32"/>
      <c r="C293" s="32"/>
      <c r="D293" s="32"/>
      <c r="E293" s="32"/>
      <c r="F293" s="32"/>
      <c r="G293" s="32"/>
    </row>
    <row r="294" ht="15.75" customHeight="1">
      <c r="A294" s="32"/>
      <c r="C294" s="32"/>
      <c r="D294" s="32"/>
      <c r="E294" s="32"/>
      <c r="F294" s="32"/>
      <c r="G294" s="32"/>
    </row>
    <row r="295" ht="15.75" customHeight="1">
      <c r="A295" s="32"/>
      <c r="C295" s="32"/>
      <c r="D295" s="32"/>
      <c r="E295" s="32"/>
      <c r="F295" s="32"/>
      <c r="G295" s="32"/>
    </row>
    <row r="296" ht="15.75" customHeight="1">
      <c r="A296" s="32"/>
      <c r="C296" s="32"/>
      <c r="D296" s="32"/>
      <c r="E296" s="32"/>
      <c r="F296" s="32"/>
      <c r="G296" s="32"/>
    </row>
    <row r="297" ht="15.75" customHeight="1">
      <c r="A297" s="32"/>
      <c r="C297" s="32"/>
      <c r="D297" s="32"/>
      <c r="E297" s="32"/>
      <c r="F297" s="32"/>
      <c r="G297" s="32"/>
    </row>
    <row r="298" ht="15.75" customHeight="1">
      <c r="A298" s="32"/>
      <c r="C298" s="32"/>
      <c r="D298" s="32"/>
      <c r="E298" s="32"/>
      <c r="F298" s="32"/>
      <c r="G298" s="32"/>
    </row>
    <row r="299" ht="15.75" customHeight="1">
      <c r="A299" s="32"/>
      <c r="C299" s="32"/>
      <c r="D299" s="32"/>
      <c r="E299" s="32"/>
      <c r="F299" s="32"/>
      <c r="G299" s="32"/>
    </row>
    <row r="300" ht="15.75" customHeight="1">
      <c r="A300" s="32"/>
      <c r="C300" s="32"/>
      <c r="D300" s="32"/>
      <c r="E300" s="32"/>
      <c r="F300" s="32"/>
      <c r="G300" s="32"/>
    </row>
    <row r="301" ht="15.75" customHeight="1">
      <c r="A301" s="32"/>
      <c r="C301" s="32"/>
      <c r="D301" s="32"/>
      <c r="E301" s="32"/>
      <c r="F301" s="32"/>
      <c r="G301" s="32"/>
    </row>
    <row r="302" ht="15.75" customHeight="1">
      <c r="A302" s="32"/>
      <c r="C302" s="32"/>
      <c r="D302" s="32"/>
      <c r="E302" s="32"/>
      <c r="F302" s="32"/>
      <c r="G302" s="32"/>
    </row>
    <row r="303" ht="15.75" customHeight="1">
      <c r="A303" s="32"/>
      <c r="C303" s="32"/>
      <c r="D303" s="32"/>
      <c r="E303" s="32"/>
      <c r="F303" s="32"/>
      <c r="G303" s="32"/>
    </row>
    <row r="304" ht="15.75" customHeight="1">
      <c r="A304" s="32"/>
      <c r="C304" s="32"/>
      <c r="D304" s="32"/>
      <c r="E304" s="32"/>
      <c r="F304" s="32"/>
      <c r="G304" s="32"/>
    </row>
    <row r="305" ht="15.75" customHeight="1">
      <c r="A305" s="32"/>
      <c r="C305" s="32"/>
      <c r="D305" s="32"/>
      <c r="E305" s="32"/>
      <c r="F305" s="32"/>
      <c r="G305" s="32"/>
    </row>
    <row r="306" ht="15.75" customHeight="1">
      <c r="A306" s="32"/>
      <c r="C306" s="32"/>
      <c r="D306" s="32"/>
      <c r="E306" s="32"/>
      <c r="F306" s="32"/>
      <c r="G306" s="32"/>
    </row>
    <row r="307" ht="15.75" customHeight="1">
      <c r="A307" s="32"/>
      <c r="C307" s="32"/>
      <c r="D307" s="32"/>
      <c r="E307" s="32"/>
      <c r="F307" s="32"/>
      <c r="G307" s="32"/>
    </row>
    <row r="308" ht="15.75" customHeight="1">
      <c r="A308" s="32"/>
      <c r="C308" s="32"/>
      <c r="D308" s="32"/>
      <c r="E308" s="32"/>
      <c r="F308" s="32"/>
      <c r="G308" s="32"/>
    </row>
    <row r="309" ht="15.75" customHeight="1">
      <c r="A309" s="32"/>
      <c r="C309" s="32"/>
      <c r="D309" s="32"/>
      <c r="E309" s="32"/>
      <c r="F309" s="32"/>
      <c r="G309" s="32"/>
    </row>
    <row r="310" ht="15.75" customHeight="1">
      <c r="A310" s="32"/>
      <c r="C310" s="32"/>
      <c r="D310" s="32"/>
      <c r="E310" s="32"/>
      <c r="F310" s="32"/>
      <c r="G310" s="32"/>
    </row>
    <row r="311" ht="15.75" customHeight="1">
      <c r="A311" s="32"/>
      <c r="C311" s="32"/>
      <c r="D311" s="32"/>
      <c r="E311" s="32"/>
      <c r="F311" s="32"/>
      <c r="G311" s="32"/>
    </row>
    <row r="312" ht="15.75" customHeight="1">
      <c r="A312" s="32"/>
      <c r="C312" s="32"/>
      <c r="D312" s="32"/>
      <c r="E312" s="32"/>
      <c r="F312" s="32"/>
      <c r="G312" s="32"/>
    </row>
    <row r="313" ht="15.75" customHeight="1">
      <c r="A313" s="32"/>
      <c r="C313" s="32"/>
      <c r="D313" s="32"/>
      <c r="E313" s="32"/>
      <c r="F313" s="32"/>
      <c r="G313" s="32"/>
    </row>
    <row r="314" ht="15.75" customHeight="1">
      <c r="A314" s="32"/>
      <c r="C314" s="32"/>
      <c r="D314" s="32"/>
      <c r="E314" s="32"/>
      <c r="F314" s="32"/>
      <c r="G314" s="32"/>
    </row>
    <row r="315" ht="15.75" customHeight="1">
      <c r="A315" s="32"/>
      <c r="C315" s="32"/>
      <c r="D315" s="32"/>
      <c r="E315" s="32"/>
      <c r="F315" s="32"/>
      <c r="G315" s="32"/>
    </row>
    <row r="316" ht="15.75" customHeight="1">
      <c r="A316" s="32"/>
      <c r="C316" s="32"/>
      <c r="D316" s="32"/>
      <c r="E316" s="32"/>
      <c r="F316" s="32"/>
      <c r="G316" s="32"/>
    </row>
    <row r="317" ht="15.75" customHeight="1">
      <c r="A317" s="32"/>
      <c r="C317" s="32"/>
      <c r="D317" s="32"/>
      <c r="E317" s="32"/>
      <c r="F317" s="32"/>
      <c r="G317" s="32"/>
    </row>
    <row r="318" ht="15.75" customHeight="1">
      <c r="A318" s="32"/>
      <c r="C318" s="32"/>
      <c r="D318" s="32"/>
      <c r="E318" s="32"/>
      <c r="F318" s="32"/>
      <c r="G318" s="32"/>
    </row>
    <row r="319" ht="15.75" customHeight="1">
      <c r="A319" s="32"/>
      <c r="C319" s="32"/>
      <c r="D319" s="32"/>
      <c r="E319" s="32"/>
      <c r="F319" s="32"/>
      <c r="G319" s="32"/>
    </row>
    <row r="320" ht="15.75" customHeight="1">
      <c r="A320" s="32"/>
      <c r="C320" s="32"/>
      <c r="D320" s="32"/>
      <c r="E320" s="32"/>
      <c r="F320" s="32"/>
      <c r="G320" s="32"/>
    </row>
    <row r="321" ht="15.75" customHeight="1">
      <c r="A321" s="32"/>
      <c r="C321" s="32"/>
      <c r="D321" s="32"/>
      <c r="E321" s="32"/>
      <c r="F321" s="32"/>
      <c r="G321" s="32"/>
    </row>
    <row r="322" ht="15.75" customHeight="1">
      <c r="A322" s="32"/>
      <c r="C322" s="32"/>
      <c r="D322" s="32"/>
      <c r="E322" s="32"/>
      <c r="F322" s="32"/>
      <c r="G322" s="32"/>
    </row>
    <row r="323" ht="15.75" customHeight="1">
      <c r="A323" s="32"/>
      <c r="C323" s="32"/>
      <c r="D323" s="32"/>
      <c r="E323" s="32"/>
      <c r="F323" s="32"/>
      <c r="G323" s="32"/>
    </row>
    <row r="324" ht="15.75" customHeight="1">
      <c r="A324" s="32"/>
      <c r="C324" s="32"/>
      <c r="D324" s="32"/>
      <c r="E324" s="32"/>
      <c r="F324" s="32"/>
      <c r="G324" s="32"/>
    </row>
    <row r="325" ht="15.75" customHeight="1">
      <c r="A325" s="32"/>
      <c r="C325" s="32"/>
      <c r="D325" s="32"/>
      <c r="E325" s="32"/>
      <c r="F325" s="32"/>
      <c r="G325" s="32"/>
    </row>
    <row r="326" ht="15.75" customHeight="1">
      <c r="A326" s="32"/>
      <c r="C326" s="32"/>
      <c r="D326" s="32"/>
      <c r="E326" s="32"/>
      <c r="F326" s="32"/>
      <c r="G326" s="32"/>
    </row>
    <row r="327" ht="15.75" customHeight="1">
      <c r="A327" s="32"/>
      <c r="C327" s="32"/>
      <c r="D327" s="32"/>
      <c r="E327" s="32"/>
      <c r="F327" s="32"/>
      <c r="G327" s="32"/>
    </row>
    <row r="328" ht="15.75" customHeight="1">
      <c r="A328" s="32"/>
      <c r="C328" s="32"/>
      <c r="D328" s="32"/>
      <c r="E328" s="32"/>
      <c r="F328" s="32"/>
      <c r="G328" s="32"/>
    </row>
    <row r="329" ht="15.75" customHeight="1">
      <c r="A329" s="32"/>
      <c r="C329" s="32"/>
      <c r="D329" s="32"/>
      <c r="E329" s="32"/>
      <c r="F329" s="32"/>
      <c r="G329" s="32"/>
    </row>
    <row r="330" ht="15.75" customHeight="1">
      <c r="A330" s="32"/>
      <c r="C330" s="32"/>
      <c r="D330" s="32"/>
      <c r="E330" s="32"/>
      <c r="F330" s="32"/>
      <c r="G330" s="32"/>
    </row>
    <row r="331" ht="15.75" customHeight="1">
      <c r="A331" s="32"/>
      <c r="C331" s="32"/>
      <c r="D331" s="32"/>
      <c r="E331" s="32"/>
      <c r="F331" s="32"/>
      <c r="G331" s="32"/>
    </row>
    <row r="332" ht="15.75" customHeight="1">
      <c r="A332" s="32"/>
      <c r="C332" s="32"/>
      <c r="D332" s="32"/>
      <c r="E332" s="32"/>
      <c r="F332" s="32"/>
      <c r="G332" s="32"/>
    </row>
    <row r="333" ht="15.75" customHeight="1">
      <c r="A333" s="32"/>
      <c r="C333" s="32"/>
      <c r="D333" s="32"/>
      <c r="E333" s="32"/>
      <c r="F333" s="32"/>
      <c r="G333" s="32"/>
    </row>
    <row r="334" ht="15.75" customHeight="1">
      <c r="A334" s="32"/>
      <c r="C334" s="32"/>
      <c r="D334" s="32"/>
      <c r="E334" s="32"/>
      <c r="F334" s="32"/>
      <c r="G334" s="32"/>
    </row>
    <row r="335" ht="15.75" customHeight="1">
      <c r="A335" s="32"/>
      <c r="C335" s="32"/>
      <c r="D335" s="32"/>
      <c r="E335" s="32"/>
      <c r="F335" s="32"/>
      <c r="G335" s="32"/>
    </row>
    <row r="336" ht="15.75" customHeight="1">
      <c r="A336" s="32"/>
      <c r="C336" s="32"/>
      <c r="D336" s="32"/>
      <c r="E336" s="32"/>
      <c r="F336" s="32"/>
      <c r="G336" s="32"/>
    </row>
    <row r="337" ht="15.75" customHeight="1">
      <c r="A337" s="32"/>
      <c r="C337" s="32"/>
      <c r="D337" s="32"/>
      <c r="E337" s="32"/>
      <c r="F337" s="32"/>
      <c r="G337" s="32"/>
    </row>
    <row r="338" ht="15.75" customHeight="1">
      <c r="A338" s="32"/>
      <c r="C338" s="32"/>
      <c r="D338" s="32"/>
      <c r="E338" s="32"/>
      <c r="F338" s="32"/>
      <c r="G338" s="32"/>
    </row>
    <row r="339" ht="15.75" customHeight="1">
      <c r="A339" s="32"/>
      <c r="C339" s="32"/>
      <c r="D339" s="32"/>
      <c r="E339" s="32"/>
      <c r="F339" s="32"/>
      <c r="G339" s="32"/>
    </row>
    <row r="340" ht="15.75" customHeight="1">
      <c r="A340" s="32"/>
      <c r="C340" s="32"/>
      <c r="D340" s="32"/>
      <c r="E340" s="32"/>
      <c r="F340" s="32"/>
      <c r="G340" s="32"/>
    </row>
    <row r="341" ht="15.75" customHeight="1">
      <c r="A341" s="32"/>
      <c r="C341" s="32"/>
      <c r="D341" s="32"/>
      <c r="E341" s="32"/>
      <c r="F341" s="32"/>
      <c r="G341" s="32"/>
    </row>
    <row r="342" ht="15.75" customHeight="1">
      <c r="A342" s="32"/>
      <c r="C342" s="32"/>
      <c r="D342" s="32"/>
      <c r="E342" s="32"/>
      <c r="F342" s="32"/>
      <c r="G342" s="32"/>
    </row>
    <row r="343" ht="15.75" customHeight="1">
      <c r="A343" s="32"/>
      <c r="C343" s="32"/>
      <c r="D343" s="32"/>
      <c r="E343" s="32"/>
      <c r="F343" s="32"/>
      <c r="G343" s="32"/>
    </row>
    <row r="344" ht="15.75" customHeight="1">
      <c r="A344" s="32"/>
      <c r="C344" s="32"/>
      <c r="D344" s="32"/>
      <c r="E344" s="32"/>
      <c r="F344" s="32"/>
      <c r="G344" s="32"/>
    </row>
    <row r="345" ht="15.75" customHeight="1">
      <c r="A345" s="32"/>
      <c r="C345" s="32"/>
      <c r="D345" s="32"/>
      <c r="E345" s="32"/>
      <c r="F345" s="32"/>
      <c r="G345" s="32"/>
    </row>
    <row r="346" ht="15.75" customHeight="1">
      <c r="A346" s="32"/>
      <c r="C346" s="32"/>
      <c r="D346" s="32"/>
      <c r="E346" s="32"/>
      <c r="F346" s="32"/>
      <c r="G346" s="32"/>
    </row>
    <row r="347" ht="15.75" customHeight="1">
      <c r="A347" s="32"/>
      <c r="C347" s="32"/>
      <c r="D347" s="32"/>
      <c r="E347" s="32"/>
      <c r="F347" s="32"/>
      <c r="G347" s="32"/>
    </row>
    <row r="348" ht="15.75" customHeight="1">
      <c r="A348" s="32"/>
      <c r="C348" s="32"/>
      <c r="D348" s="32"/>
      <c r="E348" s="32"/>
      <c r="F348" s="32"/>
      <c r="G348" s="32"/>
    </row>
    <row r="349" ht="15.75" customHeight="1">
      <c r="A349" s="32"/>
      <c r="C349" s="32"/>
      <c r="D349" s="32"/>
      <c r="E349" s="32"/>
      <c r="F349" s="32"/>
      <c r="G349" s="32"/>
    </row>
    <row r="350" ht="15.75" customHeight="1">
      <c r="A350" s="32"/>
      <c r="C350" s="32"/>
      <c r="D350" s="32"/>
      <c r="E350" s="32"/>
      <c r="F350" s="32"/>
      <c r="G350" s="32"/>
    </row>
    <row r="351" ht="15.75" customHeight="1">
      <c r="A351" s="32"/>
      <c r="C351" s="32"/>
      <c r="D351" s="32"/>
      <c r="E351" s="32"/>
      <c r="F351" s="32"/>
      <c r="G351" s="32"/>
    </row>
    <row r="352" ht="15.75" customHeight="1">
      <c r="A352" s="32"/>
      <c r="C352" s="32"/>
      <c r="D352" s="32"/>
      <c r="E352" s="32"/>
      <c r="F352" s="32"/>
      <c r="G352" s="32"/>
    </row>
    <row r="353" ht="15.75" customHeight="1">
      <c r="A353" s="32"/>
      <c r="C353" s="32"/>
      <c r="D353" s="32"/>
      <c r="E353" s="32"/>
      <c r="F353" s="32"/>
      <c r="G353" s="32"/>
    </row>
    <row r="354" ht="15.75" customHeight="1">
      <c r="A354" s="32"/>
      <c r="C354" s="32"/>
      <c r="D354" s="32"/>
      <c r="E354" s="32"/>
      <c r="F354" s="32"/>
      <c r="G354" s="32"/>
    </row>
    <row r="355" ht="15.75" customHeight="1">
      <c r="A355" s="32"/>
      <c r="C355" s="32"/>
      <c r="D355" s="32"/>
      <c r="E355" s="32"/>
      <c r="F355" s="32"/>
      <c r="G355" s="32"/>
    </row>
    <row r="356" ht="15.75" customHeight="1">
      <c r="A356" s="32"/>
      <c r="C356" s="32"/>
      <c r="D356" s="32"/>
      <c r="E356" s="32"/>
      <c r="F356" s="32"/>
      <c r="G356" s="32"/>
    </row>
    <row r="357" ht="15.75" customHeight="1">
      <c r="A357" s="32"/>
      <c r="C357" s="32"/>
      <c r="D357" s="32"/>
      <c r="E357" s="32"/>
      <c r="F357" s="32"/>
      <c r="G357" s="32"/>
    </row>
    <row r="358" ht="15.75" customHeight="1">
      <c r="A358" s="32"/>
      <c r="C358" s="32"/>
      <c r="D358" s="32"/>
      <c r="E358" s="32"/>
      <c r="F358" s="32"/>
      <c r="G358" s="32"/>
    </row>
    <row r="359" ht="15.75" customHeight="1">
      <c r="A359" s="32"/>
      <c r="C359" s="32"/>
      <c r="D359" s="32"/>
      <c r="E359" s="32"/>
      <c r="F359" s="32"/>
      <c r="G359" s="32"/>
    </row>
    <row r="360" ht="15.75" customHeight="1">
      <c r="A360" s="32"/>
      <c r="C360" s="32"/>
      <c r="D360" s="32"/>
      <c r="E360" s="32"/>
      <c r="F360" s="32"/>
      <c r="G360" s="32"/>
    </row>
    <row r="361" ht="15.75" customHeight="1">
      <c r="A361" s="32"/>
      <c r="C361" s="32"/>
      <c r="D361" s="32"/>
      <c r="E361" s="32"/>
      <c r="F361" s="32"/>
      <c r="G361" s="32"/>
    </row>
    <row r="362" ht="15.75" customHeight="1">
      <c r="A362" s="32"/>
      <c r="C362" s="32"/>
      <c r="D362" s="32"/>
      <c r="E362" s="32"/>
      <c r="F362" s="32"/>
      <c r="G362" s="32"/>
    </row>
    <row r="363" ht="15.75" customHeight="1">
      <c r="A363" s="32"/>
      <c r="C363" s="32"/>
      <c r="D363" s="32"/>
      <c r="E363" s="32"/>
      <c r="F363" s="32"/>
      <c r="G363" s="32"/>
    </row>
    <row r="364" ht="15.75" customHeight="1">
      <c r="A364" s="32"/>
      <c r="C364" s="32"/>
      <c r="D364" s="32"/>
      <c r="E364" s="32"/>
      <c r="F364" s="32"/>
      <c r="G364" s="32"/>
    </row>
    <row r="365" ht="15.75" customHeight="1">
      <c r="A365" s="32"/>
      <c r="C365" s="32"/>
      <c r="D365" s="32"/>
      <c r="E365" s="32"/>
      <c r="F365" s="32"/>
      <c r="G365" s="32"/>
    </row>
    <row r="366" ht="15.75" customHeight="1">
      <c r="A366" s="32"/>
      <c r="C366" s="32"/>
      <c r="D366" s="32"/>
      <c r="E366" s="32"/>
      <c r="F366" s="32"/>
      <c r="G366" s="32"/>
    </row>
    <row r="367" ht="15.75" customHeight="1">
      <c r="A367" s="32"/>
      <c r="C367" s="32"/>
      <c r="D367" s="32"/>
      <c r="E367" s="32"/>
      <c r="F367" s="32"/>
      <c r="G367" s="32"/>
    </row>
    <row r="368" ht="15.75" customHeight="1">
      <c r="A368" s="32"/>
      <c r="C368" s="32"/>
      <c r="D368" s="32"/>
      <c r="E368" s="32"/>
      <c r="F368" s="32"/>
      <c r="G368" s="32"/>
    </row>
    <row r="369" ht="15.75" customHeight="1">
      <c r="A369" s="32"/>
      <c r="C369" s="32"/>
      <c r="D369" s="32"/>
      <c r="E369" s="32"/>
      <c r="F369" s="32"/>
      <c r="G369" s="32"/>
    </row>
    <row r="370" ht="15.75" customHeight="1">
      <c r="A370" s="32"/>
      <c r="C370" s="32"/>
      <c r="D370" s="32"/>
      <c r="E370" s="32"/>
      <c r="F370" s="32"/>
      <c r="G370" s="32"/>
    </row>
    <row r="371" ht="15.75" customHeight="1">
      <c r="A371" s="32"/>
      <c r="C371" s="32"/>
      <c r="D371" s="32"/>
      <c r="E371" s="32"/>
      <c r="F371" s="32"/>
      <c r="G371" s="32"/>
    </row>
    <row r="372" ht="15.75" customHeight="1">
      <c r="A372" s="32"/>
      <c r="C372" s="32"/>
      <c r="D372" s="32"/>
      <c r="E372" s="32"/>
      <c r="F372" s="32"/>
      <c r="G372" s="32"/>
    </row>
    <row r="373" ht="15.75" customHeight="1">
      <c r="A373" s="32"/>
      <c r="C373" s="32"/>
      <c r="D373" s="32"/>
      <c r="E373" s="32"/>
      <c r="F373" s="32"/>
      <c r="G373" s="32"/>
    </row>
    <row r="374" ht="15.75" customHeight="1">
      <c r="A374" s="32"/>
      <c r="C374" s="32"/>
      <c r="D374" s="32"/>
      <c r="E374" s="32"/>
      <c r="F374" s="32"/>
      <c r="G374" s="32"/>
    </row>
    <row r="375" ht="15.75" customHeight="1">
      <c r="A375" s="32"/>
      <c r="C375" s="32"/>
      <c r="D375" s="32"/>
      <c r="E375" s="32"/>
      <c r="F375" s="32"/>
      <c r="G375" s="32"/>
    </row>
    <row r="376" ht="15.75" customHeight="1">
      <c r="A376" s="32"/>
      <c r="C376" s="32"/>
      <c r="D376" s="32"/>
      <c r="E376" s="32"/>
      <c r="F376" s="32"/>
      <c r="G376" s="32"/>
    </row>
    <row r="377" ht="15.75" customHeight="1">
      <c r="A377" s="32"/>
      <c r="C377" s="32"/>
      <c r="D377" s="32"/>
      <c r="E377" s="32"/>
      <c r="F377" s="32"/>
      <c r="G377" s="32"/>
    </row>
    <row r="378" ht="15.75" customHeight="1">
      <c r="A378" s="32"/>
      <c r="C378" s="32"/>
      <c r="D378" s="32"/>
      <c r="E378" s="32"/>
      <c r="F378" s="32"/>
      <c r="G378" s="32"/>
    </row>
    <row r="379" ht="15.75" customHeight="1">
      <c r="A379" s="32"/>
      <c r="C379" s="32"/>
      <c r="D379" s="32"/>
      <c r="E379" s="32"/>
      <c r="F379" s="32"/>
      <c r="G379" s="32"/>
    </row>
    <row r="380" ht="15.75" customHeight="1">
      <c r="A380" s="32"/>
      <c r="C380" s="32"/>
      <c r="D380" s="32"/>
      <c r="E380" s="32"/>
      <c r="F380" s="32"/>
      <c r="G380" s="32"/>
    </row>
    <row r="381" ht="15.75" customHeight="1">
      <c r="A381" s="32"/>
      <c r="C381" s="32"/>
      <c r="D381" s="32"/>
      <c r="E381" s="32"/>
      <c r="F381" s="32"/>
      <c r="G381" s="32"/>
    </row>
    <row r="382" ht="15.75" customHeight="1">
      <c r="A382" s="32"/>
      <c r="C382" s="32"/>
      <c r="D382" s="32"/>
      <c r="E382" s="32"/>
      <c r="F382" s="32"/>
      <c r="G382" s="32"/>
    </row>
    <row r="383" ht="15.75" customHeight="1">
      <c r="A383" s="32"/>
      <c r="C383" s="32"/>
      <c r="D383" s="32"/>
      <c r="E383" s="32"/>
      <c r="F383" s="32"/>
      <c r="G383" s="32"/>
    </row>
    <row r="384" ht="15.75" customHeight="1">
      <c r="A384" s="32"/>
      <c r="C384" s="32"/>
      <c r="D384" s="32"/>
      <c r="E384" s="32"/>
      <c r="F384" s="32"/>
      <c r="G384" s="32"/>
    </row>
    <row r="385" ht="15.75" customHeight="1">
      <c r="A385" s="32"/>
      <c r="C385" s="32"/>
      <c r="D385" s="32"/>
      <c r="E385" s="32"/>
      <c r="F385" s="32"/>
      <c r="G385" s="32"/>
    </row>
    <row r="386" ht="15.75" customHeight="1">
      <c r="A386" s="32"/>
      <c r="C386" s="32"/>
      <c r="D386" s="32"/>
      <c r="E386" s="32"/>
      <c r="F386" s="32"/>
      <c r="G386" s="32"/>
    </row>
    <row r="387" ht="15.75" customHeight="1">
      <c r="A387" s="32"/>
      <c r="C387" s="32"/>
      <c r="D387" s="32"/>
      <c r="E387" s="32"/>
      <c r="F387" s="32"/>
      <c r="G387" s="32"/>
    </row>
    <row r="388" ht="15.75" customHeight="1">
      <c r="A388" s="32"/>
      <c r="C388" s="32"/>
      <c r="D388" s="32"/>
      <c r="E388" s="32"/>
      <c r="F388" s="32"/>
      <c r="G388" s="32"/>
    </row>
    <row r="389" ht="15.75" customHeight="1">
      <c r="A389" s="32"/>
      <c r="C389" s="32"/>
      <c r="D389" s="32"/>
      <c r="E389" s="32"/>
      <c r="F389" s="32"/>
      <c r="G389" s="32"/>
    </row>
    <row r="390" ht="15.75" customHeight="1">
      <c r="A390" s="32"/>
      <c r="C390" s="32"/>
      <c r="D390" s="32"/>
      <c r="E390" s="32"/>
      <c r="F390" s="32"/>
      <c r="G390" s="32"/>
    </row>
    <row r="391" ht="15.75" customHeight="1">
      <c r="A391" s="32"/>
      <c r="C391" s="32"/>
      <c r="D391" s="32"/>
      <c r="E391" s="32"/>
      <c r="F391" s="32"/>
      <c r="G391" s="32"/>
    </row>
    <row r="392" ht="15.75" customHeight="1">
      <c r="A392" s="32"/>
      <c r="C392" s="32"/>
      <c r="D392" s="32"/>
      <c r="E392" s="32"/>
      <c r="F392" s="32"/>
      <c r="G392" s="32"/>
    </row>
    <row r="393" ht="15.75" customHeight="1">
      <c r="A393" s="32"/>
      <c r="C393" s="32"/>
      <c r="D393" s="32"/>
      <c r="E393" s="32"/>
      <c r="F393" s="32"/>
      <c r="G393" s="32"/>
    </row>
    <row r="394" ht="15.75" customHeight="1">
      <c r="A394" s="32"/>
      <c r="C394" s="32"/>
      <c r="D394" s="32"/>
      <c r="E394" s="32"/>
      <c r="F394" s="32"/>
      <c r="G394" s="32"/>
    </row>
    <row r="395" ht="15.75" customHeight="1">
      <c r="A395" s="32"/>
      <c r="C395" s="32"/>
      <c r="D395" s="32"/>
      <c r="E395" s="32"/>
      <c r="F395" s="32"/>
      <c r="G395" s="32"/>
    </row>
    <row r="396" ht="15.75" customHeight="1">
      <c r="A396" s="32"/>
      <c r="C396" s="32"/>
      <c r="D396" s="32"/>
      <c r="E396" s="32"/>
      <c r="F396" s="32"/>
      <c r="G396" s="32"/>
    </row>
    <row r="397" ht="15.75" customHeight="1">
      <c r="A397" s="32"/>
      <c r="C397" s="32"/>
      <c r="D397" s="32"/>
      <c r="E397" s="32"/>
      <c r="F397" s="32"/>
      <c r="G397" s="32"/>
    </row>
    <row r="398" ht="15.75" customHeight="1">
      <c r="A398" s="32"/>
      <c r="C398" s="32"/>
      <c r="D398" s="32"/>
      <c r="E398" s="32"/>
      <c r="F398" s="32"/>
      <c r="G398" s="32"/>
    </row>
    <row r="399" ht="15.75" customHeight="1">
      <c r="A399" s="32"/>
      <c r="C399" s="32"/>
      <c r="D399" s="32"/>
      <c r="E399" s="32"/>
      <c r="F399" s="32"/>
      <c r="G399" s="32"/>
    </row>
    <row r="400" ht="15.75" customHeight="1">
      <c r="A400" s="32"/>
      <c r="C400" s="32"/>
      <c r="D400" s="32"/>
      <c r="E400" s="32"/>
      <c r="F400" s="32"/>
      <c r="G400" s="32"/>
    </row>
    <row r="401" ht="15.75" customHeight="1">
      <c r="A401" s="32"/>
      <c r="C401" s="32"/>
      <c r="D401" s="32"/>
      <c r="E401" s="32"/>
      <c r="F401" s="32"/>
      <c r="G401" s="32"/>
    </row>
    <row r="402" ht="15.75" customHeight="1">
      <c r="A402" s="32"/>
      <c r="C402" s="32"/>
      <c r="D402" s="32"/>
      <c r="E402" s="32"/>
      <c r="F402" s="32"/>
      <c r="G402" s="32"/>
    </row>
    <row r="403" ht="15.75" customHeight="1">
      <c r="A403" s="32"/>
      <c r="C403" s="32"/>
      <c r="D403" s="32"/>
      <c r="E403" s="32"/>
      <c r="F403" s="32"/>
      <c r="G403" s="32"/>
    </row>
    <row r="404" ht="15.75" customHeight="1">
      <c r="A404" s="32"/>
      <c r="C404" s="32"/>
      <c r="D404" s="32"/>
      <c r="E404" s="32"/>
      <c r="F404" s="32"/>
      <c r="G404" s="32"/>
    </row>
    <row r="405" ht="15.75" customHeight="1">
      <c r="A405" s="32"/>
      <c r="C405" s="32"/>
      <c r="D405" s="32"/>
      <c r="E405" s="32"/>
      <c r="F405" s="32"/>
      <c r="G405" s="32"/>
    </row>
    <row r="406" ht="15.75" customHeight="1">
      <c r="A406" s="32"/>
      <c r="C406" s="32"/>
      <c r="D406" s="32"/>
      <c r="E406" s="32"/>
      <c r="F406" s="32"/>
      <c r="G406" s="32"/>
    </row>
    <row r="407" ht="15.75" customHeight="1">
      <c r="A407" s="32"/>
      <c r="C407" s="32"/>
      <c r="D407" s="32"/>
      <c r="E407" s="32"/>
      <c r="F407" s="32"/>
      <c r="G407" s="32"/>
    </row>
    <row r="408" ht="15.75" customHeight="1">
      <c r="A408" s="32"/>
      <c r="C408" s="32"/>
      <c r="D408" s="32"/>
      <c r="E408" s="32"/>
      <c r="F408" s="32"/>
      <c r="G408" s="32"/>
    </row>
    <row r="409" ht="15.75" customHeight="1">
      <c r="A409" s="32"/>
      <c r="C409" s="32"/>
      <c r="D409" s="32"/>
      <c r="E409" s="32"/>
      <c r="F409" s="32"/>
      <c r="G409" s="32"/>
    </row>
    <row r="410" ht="15.75" customHeight="1">
      <c r="A410" s="32"/>
      <c r="C410" s="32"/>
      <c r="D410" s="32"/>
      <c r="E410" s="32"/>
      <c r="F410" s="32"/>
      <c r="G410" s="32"/>
    </row>
    <row r="411" ht="15.75" customHeight="1">
      <c r="A411" s="32"/>
      <c r="C411" s="32"/>
      <c r="D411" s="32"/>
      <c r="E411" s="32"/>
      <c r="F411" s="32"/>
      <c r="G411" s="32"/>
    </row>
    <row r="412" ht="15.75" customHeight="1">
      <c r="A412" s="32"/>
      <c r="C412" s="32"/>
      <c r="D412" s="32"/>
      <c r="E412" s="32"/>
      <c r="F412" s="32"/>
      <c r="G412" s="32"/>
    </row>
    <row r="413" ht="15.75" customHeight="1">
      <c r="A413" s="32"/>
      <c r="C413" s="32"/>
      <c r="D413" s="32"/>
      <c r="E413" s="32"/>
      <c r="F413" s="32"/>
      <c r="G413" s="32"/>
    </row>
    <row r="414" ht="15.75" customHeight="1">
      <c r="A414" s="32"/>
      <c r="C414" s="32"/>
      <c r="D414" s="32"/>
      <c r="E414" s="32"/>
      <c r="F414" s="32"/>
      <c r="G414" s="32"/>
    </row>
    <row r="415" ht="15.75" customHeight="1">
      <c r="A415" s="32"/>
      <c r="C415" s="32"/>
      <c r="D415" s="32"/>
      <c r="E415" s="32"/>
      <c r="F415" s="32"/>
      <c r="G415" s="32"/>
    </row>
    <row r="416" ht="15.75" customHeight="1">
      <c r="A416" s="32"/>
      <c r="C416" s="32"/>
      <c r="D416" s="32"/>
      <c r="E416" s="32"/>
      <c r="F416" s="32"/>
      <c r="G416" s="32"/>
    </row>
    <row r="417" ht="15.75" customHeight="1">
      <c r="A417" s="32"/>
      <c r="C417" s="32"/>
      <c r="D417" s="32"/>
      <c r="E417" s="32"/>
      <c r="F417" s="32"/>
      <c r="G417" s="32"/>
    </row>
    <row r="418" ht="15.75" customHeight="1">
      <c r="A418" s="32"/>
      <c r="C418" s="32"/>
      <c r="D418" s="32"/>
      <c r="E418" s="32"/>
      <c r="F418" s="32"/>
      <c r="G418" s="32"/>
    </row>
    <row r="419" ht="15.75" customHeight="1">
      <c r="A419" s="32"/>
      <c r="C419" s="32"/>
      <c r="D419" s="32"/>
      <c r="E419" s="32"/>
      <c r="F419" s="32"/>
      <c r="G419" s="32"/>
    </row>
    <row r="420" ht="15.75" customHeight="1">
      <c r="A420" s="32"/>
      <c r="C420" s="32"/>
      <c r="D420" s="32"/>
      <c r="E420" s="32"/>
      <c r="F420" s="32"/>
      <c r="G420" s="32"/>
    </row>
    <row r="421" ht="15.75" customHeight="1">
      <c r="A421" s="32"/>
      <c r="C421" s="32"/>
      <c r="D421" s="32"/>
      <c r="E421" s="32"/>
      <c r="F421" s="32"/>
      <c r="G421" s="32"/>
    </row>
    <row r="422" ht="15.75" customHeight="1">
      <c r="A422" s="32"/>
      <c r="C422" s="32"/>
      <c r="D422" s="32"/>
      <c r="E422" s="32"/>
      <c r="F422" s="32"/>
      <c r="G422" s="32"/>
    </row>
    <row r="423" ht="15.75" customHeight="1">
      <c r="A423" s="32"/>
      <c r="C423" s="32"/>
      <c r="D423" s="32"/>
      <c r="E423" s="32"/>
      <c r="F423" s="32"/>
      <c r="G423" s="32"/>
    </row>
    <row r="424" ht="15.75" customHeight="1">
      <c r="A424" s="32"/>
      <c r="C424" s="32"/>
      <c r="D424" s="32"/>
      <c r="E424" s="32"/>
      <c r="F424" s="32"/>
      <c r="G424" s="32"/>
    </row>
    <row r="425" ht="15.75" customHeight="1">
      <c r="A425" s="32"/>
      <c r="C425" s="32"/>
      <c r="D425" s="32"/>
      <c r="E425" s="32"/>
      <c r="F425" s="32"/>
      <c r="G425" s="32"/>
    </row>
    <row r="426" ht="15.75" customHeight="1">
      <c r="A426" s="32"/>
      <c r="C426" s="32"/>
      <c r="D426" s="32"/>
      <c r="E426" s="32"/>
      <c r="F426" s="32"/>
      <c r="G426" s="32"/>
    </row>
    <row r="427" ht="15.75" customHeight="1">
      <c r="A427" s="32"/>
      <c r="C427" s="32"/>
      <c r="D427" s="32"/>
      <c r="E427" s="32"/>
      <c r="F427" s="32"/>
      <c r="G427" s="32"/>
    </row>
    <row r="428" ht="15.75" customHeight="1">
      <c r="A428" s="32"/>
      <c r="C428" s="32"/>
      <c r="D428" s="32"/>
      <c r="E428" s="32"/>
      <c r="F428" s="32"/>
      <c r="G428" s="32"/>
    </row>
    <row r="429" ht="15.75" customHeight="1">
      <c r="A429" s="32"/>
      <c r="C429" s="32"/>
      <c r="D429" s="32"/>
      <c r="E429" s="32"/>
      <c r="F429" s="32"/>
      <c r="G429" s="32"/>
    </row>
    <row r="430" ht="15.75" customHeight="1">
      <c r="A430" s="32"/>
      <c r="C430" s="32"/>
      <c r="D430" s="32"/>
      <c r="E430" s="32"/>
      <c r="F430" s="32"/>
      <c r="G430" s="32"/>
    </row>
    <row r="431" ht="15.75" customHeight="1">
      <c r="A431" s="32"/>
      <c r="C431" s="32"/>
      <c r="D431" s="32"/>
      <c r="E431" s="32"/>
      <c r="F431" s="32"/>
      <c r="G431" s="32"/>
    </row>
    <row r="432" ht="15.75" customHeight="1">
      <c r="A432" s="32"/>
      <c r="C432" s="32"/>
      <c r="D432" s="32"/>
      <c r="E432" s="32"/>
      <c r="F432" s="32"/>
      <c r="G432" s="32"/>
    </row>
    <row r="433" ht="15.75" customHeight="1">
      <c r="A433" s="32"/>
      <c r="C433" s="32"/>
      <c r="D433" s="32"/>
      <c r="E433" s="32"/>
      <c r="F433" s="32"/>
      <c r="G433" s="32"/>
    </row>
    <row r="434" ht="15.75" customHeight="1">
      <c r="A434" s="32"/>
      <c r="C434" s="32"/>
      <c r="D434" s="32"/>
      <c r="E434" s="32"/>
      <c r="F434" s="32"/>
      <c r="G434" s="32"/>
    </row>
    <row r="435" ht="15.75" customHeight="1">
      <c r="A435" s="32"/>
      <c r="C435" s="32"/>
      <c r="D435" s="32"/>
      <c r="E435" s="32"/>
      <c r="F435" s="32"/>
      <c r="G435" s="32"/>
    </row>
    <row r="436" ht="15.75" customHeight="1">
      <c r="A436" s="32"/>
      <c r="C436" s="32"/>
      <c r="D436" s="32"/>
      <c r="E436" s="32"/>
      <c r="F436" s="32"/>
      <c r="G436" s="32"/>
    </row>
    <row r="437" ht="15.75" customHeight="1">
      <c r="A437" s="32"/>
      <c r="C437" s="32"/>
      <c r="D437" s="32"/>
      <c r="E437" s="32"/>
      <c r="F437" s="32"/>
      <c r="G437" s="32"/>
    </row>
    <row r="438" ht="15.75" customHeight="1">
      <c r="A438" s="32"/>
      <c r="C438" s="32"/>
      <c r="D438" s="32"/>
      <c r="E438" s="32"/>
      <c r="F438" s="32"/>
      <c r="G438" s="32"/>
    </row>
    <row r="439" ht="15.75" customHeight="1">
      <c r="A439" s="32"/>
      <c r="C439" s="32"/>
      <c r="D439" s="32"/>
      <c r="E439" s="32"/>
      <c r="F439" s="32"/>
      <c r="G439" s="32"/>
    </row>
    <row r="440" ht="15.75" customHeight="1">
      <c r="A440" s="32"/>
      <c r="C440" s="32"/>
      <c r="D440" s="32"/>
      <c r="E440" s="32"/>
      <c r="F440" s="32"/>
      <c r="G440" s="32"/>
    </row>
    <row r="441" ht="15.75" customHeight="1">
      <c r="A441" s="32"/>
      <c r="C441" s="32"/>
      <c r="D441" s="32"/>
      <c r="E441" s="32"/>
      <c r="F441" s="32"/>
      <c r="G441" s="32"/>
    </row>
    <row r="442" ht="15.75" customHeight="1">
      <c r="A442" s="32"/>
      <c r="C442" s="32"/>
      <c r="D442" s="32"/>
      <c r="E442" s="32"/>
      <c r="F442" s="32"/>
      <c r="G442" s="32"/>
    </row>
    <row r="443" ht="15.75" customHeight="1">
      <c r="A443" s="32"/>
      <c r="C443" s="32"/>
      <c r="D443" s="32"/>
      <c r="E443" s="32"/>
      <c r="F443" s="32"/>
      <c r="G443" s="32"/>
    </row>
    <row r="444" ht="15.75" customHeight="1">
      <c r="A444" s="32"/>
      <c r="C444" s="32"/>
      <c r="D444" s="32"/>
      <c r="E444" s="32"/>
      <c r="F444" s="32"/>
      <c r="G444" s="32"/>
    </row>
    <row r="445" ht="15.75" customHeight="1">
      <c r="A445" s="32"/>
      <c r="C445" s="32"/>
      <c r="D445" s="32"/>
      <c r="E445" s="32"/>
      <c r="F445" s="32"/>
      <c r="G445" s="32"/>
    </row>
    <row r="446" ht="15.75" customHeight="1">
      <c r="A446" s="32"/>
      <c r="C446" s="32"/>
      <c r="D446" s="32"/>
      <c r="E446" s="32"/>
      <c r="F446" s="32"/>
      <c r="G446" s="32"/>
    </row>
    <row r="447" ht="15.75" customHeight="1">
      <c r="A447" s="32"/>
      <c r="C447" s="32"/>
      <c r="D447" s="32"/>
      <c r="E447" s="32"/>
      <c r="F447" s="32"/>
      <c r="G447" s="32"/>
    </row>
    <row r="448" ht="15.75" customHeight="1">
      <c r="A448" s="32"/>
      <c r="C448" s="32"/>
      <c r="D448" s="32"/>
      <c r="E448" s="32"/>
      <c r="F448" s="32"/>
      <c r="G448" s="32"/>
    </row>
    <row r="449" ht="15.75" customHeight="1">
      <c r="A449" s="32"/>
      <c r="C449" s="32"/>
      <c r="D449" s="32"/>
      <c r="E449" s="32"/>
      <c r="F449" s="32"/>
      <c r="G449" s="32"/>
    </row>
    <row r="450" ht="15.75" customHeight="1">
      <c r="A450" s="32"/>
      <c r="C450" s="32"/>
      <c r="D450" s="32"/>
      <c r="E450" s="32"/>
      <c r="F450" s="32"/>
      <c r="G450" s="32"/>
    </row>
    <row r="451" ht="15.75" customHeight="1">
      <c r="A451" s="32"/>
      <c r="C451" s="32"/>
      <c r="D451" s="32"/>
      <c r="E451" s="32"/>
      <c r="F451" s="32"/>
      <c r="G451" s="32"/>
    </row>
    <row r="452" ht="15.75" customHeight="1">
      <c r="A452" s="32"/>
      <c r="C452" s="32"/>
      <c r="D452" s="32"/>
      <c r="E452" s="32"/>
      <c r="F452" s="32"/>
      <c r="G452" s="32"/>
    </row>
    <row r="453" ht="15.75" customHeight="1">
      <c r="A453" s="32"/>
      <c r="C453" s="32"/>
      <c r="D453" s="32"/>
      <c r="E453" s="32"/>
      <c r="F453" s="32"/>
      <c r="G453" s="32"/>
    </row>
    <row r="454" ht="15.75" customHeight="1">
      <c r="A454" s="32"/>
      <c r="C454" s="32"/>
      <c r="D454" s="32"/>
      <c r="E454" s="32"/>
      <c r="F454" s="32"/>
      <c r="G454" s="32"/>
    </row>
    <row r="455" ht="15.75" customHeight="1">
      <c r="A455" s="32"/>
      <c r="C455" s="32"/>
      <c r="D455" s="32"/>
      <c r="E455" s="32"/>
      <c r="F455" s="32"/>
      <c r="G455" s="32"/>
    </row>
    <row r="456" ht="15.75" customHeight="1">
      <c r="A456" s="32"/>
      <c r="C456" s="32"/>
      <c r="D456" s="32"/>
      <c r="E456" s="32"/>
      <c r="F456" s="32"/>
      <c r="G456" s="32"/>
    </row>
    <row r="457" ht="15.75" customHeight="1">
      <c r="A457" s="32"/>
      <c r="C457" s="32"/>
      <c r="D457" s="32"/>
      <c r="E457" s="32"/>
      <c r="F457" s="32"/>
      <c r="G457" s="32"/>
    </row>
    <row r="458" ht="15.75" customHeight="1">
      <c r="A458" s="32"/>
      <c r="C458" s="32"/>
      <c r="D458" s="32"/>
      <c r="E458" s="32"/>
      <c r="F458" s="32"/>
      <c r="G458" s="32"/>
    </row>
    <row r="459" ht="15.75" customHeight="1">
      <c r="A459" s="32"/>
      <c r="C459" s="32"/>
      <c r="D459" s="32"/>
      <c r="E459" s="32"/>
      <c r="F459" s="32"/>
      <c r="G459" s="32"/>
    </row>
    <row r="460" ht="15.75" customHeight="1">
      <c r="A460" s="32"/>
      <c r="C460" s="32"/>
      <c r="D460" s="32"/>
      <c r="E460" s="32"/>
      <c r="F460" s="32"/>
      <c r="G460" s="32"/>
    </row>
    <row r="461" ht="15.75" customHeight="1">
      <c r="A461" s="32"/>
      <c r="C461" s="32"/>
      <c r="D461" s="32"/>
      <c r="E461" s="32"/>
      <c r="F461" s="32"/>
      <c r="G461" s="32"/>
    </row>
    <row r="462" ht="15.75" customHeight="1">
      <c r="A462" s="32"/>
      <c r="C462" s="32"/>
      <c r="D462" s="32"/>
      <c r="E462" s="32"/>
      <c r="F462" s="32"/>
      <c r="G462" s="32"/>
    </row>
    <row r="463" ht="15.75" customHeight="1">
      <c r="A463" s="32"/>
      <c r="C463" s="32"/>
      <c r="D463" s="32"/>
      <c r="E463" s="32"/>
      <c r="F463" s="32"/>
      <c r="G463" s="32"/>
    </row>
    <row r="464" ht="15.75" customHeight="1">
      <c r="A464" s="32"/>
      <c r="C464" s="32"/>
      <c r="D464" s="32"/>
      <c r="E464" s="32"/>
      <c r="F464" s="32"/>
      <c r="G464" s="32"/>
    </row>
    <row r="465" ht="15.75" customHeight="1">
      <c r="A465" s="32"/>
      <c r="C465" s="32"/>
      <c r="D465" s="32"/>
      <c r="E465" s="32"/>
      <c r="F465" s="32"/>
      <c r="G465" s="32"/>
    </row>
    <row r="466" ht="15.75" customHeight="1">
      <c r="A466" s="32"/>
      <c r="C466" s="32"/>
      <c r="D466" s="32"/>
      <c r="E466" s="32"/>
      <c r="F466" s="32"/>
      <c r="G466" s="32"/>
    </row>
    <row r="467" ht="15.75" customHeight="1">
      <c r="A467" s="32"/>
      <c r="C467" s="32"/>
      <c r="D467" s="32"/>
      <c r="E467" s="32"/>
      <c r="F467" s="32"/>
      <c r="G467" s="32"/>
    </row>
    <row r="468" ht="15.75" customHeight="1">
      <c r="A468" s="32"/>
      <c r="C468" s="32"/>
      <c r="D468" s="32"/>
      <c r="E468" s="32"/>
      <c r="F468" s="32"/>
      <c r="G468" s="32"/>
    </row>
    <row r="469" ht="15.75" customHeight="1">
      <c r="A469" s="32"/>
      <c r="C469" s="32"/>
      <c r="D469" s="32"/>
      <c r="E469" s="32"/>
      <c r="F469" s="32"/>
      <c r="G469" s="32"/>
    </row>
    <row r="470" ht="15.75" customHeight="1">
      <c r="A470" s="32"/>
      <c r="C470" s="32"/>
      <c r="D470" s="32"/>
      <c r="E470" s="32"/>
      <c r="F470" s="32"/>
      <c r="G470" s="32"/>
    </row>
    <row r="471" ht="15.75" customHeight="1">
      <c r="A471" s="32"/>
      <c r="C471" s="32"/>
      <c r="D471" s="32"/>
      <c r="E471" s="32"/>
      <c r="F471" s="32"/>
      <c r="G471" s="32"/>
    </row>
    <row r="472" ht="15.75" customHeight="1">
      <c r="A472" s="32"/>
      <c r="C472" s="32"/>
      <c r="D472" s="32"/>
      <c r="E472" s="32"/>
      <c r="F472" s="32"/>
      <c r="G472" s="32"/>
    </row>
    <row r="473" ht="15.75" customHeight="1">
      <c r="A473" s="32"/>
      <c r="C473" s="32"/>
      <c r="D473" s="32"/>
      <c r="E473" s="32"/>
      <c r="F473" s="32"/>
      <c r="G473" s="32"/>
    </row>
    <row r="474" ht="15.75" customHeight="1">
      <c r="A474" s="32"/>
      <c r="C474" s="32"/>
      <c r="D474" s="32"/>
      <c r="E474" s="32"/>
      <c r="F474" s="32"/>
      <c r="G474" s="32"/>
    </row>
    <row r="475" ht="15.75" customHeight="1">
      <c r="A475" s="32"/>
      <c r="C475" s="32"/>
      <c r="D475" s="32"/>
      <c r="E475" s="32"/>
      <c r="F475" s="32"/>
      <c r="G475" s="32"/>
    </row>
    <row r="476" ht="15.75" customHeight="1">
      <c r="A476" s="32"/>
      <c r="C476" s="32"/>
      <c r="D476" s="32"/>
      <c r="E476" s="32"/>
      <c r="F476" s="32"/>
      <c r="G476" s="32"/>
    </row>
    <row r="477" ht="15.75" customHeight="1">
      <c r="A477" s="32"/>
      <c r="C477" s="32"/>
      <c r="D477" s="32"/>
      <c r="E477" s="32"/>
      <c r="F477" s="32"/>
      <c r="G477" s="32"/>
    </row>
    <row r="478" ht="15.75" customHeight="1">
      <c r="A478" s="32"/>
      <c r="C478" s="32"/>
      <c r="D478" s="32"/>
      <c r="E478" s="32"/>
      <c r="F478" s="32"/>
      <c r="G478" s="32"/>
    </row>
    <row r="479" ht="15.75" customHeight="1">
      <c r="A479" s="32"/>
      <c r="C479" s="32"/>
      <c r="D479" s="32"/>
      <c r="E479" s="32"/>
      <c r="F479" s="32"/>
      <c r="G479" s="32"/>
    </row>
    <row r="480" ht="15.75" customHeight="1">
      <c r="A480" s="32"/>
      <c r="C480" s="32"/>
      <c r="D480" s="32"/>
      <c r="E480" s="32"/>
      <c r="F480" s="32"/>
      <c r="G480" s="32"/>
    </row>
    <row r="481" ht="15.75" customHeight="1">
      <c r="A481" s="32"/>
      <c r="C481" s="32"/>
      <c r="D481" s="32"/>
      <c r="E481" s="32"/>
      <c r="F481" s="32"/>
      <c r="G481" s="32"/>
    </row>
    <row r="482" ht="15.75" customHeight="1">
      <c r="A482" s="32"/>
      <c r="C482" s="32"/>
      <c r="D482" s="32"/>
      <c r="E482" s="32"/>
      <c r="F482" s="32"/>
      <c r="G482" s="32"/>
    </row>
    <row r="483" ht="15.75" customHeight="1">
      <c r="A483" s="32"/>
      <c r="C483" s="32"/>
      <c r="D483" s="32"/>
      <c r="E483" s="32"/>
      <c r="F483" s="32"/>
      <c r="G483" s="32"/>
    </row>
    <row r="484" ht="15.75" customHeight="1">
      <c r="A484" s="32"/>
      <c r="C484" s="32"/>
      <c r="D484" s="32"/>
      <c r="E484" s="32"/>
      <c r="F484" s="32"/>
      <c r="G484" s="32"/>
    </row>
    <row r="485" ht="15.75" customHeight="1">
      <c r="A485" s="32"/>
      <c r="C485" s="32"/>
      <c r="D485" s="32"/>
      <c r="E485" s="32"/>
      <c r="F485" s="32"/>
      <c r="G485" s="32"/>
    </row>
    <row r="486" ht="15.75" customHeight="1">
      <c r="A486" s="32"/>
      <c r="C486" s="32"/>
      <c r="D486" s="32"/>
      <c r="E486" s="32"/>
      <c r="F486" s="32"/>
      <c r="G486" s="32"/>
    </row>
    <row r="487" ht="15.75" customHeight="1">
      <c r="A487" s="32"/>
      <c r="C487" s="32"/>
      <c r="D487" s="32"/>
      <c r="E487" s="32"/>
      <c r="F487" s="32"/>
      <c r="G487" s="32"/>
    </row>
    <row r="488" ht="15.75" customHeight="1">
      <c r="A488" s="32"/>
      <c r="C488" s="32"/>
      <c r="D488" s="32"/>
      <c r="E488" s="32"/>
      <c r="F488" s="32"/>
      <c r="G488" s="32"/>
    </row>
    <row r="489" ht="15.75" customHeight="1">
      <c r="A489" s="32"/>
      <c r="C489" s="32"/>
      <c r="D489" s="32"/>
      <c r="E489" s="32"/>
      <c r="F489" s="32"/>
      <c r="G489" s="32"/>
    </row>
    <row r="490" ht="15.75" customHeight="1">
      <c r="A490" s="32"/>
      <c r="C490" s="32"/>
      <c r="D490" s="32"/>
      <c r="E490" s="32"/>
      <c r="F490" s="32"/>
      <c r="G490" s="32"/>
    </row>
    <row r="491" ht="15.75" customHeight="1">
      <c r="A491" s="32"/>
      <c r="C491" s="32"/>
      <c r="D491" s="32"/>
      <c r="E491" s="32"/>
      <c r="F491" s="32"/>
      <c r="G491" s="32"/>
    </row>
    <row r="492" ht="15.75" customHeight="1">
      <c r="A492" s="32"/>
      <c r="C492" s="32"/>
      <c r="D492" s="32"/>
      <c r="E492" s="32"/>
      <c r="F492" s="32"/>
      <c r="G492" s="32"/>
    </row>
    <row r="493" ht="15.75" customHeight="1">
      <c r="A493" s="32"/>
      <c r="C493" s="32"/>
      <c r="D493" s="32"/>
      <c r="E493" s="32"/>
      <c r="F493" s="32"/>
      <c r="G493" s="32"/>
    </row>
    <row r="494" ht="15.75" customHeight="1">
      <c r="A494" s="32"/>
      <c r="C494" s="32"/>
      <c r="D494" s="32"/>
      <c r="E494" s="32"/>
      <c r="F494" s="32"/>
      <c r="G494" s="32"/>
    </row>
    <row r="495" ht="15.75" customHeight="1">
      <c r="A495" s="32"/>
      <c r="C495" s="32"/>
      <c r="D495" s="32"/>
      <c r="E495" s="32"/>
      <c r="F495" s="32"/>
      <c r="G495" s="32"/>
    </row>
    <row r="496" ht="15.75" customHeight="1">
      <c r="A496" s="32"/>
      <c r="C496" s="32"/>
      <c r="D496" s="32"/>
      <c r="E496" s="32"/>
      <c r="F496" s="32"/>
      <c r="G496" s="32"/>
    </row>
    <row r="497" ht="15.75" customHeight="1">
      <c r="A497" s="32"/>
      <c r="C497" s="32"/>
      <c r="D497" s="32"/>
      <c r="E497" s="32"/>
      <c r="F497" s="32"/>
      <c r="G497" s="32"/>
    </row>
    <row r="498" ht="15.75" customHeight="1">
      <c r="A498" s="32"/>
      <c r="C498" s="32"/>
      <c r="D498" s="32"/>
      <c r="E498" s="32"/>
      <c r="F498" s="32"/>
      <c r="G498" s="32"/>
    </row>
    <row r="499" ht="15.75" customHeight="1">
      <c r="A499" s="32"/>
      <c r="C499" s="32"/>
      <c r="D499" s="32"/>
      <c r="E499" s="32"/>
      <c r="F499" s="32"/>
      <c r="G499" s="32"/>
    </row>
    <row r="500" ht="15.75" customHeight="1">
      <c r="A500" s="32"/>
      <c r="C500" s="32"/>
      <c r="D500" s="32"/>
      <c r="E500" s="32"/>
      <c r="F500" s="32"/>
      <c r="G500" s="32"/>
    </row>
    <row r="501" ht="15.75" customHeight="1">
      <c r="A501" s="32"/>
      <c r="C501" s="32"/>
      <c r="D501" s="32"/>
      <c r="E501" s="32"/>
      <c r="F501" s="32"/>
      <c r="G501" s="32"/>
    </row>
    <row r="502" ht="15.75" customHeight="1">
      <c r="A502" s="32"/>
      <c r="C502" s="32"/>
      <c r="D502" s="32"/>
      <c r="E502" s="32"/>
      <c r="F502" s="32"/>
      <c r="G502" s="32"/>
    </row>
    <row r="503" ht="15.75" customHeight="1">
      <c r="A503" s="32"/>
      <c r="C503" s="32"/>
      <c r="D503" s="32"/>
      <c r="E503" s="32"/>
      <c r="F503" s="32"/>
      <c r="G503" s="32"/>
    </row>
    <row r="504" ht="15.75" customHeight="1">
      <c r="A504" s="32"/>
      <c r="C504" s="32"/>
      <c r="D504" s="32"/>
      <c r="E504" s="32"/>
      <c r="F504" s="32"/>
      <c r="G504" s="32"/>
    </row>
    <row r="505" ht="15.75" customHeight="1">
      <c r="A505" s="32"/>
      <c r="C505" s="32"/>
      <c r="D505" s="32"/>
      <c r="E505" s="32"/>
      <c r="F505" s="32"/>
      <c r="G505" s="32"/>
    </row>
    <row r="506" ht="15.75" customHeight="1">
      <c r="A506" s="32"/>
      <c r="C506" s="32"/>
      <c r="D506" s="32"/>
      <c r="E506" s="32"/>
      <c r="F506" s="32"/>
      <c r="G506" s="32"/>
    </row>
    <row r="507" ht="15.75" customHeight="1">
      <c r="A507" s="32"/>
      <c r="C507" s="32"/>
      <c r="D507" s="32"/>
      <c r="E507" s="32"/>
      <c r="F507" s="32"/>
      <c r="G507" s="32"/>
    </row>
    <row r="508" ht="15.75" customHeight="1">
      <c r="A508" s="32"/>
      <c r="C508" s="32"/>
      <c r="D508" s="32"/>
      <c r="E508" s="32"/>
      <c r="F508" s="32"/>
      <c r="G508" s="32"/>
    </row>
    <row r="509" ht="15.75" customHeight="1">
      <c r="A509" s="32"/>
      <c r="C509" s="32"/>
      <c r="D509" s="32"/>
      <c r="E509" s="32"/>
      <c r="F509" s="32"/>
      <c r="G509" s="32"/>
    </row>
    <row r="510" ht="15.75" customHeight="1">
      <c r="A510" s="32"/>
      <c r="C510" s="32"/>
      <c r="D510" s="32"/>
      <c r="E510" s="32"/>
      <c r="F510" s="32"/>
      <c r="G510" s="32"/>
    </row>
    <row r="511" ht="15.75" customHeight="1">
      <c r="A511" s="32"/>
      <c r="C511" s="32"/>
      <c r="D511" s="32"/>
      <c r="E511" s="32"/>
      <c r="F511" s="32"/>
      <c r="G511" s="32"/>
    </row>
    <row r="512" ht="15.75" customHeight="1">
      <c r="A512" s="32"/>
      <c r="C512" s="32"/>
      <c r="D512" s="32"/>
      <c r="E512" s="32"/>
      <c r="F512" s="32"/>
      <c r="G512" s="32"/>
    </row>
    <row r="513" ht="15.75" customHeight="1">
      <c r="A513" s="32"/>
      <c r="C513" s="32"/>
      <c r="D513" s="32"/>
      <c r="E513" s="32"/>
      <c r="F513" s="32"/>
      <c r="G513" s="32"/>
    </row>
    <row r="514" ht="15.75" customHeight="1">
      <c r="A514" s="32"/>
      <c r="C514" s="32"/>
      <c r="D514" s="32"/>
      <c r="E514" s="32"/>
      <c r="F514" s="32"/>
      <c r="G514" s="32"/>
    </row>
    <row r="515" ht="15.75" customHeight="1">
      <c r="A515" s="32"/>
      <c r="C515" s="32"/>
      <c r="D515" s="32"/>
      <c r="E515" s="32"/>
      <c r="F515" s="32"/>
      <c r="G515" s="32"/>
    </row>
    <row r="516" ht="15.75" customHeight="1">
      <c r="A516" s="32"/>
      <c r="C516" s="32"/>
      <c r="D516" s="32"/>
      <c r="E516" s="32"/>
      <c r="F516" s="32"/>
      <c r="G516" s="32"/>
    </row>
    <row r="517" ht="15.75" customHeight="1">
      <c r="A517" s="32"/>
      <c r="C517" s="32"/>
      <c r="D517" s="32"/>
      <c r="E517" s="32"/>
      <c r="F517" s="32"/>
      <c r="G517" s="32"/>
    </row>
    <row r="518" ht="15.75" customHeight="1">
      <c r="A518" s="32"/>
      <c r="C518" s="32"/>
      <c r="D518" s="32"/>
      <c r="E518" s="32"/>
      <c r="F518" s="32"/>
      <c r="G518" s="32"/>
    </row>
    <row r="519" ht="15.75" customHeight="1">
      <c r="A519" s="32"/>
      <c r="C519" s="32"/>
      <c r="D519" s="32"/>
      <c r="E519" s="32"/>
      <c r="F519" s="32"/>
      <c r="G519" s="32"/>
    </row>
    <row r="520" ht="15.75" customHeight="1">
      <c r="A520" s="32"/>
      <c r="C520" s="32"/>
      <c r="D520" s="32"/>
      <c r="E520" s="32"/>
      <c r="F520" s="32"/>
      <c r="G520" s="32"/>
    </row>
    <row r="521" ht="15.75" customHeight="1">
      <c r="A521" s="32"/>
      <c r="C521" s="32"/>
      <c r="D521" s="32"/>
      <c r="E521" s="32"/>
      <c r="F521" s="32"/>
      <c r="G521" s="32"/>
    </row>
    <row r="522" ht="15.75" customHeight="1">
      <c r="A522" s="32"/>
      <c r="C522" s="32"/>
      <c r="D522" s="32"/>
      <c r="E522" s="32"/>
      <c r="F522" s="32"/>
      <c r="G522" s="32"/>
    </row>
    <row r="523" ht="15.75" customHeight="1">
      <c r="A523" s="32"/>
      <c r="C523" s="32"/>
      <c r="D523" s="32"/>
      <c r="E523" s="32"/>
      <c r="F523" s="32"/>
      <c r="G523" s="32"/>
    </row>
    <row r="524" ht="15.75" customHeight="1">
      <c r="A524" s="32"/>
      <c r="C524" s="32"/>
      <c r="D524" s="32"/>
      <c r="E524" s="32"/>
      <c r="F524" s="32"/>
      <c r="G524" s="32"/>
    </row>
    <row r="525" ht="15.75" customHeight="1">
      <c r="A525" s="32"/>
      <c r="C525" s="32"/>
      <c r="D525" s="32"/>
      <c r="E525" s="32"/>
      <c r="F525" s="32"/>
      <c r="G525" s="32"/>
    </row>
    <row r="526" ht="15.75" customHeight="1">
      <c r="A526" s="32"/>
      <c r="C526" s="32"/>
      <c r="D526" s="32"/>
      <c r="E526" s="32"/>
      <c r="F526" s="32"/>
      <c r="G526" s="32"/>
    </row>
    <row r="527" ht="15.75" customHeight="1">
      <c r="A527" s="32"/>
      <c r="C527" s="32"/>
      <c r="D527" s="32"/>
      <c r="E527" s="32"/>
      <c r="F527" s="32"/>
      <c r="G527" s="32"/>
    </row>
    <row r="528" ht="15.75" customHeight="1">
      <c r="A528" s="32"/>
      <c r="C528" s="32"/>
      <c r="D528" s="32"/>
      <c r="E528" s="32"/>
      <c r="F528" s="32"/>
      <c r="G528" s="32"/>
    </row>
    <row r="529" ht="15.75" customHeight="1">
      <c r="A529" s="32"/>
      <c r="C529" s="32"/>
      <c r="D529" s="32"/>
      <c r="E529" s="32"/>
      <c r="F529" s="32"/>
      <c r="G529" s="32"/>
    </row>
    <row r="530" ht="15.75" customHeight="1">
      <c r="A530" s="32"/>
      <c r="C530" s="32"/>
      <c r="D530" s="32"/>
      <c r="E530" s="32"/>
      <c r="F530" s="32"/>
      <c r="G530" s="32"/>
    </row>
    <row r="531" ht="15.75" customHeight="1">
      <c r="A531" s="32"/>
      <c r="C531" s="32"/>
      <c r="D531" s="32"/>
      <c r="E531" s="32"/>
      <c r="F531" s="32"/>
      <c r="G531" s="32"/>
    </row>
    <row r="532" ht="15.75" customHeight="1">
      <c r="A532" s="32"/>
      <c r="C532" s="32"/>
      <c r="D532" s="32"/>
      <c r="E532" s="32"/>
      <c r="F532" s="32"/>
      <c r="G532" s="32"/>
    </row>
    <row r="533" ht="15.75" customHeight="1">
      <c r="A533" s="32"/>
      <c r="C533" s="32"/>
      <c r="D533" s="32"/>
      <c r="E533" s="32"/>
      <c r="F533" s="32"/>
      <c r="G533" s="32"/>
    </row>
    <row r="534" ht="15.75" customHeight="1">
      <c r="A534" s="32"/>
      <c r="C534" s="32"/>
      <c r="D534" s="32"/>
      <c r="E534" s="32"/>
      <c r="F534" s="32"/>
      <c r="G534" s="32"/>
    </row>
    <row r="535" ht="15.75" customHeight="1">
      <c r="A535" s="32"/>
      <c r="C535" s="32"/>
      <c r="D535" s="32"/>
      <c r="E535" s="32"/>
      <c r="F535" s="32"/>
      <c r="G535" s="32"/>
    </row>
    <row r="536" ht="15.75" customHeight="1">
      <c r="A536" s="32"/>
      <c r="C536" s="32"/>
      <c r="D536" s="32"/>
      <c r="E536" s="32"/>
      <c r="F536" s="32"/>
      <c r="G536" s="32"/>
    </row>
    <row r="537" ht="15.75" customHeight="1">
      <c r="A537" s="32"/>
      <c r="C537" s="32"/>
      <c r="D537" s="32"/>
      <c r="E537" s="32"/>
      <c r="F537" s="32"/>
      <c r="G537" s="32"/>
    </row>
    <row r="538" ht="15.75" customHeight="1">
      <c r="A538" s="32"/>
      <c r="C538" s="32"/>
      <c r="D538" s="32"/>
      <c r="E538" s="32"/>
      <c r="F538" s="32"/>
      <c r="G538" s="32"/>
    </row>
    <row r="539" ht="15.75" customHeight="1">
      <c r="A539" s="32"/>
      <c r="C539" s="32"/>
      <c r="D539" s="32"/>
      <c r="E539" s="32"/>
      <c r="F539" s="32"/>
      <c r="G539" s="32"/>
    </row>
    <row r="540" ht="15.75" customHeight="1">
      <c r="A540" s="32"/>
      <c r="C540" s="32"/>
      <c r="D540" s="32"/>
      <c r="E540" s="32"/>
      <c r="F540" s="32"/>
      <c r="G540" s="32"/>
    </row>
    <row r="541" ht="15.75" customHeight="1">
      <c r="A541" s="32"/>
      <c r="C541" s="32"/>
      <c r="D541" s="32"/>
      <c r="E541" s="32"/>
      <c r="F541" s="32"/>
      <c r="G541" s="32"/>
    </row>
    <row r="542" ht="15.75" customHeight="1">
      <c r="A542" s="32"/>
      <c r="C542" s="32"/>
      <c r="D542" s="32"/>
      <c r="E542" s="32"/>
      <c r="F542" s="32"/>
      <c r="G542" s="32"/>
    </row>
    <row r="543" ht="15.75" customHeight="1">
      <c r="A543" s="32"/>
      <c r="C543" s="32"/>
      <c r="D543" s="32"/>
      <c r="E543" s="32"/>
      <c r="F543" s="32"/>
      <c r="G543" s="32"/>
    </row>
    <row r="544" ht="15.75" customHeight="1">
      <c r="A544" s="32"/>
      <c r="C544" s="32"/>
      <c r="D544" s="32"/>
      <c r="E544" s="32"/>
      <c r="F544" s="32"/>
      <c r="G544" s="32"/>
    </row>
    <row r="545" ht="15.75" customHeight="1">
      <c r="A545" s="32"/>
      <c r="C545" s="32"/>
      <c r="D545" s="32"/>
      <c r="E545" s="32"/>
      <c r="F545" s="32"/>
      <c r="G545" s="32"/>
    </row>
    <row r="546" ht="15.75" customHeight="1">
      <c r="A546" s="32"/>
      <c r="C546" s="32"/>
      <c r="D546" s="32"/>
      <c r="E546" s="32"/>
      <c r="F546" s="32"/>
      <c r="G546" s="32"/>
    </row>
    <row r="547" ht="15.75" customHeight="1">
      <c r="A547" s="32"/>
      <c r="C547" s="32"/>
      <c r="D547" s="32"/>
      <c r="E547" s="32"/>
      <c r="F547" s="32"/>
      <c r="G547" s="32"/>
    </row>
    <row r="548" ht="15.75" customHeight="1">
      <c r="A548" s="32"/>
      <c r="C548" s="32"/>
      <c r="D548" s="32"/>
      <c r="E548" s="32"/>
      <c r="F548" s="32"/>
      <c r="G548" s="32"/>
    </row>
    <row r="549" ht="15.75" customHeight="1">
      <c r="A549" s="32"/>
      <c r="C549" s="32"/>
      <c r="D549" s="32"/>
      <c r="E549" s="32"/>
      <c r="F549" s="32"/>
      <c r="G549" s="32"/>
    </row>
    <row r="550" ht="15.75" customHeight="1">
      <c r="A550" s="32"/>
      <c r="C550" s="32"/>
      <c r="D550" s="32"/>
      <c r="E550" s="32"/>
      <c r="F550" s="32"/>
      <c r="G550" s="32"/>
    </row>
    <row r="551" ht="15.75" customHeight="1">
      <c r="A551" s="32"/>
      <c r="C551" s="32"/>
      <c r="D551" s="32"/>
      <c r="E551" s="32"/>
      <c r="F551" s="32"/>
      <c r="G551" s="32"/>
    </row>
    <row r="552" ht="15.75" customHeight="1">
      <c r="A552" s="32"/>
      <c r="C552" s="32"/>
      <c r="D552" s="32"/>
      <c r="E552" s="32"/>
      <c r="F552" s="32"/>
      <c r="G552" s="32"/>
    </row>
    <row r="553" ht="15.75" customHeight="1">
      <c r="A553" s="32"/>
      <c r="C553" s="32"/>
      <c r="D553" s="32"/>
      <c r="E553" s="32"/>
      <c r="F553" s="32"/>
      <c r="G553" s="32"/>
    </row>
    <row r="554" ht="15.75" customHeight="1">
      <c r="A554" s="32"/>
      <c r="C554" s="32"/>
      <c r="D554" s="32"/>
      <c r="E554" s="32"/>
      <c r="F554" s="32"/>
      <c r="G554" s="32"/>
    </row>
    <row r="555" ht="15.75" customHeight="1">
      <c r="A555" s="32"/>
      <c r="C555" s="32"/>
      <c r="D555" s="32"/>
      <c r="E555" s="32"/>
      <c r="F555" s="32"/>
      <c r="G555" s="32"/>
    </row>
    <row r="556" ht="15.75" customHeight="1">
      <c r="A556" s="32"/>
      <c r="C556" s="32"/>
      <c r="D556" s="32"/>
      <c r="E556" s="32"/>
      <c r="F556" s="32"/>
      <c r="G556" s="32"/>
    </row>
    <row r="557" ht="15.75" customHeight="1">
      <c r="A557" s="32"/>
      <c r="C557" s="32"/>
      <c r="D557" s="32"/>
      <c r="E557" s="32"/>
      <c r="F557" s="32"/>
      <c r="G557" s="32"/>
    </row>
    <row r="558" ht="15.75" customHeight="1">
      <c r="A558" s="32"/>
      <c r="C558" s="32"/>
      <c r="D558" s="32"/>
      <c r="E558" s="32"/>
      <c r="F558" s="32"/>
      <c r="G558" s="32"/>
    </row>
    <row r="559" ht="15.75" customHeight="1">
      <c r="A559" s="32"/>
      <c r="C559" s="32"/>
      <c r="D559" s="32"/>
      <c r="E559" s="32"/>
      <c r="F559" s="32"/>
      <c r="G559" s="32"/>
    </row>
    <row r="560" ht="15.75" customHeight="1">
      <c r="A560" s="32"/>
      <c r="C560" s="32"/>
      <c r="D560" s="32"/>
      <c r="E560" s="32"/>
      <c r="F560" s="32"/>
      <c r="G560" s="32"/>
    </row>
    <row r="561" ht="15.75" customHeight="1">
      <c r="A561" s="32"/>
      <c r="C561" s="32"/>
      <c r="D561" s="32"/>
      <c r="E561" s="32"/>
      <c r="F561" s="32"/>
      <c r="G561" s="32"/>
    </row>
    <row r="562" ht="15.75" customHeight="1">
      <c r="A562" s="32"/>
      <c r="C562" s="32"/>
      <c r="D562" s="32"/>
      <c r="E562" s="32"/>
      <c r="F562" s="32"/>
      <c r="G562" s="32"/>
    </row>
    <row r="563" ht="15.75" customHeight="1">
      <c r="A563" s="32"/>
      <c r="C563" s="32"/>
      <c r="D563" s="32"/>
      <c r="E563" s="32"/>
      <c r="F563" s="32"/>
      <c r="G563" s="32"/>
    </row>
    <row r="564" ht="15.75" customHeight="1">
      <c r="A564" s="32"/>
      <c r="C564" s="32"/>
      <c r="D564" s="32"/>
      <c r="E564" s="32"/>
      <c r="F564" s="32"/>
      <c r="G564" s="32"/>
    </row>
    <row r="565" ht="15.75" customHeight="1">
      <c r="A565" s="32"/>
      <c r="C565" s="32"/>
      <c r="D565" s="32"/>
      <c r="E565" s="32"/>
      <c r="F565" s="32"/>
      <c r="G565" s="32"/>
    </row>
    <row r="566" ht="15.75" customHeight="1">
      <c r="A566" s="32"/>
      <c r="C566" s="32"/>
      <c r="D566" s="32"/>
      <c r="E566" s="32"/>
      <c r="F566" s="32"/>
      <c r="G566" s="32"/>
    </row>
    <row r="567" ht="15.75" customHeight="1">
      <c r="A567" s="32"/>
      <c r="C567" s="32"/>
      <c r="D567" s="32"/>
      <c r="E567" s="32"/>
      <c r="F567" s="32"/>
      <c r="G567" s="32"/>
    </row>
    <row r="568" ht="15.75" customHeight="1">
      <c r="A568" s="32"/>
      <c r="C568" s="32"/>
      <c r="D568" s="32"/>
      <c r="E568" s="32"/>
      <c r="F568" s="32"/>
      <c r="G568" s="32"/>
    </row>
    <row r="569" ht="15.75" customHeight="1">
      <c r="A569" s="32"/>
      <c r="C569" s="32"/>
      <c r="D569" s="32"/>
      <c r="E569" s="32"/>
      <c r="F569" s="32"/>
      <c r="G569" s="32"/>
    </row>
    <row r="570" ht="15.75" customHeight="1">
      <c r="A570" s="32"/>
      <c r="C570" s="32"/>
      <c r="D570" s="32"/>
      <c r="E570" s="32"/>
      <c r="F570" s="32"/>
      <c r="G570" s="32"/>
    </row>
    <row r="571" ht="15.75" customHeight="1">
      <c r="A571" s="32"/>
      <c r="C571" s="32"/>
      <c r="D571" s="32"/>
      <c r="E571" s="32"/>
      <c r="F571" s="32"/>
      <c r="G571" s="32"/>
    </row>
    <row r="572" ht="15.75" customHeight="1">
      <c r="A572" s="32"/>
      <c r="C572" s="32"/>
      <c r="D572" s="32"/>
      <c r="E572" s="32"/>
      <c r="F572" s="32"/>
      <c r="G572" s="32"/>
    </row>
    <row r="573" ht="15.75" customHeight="1">
      <c r="A573" s="32"/>
      <c r="C573" s="32"/>
      <c r="D573" s="32"/>
      <c r="E573" s="32"/>
      <c r="F573" s="32"/>
      <c r="G573" s="32"/>
    </row>
    <row r="574" ht="15.75" customHeight="1">
      <c r="A574" s="32"/>
      <c r="C574" s="32"/>
      <c r="D574" s="32"/>
      <c r="E574" s="32"/>
      <c r="F574" s="32"/>
      <c r="G574" s="32"/>
    </row>
    <row r="575" ht="15.75" customHeight="1">
      <c r="A575" s="32"/>
      <c r="C575" s="32"/>
      <c r="D575" s="32"/>
      <c r="E575" s="32"/>
      <c r="F575" s="32"/>
      <c r="G575" s="32"/>
    </row>
    <row r="576" ht="15.75" customHeight="1">
      <c r="A576" s="32"/>
      <c r="C576" s="32"/>
      <c r="D576" s="32"/>
      <c r="E576" s="32"/>
      <c r="F576" s="32"/>
      <c r="G576" s="32"/>
    </row>
    <row r="577" ht="15.75" customHeight="1">
      <c r="A577" s="32"/>
      <c r="C577" s="32"/>
      <c r="D577" s="32"/>
      <c r="E577" s="32"/>
      <c r="F577" s="32"/>
      <c r="G577" s="32"/>
    </row>
    <row r="578" ht="15.75" customHeight="1">
      <c r="A578" s="32"/>
      <c r="C578" s="32"/>
      <c r="D578" s="32"/>
      <c r="E578" s="32"/>
      <c r="F578" s="32"/>
      <c r="G578" s="32"/>
    </row>
    <row r="579" ht="15.75" customHeight="1">
      <c r="A579" s="32"/>
      <c r="C579" s="32"/>
      <c r="D579" s="32"/>
      <c r="E579" s="32"/>
      <c r="F579" s="32"/>
      <c r="G579" s="32"/>
    </row>
    <row r="580" ht="15.75" customHeight="1">
      <c r="A580" s="32"/>
      <c r="C580" s="32"/>
      <c r="D580" s="32"/>
      <c r="E580" s="32"/>
      <c r="F580" s="32"/>
      <c r="G580" s="32"/>
    </row>
    <row r="581" ht="15.75" customHeight="1">
      <c r="A581" s="32"/>
      <c r="C581" s="32"/>
      <c r="D581" s="32"/>
      <c r="E581" s="32"/>
      <c r="F581" s="32"/>
      <c r="G581" s="32"/>
    </row>
    <row r="582" ht="15.75" customHeight="1">
      <c r="A582" s="32"/>
      <c r="C582" s="32"/>
      <c r="D582" s="32"/>
      <c r="E582" s="32"/>
      <c r="F582" s="32"/>
      <c r="G582" s="32"/>
    </row>
    <row r="583" ht="15.75" customHeight="1">
      <c r="A583" s="32"/>
      <c r="C583" s="32"/>
      <c r="D583" s="32"/>
      <c r="E583" s="32"/>
      <c r="F583" s="32"/>
      <c r="G583" s="32"/>
    </row>
    <row r="584" ht="15.75" customHeight="1">
      <c r="A584" s="32"/>
      <c r="C584" s="32"/>
      <c r="D584" s="32"/>
      <c r="E584" s="32"/>
      <c r="F584" s="32"/>
      <c r="G584" s="32"/>
    </row>
    <row r="585" ht="15.75" customHeight="1">
      <c r="A585" s="32"/>
      <c r="C585" s="32"/>
      <c r="D585" s="32"/>
      <c r="E585" s="32"/>
      <c r="F585" s="32"/>
      <c r="G585" s="32"/>
    </row>
    <row r="586" ht="15.75" customHeight="1">
      <c r="A586" s="32"/>
      <c r="C586" s="32"/>
      <c r="D586" s="32"/>
      <c r="E586" s="32"/>
      <c r="F586" s="32"/>
      <c r="G586" s="32"/>
    </row>
    <row r="587" ht="15.75" customHeight="1">
      <c r="A587" s="32"/>
      <c r="C587" s="32"/>
      <c r="D587" s="32"/>
      <c r="E587" s="32"/>
      <c r="F587" s="32"/>
      <c r="G587" s="32"/>
    </row>
    <row r="588" ht="15.75" customHeight="1">
      <c r="A588" s="32"/>
      <c r="C588" s="32"/>
      <c r="D588" s="32"/>
      <c r="E588" s="32"/>
      <c r="F588" s="32"/>
      <c r="G588" s="32"/>
    </row>
    <row r="589" ht="15.75" customHeight="1">
      <c r="A589" s="32"/>
      <c r="C589" s="32"/>
      <c r="D589" s="32"/>
      <c r="E589" s="32"/>
      <c r="F589" s="32"/>
      <c r="G589" s="32"/>
    </row>
    <row r="590" ht="15.75" customHeight="1">
      <c r="A590" s="32"/>
      <c r="C590" s="32"/>
      <c r="D590" s="32"/>
      <c r="E590" s="32"/>
      <c r="F590" s="32"/>
      <c r="G590" s="32"/>
    </row>
    <row r="591" ht="15.75" customHeight="1">
      <c r="A591" s="32"/>
      <c r="C591" s="32"/>
      <c r="D591" s="32"/>
      <c r="E591" s="32"/>
      <c r="F591" s="32"/>
      <c r="G591" s="32"/>
    </row>
    <row r="592" ht="15.75" customHeight="1">
      <c r="A592" s="32"/>
      <c r="C592" s="32"/>
      <c r="D592" s="32"/>
      <c r="E592" s="32"/>
      <c r="F592" s="32"/>
      <c r="G592" s="32"/>
    </row>
    <row r="593" ht="15.75" customHeight="1">
      <c r="A593" s="32"/>
      <c r="C593" s="32"/>
      <c r="D593" s="32"/>
      <c r="E593" s="32"/>
      <c r="F593" s="32"/>
      <c r="G593" s="32"/>
    </row>
    <row r="594" ht="15.75" customHeight="1">
      <c r="A594" s="32"/>
      <c r="C594" s="32"/>
      <c r="D594" s="32"/>
      <c r="E594" s="32"/>
      <c r="F594" s="32"/>
      <c r="G594" s="32"/>
    </row>
    <row r="595" ht="15.75" customHeight="1">
      <c r="A595" s="32"/>
      <c r="C595" s="32"/>
      <c r="D595" s="32"/>
      <c r="E595" s="32"/>
      <c r="F595" s="32"/>
      <c r="G595" s="32"/>
    </row>
    <row r="596" ht="15.75" customHeight="1">
      <c r="A596" s="32"/>
      <c r="C596" s="32"/>
      <c r="D596" s="32"/>
      <c r="E596" s="32"/>
      <c r="F596" s="32"/>
      <c r="G596" s="32"/>
    </row>
    <row r="597" ht="15.75" customHeight="1">
      <c r="A597" s="32"/>
      <c r="C597" s="32"/>
      <c r="D597" s="32"/>
      <c r="E597" s="32"/>
      <c r="F597" s="32"/>
      <c r="G597" s="32"/>
    </row>
    <row r="598" ht="15.75" customHeight="1">
      <c r="A598" s="32"/>
      <c r="C598" s="32"/>
      <c r="D598" s="32"/>
      <c r="E598" s="32"/>
      <c r="F598" s="32"/>
      <c r="G598" s="32"/>
    </row>
    <row r="599" ht="15.75" customHeight="1">
      <c r="A599" s="32"/>
      <c r="C599" s="32"/>
      <c r="D599" s="32"/>
      <c r="E599" s="32"/>
      <c r="F599" s="32"/>
      <c r="G599" s="32"/>
    </row>
    <row r="600" ht="15.75" customHeight="1">
      <c r="A600" s="32"/>
      <c r="C600" s="32"/>
      <c r="D600" s="32"/>
      <c r="E600" s="32"/>
      <c r="F600" s="32"/>
      <c r="G600" s="32"/>
    </row>
    <row r="601" ht="15.75" customHeight="1">
      <c r="A601" s="32"/>
      <c r="C601" s="32"/>
      <c r="D601" s="32"/>
      <c r="E601" s="32"/>
      <c r="F601" s="32"/>
      <c r="G601" s="32"/>
    </row>
    <row r="602" ht="15.75" customHeight="1">
      <c r="A602" s="32"/>
      <c r="C602" s="32"/>
      <c r="D602" s="32"/>
      <c r="E602" s="32"/>
      <c r="F602" s="32"/>
      <c r="G602" s="32"/>
    </row>
    <row r="603" ht="15.75" customHeight="1">
      <c r="A603" s="32"/>
      <c r="C603" s="32"/>
      <c r="D603" s="32"/>
      <c r="E603" s="32"/>
      <c r="F603" s="32"/>
      <c r="G603" s="32"/>
    </row>
    <row r="604" ht="15.75" customHeight="1">
      <c r="A604" s="32"/>
      <c r="C604" s="32"/>
      <c r="D604" s="32"/>
      <c r="E604" s="32"/>
      <c r="F604" s="32"/>
      <c r="G604" s="32"/>
    </row>
    <row r="605" ht="15.75" customHeight="1">
      <c r="A605" s="32"/>
      <c r="C605" s="32"/>
      <c r="D605" s="32"/>
      <c r="E605" s="32"/>
      <c r="F605" s="32"/>
      <c r="G605" s="32"/>
    </row>
    <row r="606" ht="15.75" customHeight="1">
      <c r="A606" s="32"/>
      <c r="C606" s="32"/>
      <c r="D606" s="32"/>
      <c r="E606" s="32"/>
      <c r="F606" s="32"/>
      <c r="G606" s="32"/>
    </row>
    <row r="607" ht="15.75" customHeight="1">
      <c r="A607" s="32"/>
      <c r="C607" s="32"/>
      <c r="D607" s="32"/>
      <c r="E607" s="32"/>
      <c r="F607" s="32"/>
      <c r="G607" s="32"/>
    </row>
    <row r="608" ht="15.75" customHeight="1">
      <c r="A608" s="32"/>
      <c r="C608" s="32"/>
      <c r="D608" s="32"/>
      <c r="E608" s="32"/>
      <c r="F608" s="32"/>
      <c r="G608" s="32"/>
    </row>
    <row r="609" ht="15.75" customHeight="1">
      <c r="A609" s="32"/>
      <c r="C609" s="32"/>
      <c r="D609" s="32"/>
      <c r="E609" s="32"/>
      <c r="F609" s="32"/>
      <c r="G609" s="32"/>
    </row>
    <row r="610" ht="15.75" customHeight="1">
      <c r="A610" s="32"/>
      <c r="C610" s="32"/>
      <c r="D610" s="32"/>
      <c r="E610" s="32"/>
      <c r="F610" s="32"/>
      <c r="G610" s="32"/>
    </row>
    <row r="611" ht="15.75" customHeight="1">
      <c r="A611" s="32"/>
      <c r="C611" s="32"/>
      <c r="D611" s="32"/>
      <c r="E611" s="32"/>
      <c r="F611" s="32"/>
      <c r="G611" s="32"/>
    </row>
    <row r="612" ht="15.75" customHeight="1">
      <c r="A612" s="32"/>
      <c r="C612" s="32"/>
      <c r="D612" s="32"/>
      <c r="E612" s="32"/>
      <c r="F612" s="32"/>
      <c r="G612" s="32"/>
    </row>
    <row r="613" ht="15.75" customHeight="1">
      <c r="A613" s="32"/>
      <c r="C613" s="32"/>
      <c r="D613" s="32"/>
      <c r="E613" s="32"/>
      <c r="F613" s="32"/>
      <c r="G613" s="32"/>
    </row>
    <row r="614" ht="15.75" customHeight="1">
      <c r="A614" s="32"/>
      <c r="C614" s="32"/>
      <c r="D614" s="32"/>
      <c r="E614" s="32"/>
      <c r="F614" s="32"/>
      <c r="G614" s="32"/>
    </row>
    <row r="615" ht="15.75" customHeight="1">
      <c r="A615" s="32"/>
      <c r="C615" s="32"/>
      <c r="D615" s="32"/>
      <c r="E615" s="32"/>
      <c r="F615" s="32"/>
      <c r="G615" s="32"/>
    </row>
    <row r="616" ht="15.75" customHeight="1">
      <c r="A616" s="32"/>
      <c r="C616" s="32"/>
      <c r="D616" s="32"/>
      <c r="E616" s="32"/>
      <c r="F616" s="32"/>
      <c r="G616" s="32"/>
    </row>
    <row r="617" ht="15.75" customHeight="1">
      <c r="A617" s="32"/>
      <c r="C617" s="32"/>
      <c r="D617" s="32"/>
      <c r="E617" s="32"/>
      <c r="F617" s="32"/>
      <c r="G617" s="32"/>
    </row>
    <row r="618" ht="15.75" customHeight="1">
      <c r="A618" s="32"/>
      <c r="C618" s="32"/>
      <c r="D618" s="32"/>
      <c r="E618" s="32"/>
      <c r="F618" s="32"/>
      <c r="G618" s="32"/>
    </row>
    <row r="619" ht="15.75" customHeight="1">
      <c r="A619" s="32"/>
      <c r="C619" s="32"/>
      <c r="D619" s="32"/>
      <c r="E619" s="32"/>
      <c r="F619" s="32"/>
      <c r="G619" s="32"/>
    </row>
    <row r="620" ht="15.75" customHeight="1">
      <c r="A620" s="32"/>
      <c r="C620" s="32"/>
      <c r="D620" s="32"/>
      <c r="E620" s="32"/>
      <c r="F620" s="32"/>
      <c r="G620" s="32"/>
    </row>
    <row r="621" ht="15.75" customHeight="1">
      <c r="A621" s="32"/>
      <c r="C621" s="32"/>
      <c r="D621" s="32"/>
      <c r="E621" s="32"/>
      <c r="F621" s="32"/>
      <c r="G621" s="32"/>
    </row>
    <row r="622" ht="15.75" customHeight="1">
      <c r="A622" s="32"/>
      <c r="C622" s="32"/>
      <c r="D622" s="32"/>
      <c r="E622" s="32"/>
      <c r="F622" s="32"/>
      <c r="G622" s="32"/>
    </row>
    <row r="623" ht="15.75" customHeight="1">
      <c r="A623" s="32"/>
      <c r="C623" s="32"/>
      <c r="D623" s="32"/>
      <c r="E623" s="32"/>
      <c r="F623" s="32"/>
      <c r="G623" s="32"/>
    </row>
    <row r="624" ht="15.75" customHeight="1">
      <c r="A624" s="32"/>
      <c r="C624" s="32"/>
      <c r="D624" s="32"/>
      <c r="E624" s="32"/>
      <c r="F624" s="32"/>
      <c r="G624" s="32"/>
    </row>
    <row r="625" ht="15.75" customHeight="1">
      <c r="A625" s="32"/>
      <c r="C625" s="32"/>
      <c r="D625" s="32"/>
      <c r="E625" s="32"/>
      <c r="F625" s="32"/>
      <c r="G625" s="32"/>
    </row>
    <row r="626" ht="15.75" customHeight="1">
      <c r="A626" s="32"/>
      <c r="C626" s="32"/>
      <c r="D626" s="32"/>
      <c r="E626" s="32"/>
      <c r="F626" s="32"/>
      <c r="G626" s="32"/>
    </row>
    <row r="627" ht="15.75" customHeight="1">
      <c r="A627" s="32"/>
      <c r="C627" s="32"/>
      <c r="D627" s="32"/>
      <c r="E627" s="32"/>
      <c r="F627" s="32"/>
      <c r="G627" s="32"/>
    </row>
    <row r="628" ht="15.75" customHeight="1">
      <c r="A628" s="32"/>
      <c r="C628" s="32"/>
      <c r="D628" s="32"/>
      <c r="E628" s="32"/>
      <c r="F628" s="32"/>
      <c r="G628" s="32"/>
    </row>
    <row r="629" ht="15.75" customHeight="1">
      <c r="A629" s="32"/>
      <c r="C629" s="32"/>
      <c r="D629" s="32"/>
      <c r="E629" s="32"/>
      <c r="F629" s="32"/>
      <c r="G629" s="32"/>
    </row>
    <row r="630" ht="15.75" customHeight="1">
      <c r="A630" s="32"/>
      <c r="C630" s="32"/>
      <c r="D630" s="32"/>
      <c r="E630" s="32"/>
      <c r="F630" s="32"/>
      <c r="G630" s="32"/>
    </row>
    <row r="631" ht="15.75" customHeight="1">
      <c r="A631" s="32"/>
      <c r="C631" s="32"/>
      <c r="D631" s="32"/>
      <c r="E631" s="32"/>
      <c r="F631" s="32"/>
      <c r="G631" s="32"/>
    </row>
    <row r="632" ht="15.75" customHeight="1">
      <c r="A632" s="32"/>
      <c r="C632" s="32"/>
      <c r="D632" s="32"/>
      <c r="E632" s="32"/>
      <c r="F632" s="32"/>
      <c r="G632" s="32"/>
    </row>
    <row r="633" ht="15.75" customHeight="1">
      <c r="A633" s="32"/>
      <c r="C633" s="32"/>
      <c r="D633" s="32"/>
      <c r="E633" s="32"/>
      <c r="F633" s="32"/>
      <c r="G633" s="32"/>
    </row>
    <row r="634" ht="15.75" customHeight="1">
      <c r="A634" s="32"/>
      <c r="C634" s="32"/>
      <c r="D634" s="32"/>
      <c r="E634" s="32"/>
      <c r="F634" s="32"/>
      <c r="G634" s="32"/>
    </row>
    <row r="635" ht="15.75" customHeight="1">
      <c r="A635" s="32"/>
      <c r="C635" s="32"/>
      <c r="D635" s="32"/>
      <c r="E635" s="32"/>
      <c r="F635" s="32"/>
      <c r="G635" s="32"/>
    </row>
    <row r="636" ht="15.75" customHeight="1">
      <c r="A636" s="32"/>
      <c r="C636" s="32"/>
      <c r="D636" s="32"/>
      <c r="E636" s="32"/>
      <c r="F636" s="32"/>
      <c r="G636" s="32"/>
    </row>
    <row r="637" ht="15.75" customHeight="1">
      <c r="A637" s="32"/>
      <c r="C637" s="32"/>
      <c r="D637" s="32"/>
      <c r="E637" s="32"/>
      <c r="F637" s="32"/>
      <c r="G637" s="32"/>
    </row>
    <row r="638" ht="15.75" customHeight="1">
      <c r="A638" s="32"/>
      <c r="C638" s="32"/>
      <c r="D638" s="32"/>
      <c r="E638" s="32"/>
      <c r="F638" s="32"/>
      <c r="G638" s="32"/>
    </row>
    <row r="639" ht="15.75" customHeight="1">
      <c r="A639" s="32"/>
      <c r="C639" s="32"/>
      <c r="D639" s="32"/>
      <c r="E639" s="32"/>
      <c r="F639" s="32"/>
      <c r="G639" s="32"/>
    </row>
    <row r="640" ht="15.75" customHeight="1">
      <c r="A640" s="32"/>
      <c r="C640" s="32"/>
      <c r="D640" s="32"/>
      <c r="E640" s="32"/>
      <c r="F640" s="32"/>
      <c r="G640" s="32"/>
    </row>
    <row r="641" ht="15.75" customHeight="1">
      <c r="A641" s="32"/>
      <c r="C641" s="32"/>
      <c r="D641" s="32"/>
      <c r="E641" s="32"/>
      <c r="F641" s="32"/>
      <c r="G641" s="32"/>
    </row>
    <row r="642" ht="15.75" customHeight="1">
      <c r="A642" s="32"/>
      <c r="C642" s="32"/>
      <c r="D642" s="32"/>
      <c r="E642" s="32"/>
      <c r="F642" s="32"/>
      <c r="G642" s="32"/>
    </row>
    <row r="643" ht="15.75" customHeight="1">
      <c r="A643" s="32"/>
      <c r="C643" s="32"/>
      <c r="D643" s="32"/>
      <c r="E643" s="32"/>
      <c r="F643" s="32"/>
      <c r="G643" s="32"/>
    </row>
    <row r="644" ht="15.75" customHeight="1">
      <c r="A644" s="32"/>
      <c r="C644" s="32"/>
      <c r="D644" s="32"/>
      <c r="E644" s="32"/>
      <c r="F644" s="32"/>
      <c r="G644" s="32"/>
    </row>
    <row r="645" ht="15.75" customHeight="1">
      <c r="A645" s="32"/>
      <c r="C645" s="32"/>
      <c r="D645" s="32"/>
      <c r="E645" s="32"/>
      <c r="F645" s="32"/>
      <c r="G645" s="32"/>
    </row>
    <row r="646" ht="15.75" customHeight="1">
      <c r="A646" s="32"/>
      <c r="C646" s="32"/>
      <c r="D646" s="32"/>
      <c r="E646" s="32"/>
      <c r="F646" s="32"/>
      <c r="G646" s="32"/>
    </row>
    <row r="647" ht="15.75" customHeight="1">
      <c r="A647" s="32"/>
      <c r="C647" s="32"/>
      <c r="D647" s="32"/>
      <c r="E647" s="32"/>
      <c r="F647" s="32"/>
      <c r="G647" s="32"/>
    </row>
    <row r="648" ht="15.75" customHeight="1">
      <c r="A648" s="32"/>
      <c r="C648" s="32"/>
      <c r="D648" s="32"/>
      <c r="E648" s="32"/>
      <c r="F648" s="32"/>
      <c r="G648" s="32"/>
    </row>
    <row r="649" ht="15.75" customHeight="1">
      <c r="A649" s="32"/>
      <c r="C649" s="32"/>
      <c r="D649" s="32"/>
      <c r="E649" s="32"/>
      <c r="F649" s="32"/>
      <c r="G649" s="32"/>
    </row>
    <row r="650" ht="15.75" customHeight="1">
      <c r="A650" s="32"/>
      <c r="C650" s="32"/>
      <c r="D650" s="32"/>
      <c r="E650" s="32"/>
      <c r="F650" s="32"/>
      <c r="G650" s="32"/>
    </row>
    <row r="651" ht="15.75" customHeight="1">
      <c r="A651" s="32"/>
      <c r="C651" s="32"/>
      <c r="D651" s="32"/>
      <c r="E651" s="32"/>
      <c r="F651" s="32"/>
      <c r="G651" s="32"/>
    </row>
    <row r="652" ht="15.75" customHeight="1">
      <c r="A652" s="32"/>
      <c r="C652" s="32"/>
      <c r="D652" s="32"/>
      <c r="E652" s="32"/>
      <c r="F652" s="32"/>
      <c r="G652" s="32"/>
    </row>
    <row r="653" ht="15.75" customHeight="1">
      <c r="A653" s="32"/>
      <c r="C653" s="32"/>
      <c r="D653" s="32"/>
      <c r="E653" s="32"/>
      <c r="F653" s="32"/>
      <c r="G653" s="32"/>
    </row>
    <row r="654" ht="15.75" customHeight="1">
      <c r="A654" s="32"/>
      <c r="C654" s="32"/>
      <c r="D654" s="32"/>
      <c r="E654" s="32"/>
      <c r="F654" s="32"/>
      <c r="G654" s="32"/>
    </row>
    <row r="655" ht="15.75" customHeight="1">
      <c r="A655" s="32"/>
      <c r="C655" s="32"/>
      <c r="D655" s="32"/>
      <c r="E655" s="32"/>
      <c r="F655" s="32"/>
      <c r="G655" s="32"/>
    </row>
    <row r="656" ht="15.75" customHeight="1">
      <c r="A656" s="32"/>
      <c r="C656" s="32"/>
      <c r="D656" s="32"/>
      <c r="E656" s="32"/>
      <c r="F656" s="32"/>
      <c r="G656" s="32"/>
    </row>
    <row r="657" ht="15.75" customHeight="1">
      <c r="A657" s="32"/>
      <c r="C657" s="32"/>
      <c r="D657" s="32"/>
      <c r="E657" s="32"/>
      <c r="F657" s="32"/>
      <c r="G657" s="32"/>
    </row>
    <row r="658" ht="15.75" customHeight="1">
      <c r="A658" s="32"/>
      <c r="C658" s="32"/>
      <c r="D658" s="32"/>
      <c r="E658" s="32"/>
      <c r="F658" s="32"/>
      <c r="G658" s="32"/>
    </row>
    <row r="659" ht="15.75" customHeight="1">
      <c r="A659" s="32"/>
      <c r="C659" s="32"/>
      <c r="D659" s="32"/>
      <c r="E659" s="32"/>
      <c r="F659" s="32"/>
      <c r="G659" s="32"/>
    </row>
    <row r="660" ht="15.75" customHeight="1">
      <c r="A660" s="32"/>
      <c r="C660" s="32"/>
      <c r="D660" s="32"/>
      <c r="E660" s="32"/>
      <c r="F660" s="32"/>
      <c r="G660" s="32"/>
    </row>
    <row r="661" ht="15.75" customHeight="1">
      <c r="A661" s="32"/>
      <c r="C661" s="32"/>
      <c r="D661" s="32"/>
      <c r="E661" s="32"/>
      <c r="F661" s="32"/>
      <c r="G661" s="32"/>
    </row>
    <row r="662" ht="15.75" customHeight="1">
      <c r="A662" s="32"/>
      <c r="C662" s="32"/>
      <c r="D662" s="32"/>
      <c r="E662" s="32"/>
      <c r="F662" s="32"/>
      <c r="G662" s="32"/>
    </row>
    <row r="663" ht="15.75" customHeight="1">
      <c r="A663" s="32"/>
      <c r="C663" s="32"/>
      <c r="D663" s="32"/>
      <c r="E663" s="32"/>
      <c r="F663" s="32"/>
      <c r="G663" s="32"/>
    </row>
    <row r="664" ht="15.75" customHeight="1">
      <c r="A664" s="32"/>
      <c r="C664" s="32"/>
      <c r="D664" s="32"/>
      <c r="E664" s="32"/>
      <c r="F664" s="32"/>
      <c r="G664" s="32"/>
    </row>
    <row r="665" ht="15.75" customHeight="1">
      <c r="A665" s="32"/>
      <c r="C665" s="32"/>
      <c r="D665" s="32"/>
      <c r="E665" s="32"/>
      <c r="F665" s="32"/>
      <c r="G665" s="32"/>
    </row>
    <row r="666" ht="15.75" customHeight="1">
      <c r="A666" s="32"/>
      <c r="C666" s="32"/>
      <c r="D666" s="32"/>
      <c r="E666" s="32"/>
      <c r="F666" s="32"/>
      <c r="G666" s="32"/>
    </row>
    <row r="667" ht="15.75" customHeight="1">
      <c r="A667" s="32"/>
      <c r="C667" s="32"/>
      <c r="D667" s="32"/>
      <c r="E667" s="32"/>
      <c r="F667" s="32"/>
      <c r="G667" s="32"/>
    </row>
    <row r="668" ht="15.75" customHeight="1">
      <c r="A668" s="32"/>
      <c r="C668" s="32"/>
      <c r="D668" s="32"/>
      <c r="E668" s="32"/>
      <c r="F668" s="32"/>
      <c r="G668" s="32"/>
    </row>
    <row r="669" ht="15.75" customHeight="1">
      <c r="A669" s="32"/>
      <c r="C669" s="32"/>
      <c r="D669" s="32"/>
      <c r="E669" s="32"/>
      <c r="F669" s="32"/>
      <c r="G669" s="32"/>
    </row>
    <row r="670" ht="15.75" customHeight="1">
      <c r="A670" s="32"/>
      <c r="C670" s="32"/>
      <c r="D670" s="32"/>
      <c r="E670" s="32"/>
      <c r="F670" s="32"/>
      <c r="G670" s="32"/>
    </row>
    <row r="671" ht="15.75" customHeight="1">
      <c r="A671" s="32"/>
      <c r="C671" s="32"/>
      <c r="D671" s="32"/>
      <c r="E671" s="32"/>
      <c r="F671" s="32"/>
      <c r="G671" s="32"/>
    </row>
    <row r="672" ht="15.75" customHeight="1">
      <c r="A672" s="32"/>
      <c r="C672" s="32"/>
      <c r="D672" s="32"/>
      <c r="E672" s="32"/>
      <c r="F672" s="32"/>
      <c r="G672" s="32"/>
    </row>
    <row r="673" ht="15.75" customHeight="1">
      <c r="A673" s="32"/>
      <c r="C673" s="32"/>
      <c r="D673" s="32"/>
      <c r="E673" s="32"/>
      <c r="F673" s="32"/>
      <c r="G673" s="32"/>
    </row>
    <row r="674" ht="15.75" customHeight="1">
      <c r="A674" s="32"/>
      <c r="C674" s="32"/>
      <c r="D674" s="32"/>
      <c r="E674" s="32"/>
      <c r="F674" s="32"/>
      <c r="G674" s="32"/>
    </row>
    <row r="675" ht="15.75" customHeight="1">
      <c r="A675" s="32"/>
      <c r="C675" s="32"/>
      <c r="D675" s="32"/>
      <c r="E675" s="32"/>
      <c r="F675" s="32"/>
      <c r="G675" s="32"/>
    </row>
    <row r="676" ht="15.75" customHeight="1">
      <c r="A676" s="32"/>
      <c r="C676" s="32"/>
      <c r="D676" s="32"/>
      <c r="E676" s="32"/>
      <c r="F676" s="32"/>
      <c r="G676" s="32"/>
    </row>
    <row r="677" ht="15.75" customHeight="1">
      <c r="A677" s="32"/>
      <c r="C677" s="32"/>
      <c r="D677" s="32"/>
      <c r="E677" s="32"/>
      <c r="F677" s="32"/>
      <c r="G677" s="32"/>
    </row>
    <row r="678" ht="15.75" customHeight="1">
      <c r="A678" s="32"/>
      <c r="C678" s="32"/>
      <c r="D678" s="32"/>
      <c r="E678" s="32"/>
      <c r="F678" s="32"/>
      <c r="G678" s="32"/>
    </row>
    <row r="679" ht="15.75" customHeight="1">
      <c r="A679" s="32"/>
      <c r="C679" s="32"/>
      <c r="D679" s="32"/>
      <c r="E679" s="32"/>
      <c r="F679" s="32"/>
      <c r="G679" s="32"/>
    </row>
    <row r="680" ht="15.75" customHeight="1">
      <c r="A680" s="32"/>
      <c r="C680" s="32"/>
      <c r="D680" s="32"/>
      <c r="E680" s="32"/>
      <c r="F680" s="32"/>
      <c r="G680" s="32"/>
    </row>
    <row r="681" ht="15.75" customHeight="1">
      <c r="A681" s="32"/>
      <c r="C681" s="32"/>
      <c r="D681" s="32"/>
      <c r="E681" s="32"/>
      <c r="F681" s="32"/>
      <c r="G681" s="32"/>
    </row>
    <row r="682" ht="15.75" customHeight="1">
      <c r="A682" s="32"/>
      <c r="C682" s="32"/>
      <c r="D682" s="32"/>
      <c r="E682" s="32"/>
      <c r="F682" s="32"/>
      <c r="G682" s="32"/>
    </row>
    <row r="683" ht="15.75" customHeight="1">
      <c r="A683" s="32"/>
      <c r="C683" s="32"/>
      <c r="D683" s="32"/>
      <c r="E683" s="32"/>
      <c r="F683" s="32"/>
      <c r="G683" s="32"/>
    </row>
    <row r="684" ht="15.75" customHeight="1">
      <c r="A684" s="32"/>
      <c r="C684" s="32"/>
      <c r="D684" s="32"/>
      <c r="E684" s="32"/>
      <c r="F684" s="32"/>
      <c r="G684" s="32"/>
    </row>
    <row r="685" ht="15.75" customHeight="1">
      <c r="A685" s="32"/>
      <c r="C685" s="32"/>
      <c r="D685" s="32"/>
      <c r="E685" s="32"/>
      <c r="F685" s="32"/>
      <c r="G685" s="32"/>
    </row>
    <row r="686" ht="15.75" customHeight="1">
      <c r="A686" s="32"/>
      <c r="C686" s="32"/>
      <c r="D686" s="32"/>
      <c r="E686" s="32"/>
      <c r="F686" s="32"/>
      <c r="G686" s="32"/>
    </row>
    <row r="687" ht="15.75" customHeight="1">
      <c r="A687" s="32"/>
      <c r="C687" s="32"/>
      <c r="D687" s="32"/>
      <c r="E687" s="32"/>
      <c r="F687" s="32"/>
      <c r="G687" s="32"/>
    </row>
    <row r="688" ht="15.75" customHeight="1">
      <c r="A688" s="32"/>
      <c r="C688" s="32"/>
      <c r="D688" s="32"/>
      <c r="E688" s="32"/>
      <c r="F688" s="32"/>
      <c r="G688" s="32"/>
    </row>
    <row r="689" ht="15.75" customHeight="1">
      <c r="A689" s="32"/>
      <c r="C689" s="32"/>
      <c r="D689" s="32"/>
      <c r="E689" s="32"/>
      <c r="F689" s="32"/>
      <c r="G689" s="32"/>
    </row>
    <row r="690" ht="15.75" customHeight="1">
      <c r="A690" s="32"/>
      <c r="C690" s="32"/>
      <c r="D690" s="32"/>
      <c r="E690" s="32"/>
      <c r="F690" s="32"/>
      <c r="G690" s="32"/>
    </row>
    <row r="691" ht="15.75" customHeight="1">
      <c r="A691" s="32"/>
      <c r="C691" s="32"/>
      <c r="D691" s="32"/>
      <c r="E691" s="32"/>
      <c r="F691" s="32"/>
      <c r="G691" s="32"/>
    </row>
    <row r="692" ht="15.75" customHeight="1">
      <c r="A692" s="32"/>
      <c r="C692" s="32"/>
      <c r="D692" s="32"/>
      <c r="E692" s="32"/>
      <c r="F692" s="32"/>
      <c r="G692" s="32"/>
    </row>
    <row r="693" ht="15.75" customHeight="1">
      <c r="A693" s="32"/>
      <c r="C693" s="32"/>
      <c r="D693" s="32"/>
      <c r="E693" s="32"/>
      <c r="F693" s="32"/>
      <c r="G693" s="32"/>
    </row>
    <row r="694" ht="15.75" customHeight="1">
      <c r="A694" s="32"/>
      <c r="C694" s="32"/>
      <c r="D694" s="32"/>
      <c r="E694" s="32"/>
      <c r="F694" s="32"/>
      <c r="G694" s="32"/>
    </row>
    <row r="695" ht="15.75" customHeight="1">
      <c r="A695" s="32"/>
      <c r="C695" s="32"/>
      <c r="D695" s="32"/>
      <c r="E695" s="32"/>
      <c r="F695" s="32"/>
      <c r="G695" s="32"/>
    </row>
    <row r="696" ht="15.75" customHeight="1">
      <c r="A696" s="32"/>
      <c r="C696" s="32"/>
      <c r="D696" s="32"/>
      <c r="E696" s="32"/>
      <c r="F696" s="32"/>
      <c r="G696" s="32"/>
    </row>
    <row r="697" ht="15.75" customHeight="1">
      <c r="A697" s="32"/>
      <c r="C697" s="32"/>
      <c r="D697" s="32"/>
      <c r="E697" s="32"/>
      <c r="F697" s="32"/>
      <c r="G697" s="32"/>
    </row>
    <row r="698" ht="15.75" customHeight="1">
      <c r="A698" s="32"/>
      <c r="C698" s="32"/>
      <c r="D698" s="32"/>
      <c r="E698" s="32"/>
      <c r="F698" s="32"/>
      <c r="G698" s="32"/>
    </row>
    <row r="699" ht="15.75" customHeight="1">
      <c r="A699" s="32"/>
      <c r="C699" s="32"/>
      <c r="D699" s="32"/>
      <c r="E699" s="32"/>
      <c r="F699" s="32"/>
      <c r="G699" s="32"/>
    </row>
    <row r="700" ht="15.75" customHeight="1">
      <c r="A700" s="32"/>
      <c r="C700" s="32"/>
      <c r="D700" s="32"/>
      <c r="E700" s="32"/>
      <c r="F700" s="32"/>
      <c r="G700" s="32"/>
    </row>
    <row r="701" ht="15.75" customHeight="1">
      <c r="A701" s="32"/>
      <c r="C701" s="32"/>
      <c r="D701" s="32"/>
      <c r="E701" s="32"/>
      <c r="F701" s="32"/>
      <c r="G701" s="32"/>
    </row>
    <row r="702" ht="15.75" customHeight="1">
      <c r="A702" s="32"/>
      <c r="C702" s="32"/>
      <c r="D702" s="32"/>
      <c r="E702" s="32"/>
      <c r="F702" s="32"/>
      <c r="G702" s="32"/>
    </row>
    <row r="703" ht="15.75" customHeight="1">
      <c r="A703" s="32"/>
      <c r="C703" s="32"/>
      <c r="D703" s="32"/>
      <c r="E703" s="32"/>
      <c r="F703" s="32"/>
      <c r="G703" s="32"/>
    </row>
    <row r="704" ht="15.75" customHeight="1">
      <c r="A704" s="32"/>
      <c r="C704" s="32"/>
      <c r="D704" s="32"/>
      <c r="E704" s="32"/>
      <c r="F704" s="32"/>
      <c r="G704" s="32"/>
    </row>
    <row r="705" ht="15.75" customHeight="1">
      <c r="A705" s="32"/>
      <c r="C705" s="32"/>
      <c r="D705" s="32"/>
      <c r="E705" s="32"/>
      <c r="F705" s="32"/>
      <c r="G705" s="32"/>
    </row>
    <row r="706" ht="15.75" customHeight="1">
      <c r="A706" s="32"/>
      <c r="C706" s="32"/>
      <c r="D706" s="32"/>
      <c r="E706" s="32"/>
      <c r="F706" s="32"/>
      <c r="G706" s="32"/>
    </row>
    <row r="707" ht="15.75" customHeight="1">
      <c r="A707" s="32"/>
      <c r="C707" s="32"/>
      <c r="D707" s="32"/>
      <c r="E707" s="32"/>
      <c r="F707" s="32"/>
      <c r="G707" s="32"/>
    </row>
    <row r="708" ht="15.75" customHeight="1">
      <c r="A708" s="32"/>
      <c r="C708" s="32"/>
      <c r="D708" s="32"/>
      <c r="E708" s="32"/>
      <c r="F708" s="32"/>
      <c r="G708" s="32"/>
    </row>
    <row r="709" ht="15.75" customHeight="1">
      <c r="A709" s="32"/>
      <c r="C709" s="32"/>
      <c r="D709" s="32"/>
      <c r="E709" s="32"/>
      <c r="F709" s="32"/>
      <c r="G709" s="32"/>
    </row>
    <row r="710" ht="15.75" customHeight="1">
      <c r="A710" s="32"/>
      <c r="C710" s="32"/>
      <c r="D710" s="32"/>
      <c r="E710" s="32"/>
      <c r="F710" s="32"/>
      <c r="G710" s="32"/>
    </row>
    <row r="711" ht="15.75" customHeight="1">
      <c r="A711" s="32"/>
      <c r="C711" s="32"/>
      <c r="D711" s="32"/>
      <c r="E711" s="32"/>
      <c r="F711" s="32"/>
      <c r="G711" s="32"/>
    </row>
    <row r="712" ht="15.75" customHeight="1">
      <c r="A712" s="32"/>
      <c r="C712" s="32"/>
      <c r="D712" s="32"/>
      <c r="E712" s="32"/>
      <c r="F712" s="32"/>
      <c r="G712" s="32"/>
    </row>
    <row r="713" ht="15.75" customHeight="1">
      <c r="A713" s="32"/>
      <c r="C713" s="32"/>
      <c r="D713" s="32"/>
      <c r="E713" s="32"/>
      <c r="F713" s="32"/>
      <c r="G713" s="32"/>
    </row>
    <row r="714" ht="15.75" customHeight="1">
      <c r="A714" s="32"/>
      <c r="C714" s="32"/>
      <c r="D714" s="32"/>
      <c r="E714" s="32"/>
      <c r="F714" s="32"/>
      <c r="G714" s="32"/>
    </row>
    <row r="715" ht="15.75" customHeight="1">
      <c r="A715" s="32"/>
      <c r="C715" s="32"/>
      <c r="D715" s="32"/>
      <c r="E715" s="32"/>
      <c r="F715" s="32"/>
      <c r="G715" s="32"/>
    </row>
    <row r="716" ht="15.75" customHeight="1">
      <c r="A716" s="32"/>
      <c r="C716" s="32"/>
      <c r="D716" s="32"/>
      <c r="E716" s="32"/>
      <c r="F716" s="32"/>
      <c r="G716" s="32"/>
    </row>
    <row r="717" ht="15.75" customHeight="1">
      <c r="A717" s="32"/>
      <c r="C717" s="32"/>
      <c r="D717" s="32"/>
      <c r="E717" s="32"/>
      <c r="F717" s="32"/>
      <c r="G717" s="32"/>
    </row>
    <row r="718" ht="15.75" customHeight="1">
      <c r="A718" s="32"/>
      <c r="C718" s="32"/>
      <c r="D718" s="32"/>
      <c r="E718" s="32"/>
      <c r="F718" s="32"/>
      <c r="G718" s="32"/>
    </row>
    <row r="719" ht="15.75" customHeight="1">
      <c r="A719" s="32"/>
      <c r="C719" s="32"/>
      <c r="D719" s="32"/>
      <c r="E719" s="32"/>
      <c r="F719" s="32"/>
      <c r="G719" s="32"/>
    </row>
    <row r="720" ht="15.75" customHeight="1">
      <c r="A720" s="32"/>
      <c r="C720" s="32"/>
      <c r="D720" s="32"/>
      <c r="E720" s="32"/>
      <c r="F720" s="32"/>
      <c r="G720" s="32"/>
    </row>
    <row r="721" ht="15.75" customHeight="1">
      <c r="A721" s="32"/>
      <c r="C721" s="32"/>
      <c r="D721" s="32"/>
      <c r="E721" s="32"/>
      <c r="F721" s="32"/>
      <c r="G721" s="32"/>
    </row>
    <row r="722" ht="15.75" customHeight="1">
      <c r="A722" s="32"/>
      <c r="C722" s="32"/>
      <c r="D722" s="32"/>
      <c r="E722" s="32"/>
      <c r="F722" s="32"/>
      <c r="G722" s="32"/>
    </row>
    <row r="723" ht="15.75" customHeight="1">
      <c r="A723" s="32"/>
      <c r="C723" s="32"/>
      <c r="D723" s="32"/>
      <c r="E723" s="32"/>
      <c r="F723" s="32"/>
      <c r="G723" s="32"/>
    </row>
    <row r="724" ht="15.75" customHeight="1">
      <c r="A724" s="32"/>
      <c r="C724" s="32"/>
      <c r="D724" s="32"/>
      <c r="E724" s="32"/>
      <c r="F724" s="32"/>
      <c r="G724" s="32"/>
    </row>
    <row r="725" ht="15.75" customHeight="1">
      <c r="A725" s="32"/>
      <c r="C725" s="32"/>
      <c r="D725" s="32"/>
      <c r="E725" s="32"/>
      <c r="F725" s="32"/>
      <c r="G725" s="32"/>
    </row>
    <row r="726" ht="15.75" customHeight="1">
      <c r="A726" s="32"/>
      <c r="C726" s="32"/>
      <c r="D726" s="32"/>
      <c r="E726" s="32"/>
      <c r="F726" s="32"/>
      <c r="G726" s="32"/>
    </row>
    <row r="727" ht="15.75" customHeight="1">
      <c r="A727" s="32"/>
      <c r="C727" s="32"/>
      <c r="D727" s="32"/>
      <c r="E727" s="32"/>
      <c r="F727" s="32"/>
      <c r="G727" s="32"/>
    </row>
    <row r="728" ht="15.75" customHeight="1">
      <c r="A728" s="32"/>
      <c r="C728" s="32"/>
      <c r="D728" s="32"/>
      <c r="E728" s="32"/>
      <c r="F728" s="32"/>
      <c r="G728" s="32"/>
    </row>
    <row r="729" ht="15.75" customHeight="1">
      <c r="A729" s="32"/>
      <c r="C729" s="32"/>
      <c r="D729" s="32"/>
      <c r="E729" s="32"/>
      <c r="F729" s="32"/>
      <c r="G729" s="32"/>
    </row>
    <row r="730" ht="15.75" customHeight="1">
      <c r="A730" s="32"/>
      <c r="C730" s="32"/>
      <c r="D730" s="32"/>
      <c r="E730" s="32"/>
      <c r="F730" s="32"/>
      <c r="G730" s="32"/>
    </row>
    <row r="731" ht="15.75" customHeight="1">
      <c r="A731" s="32"/>
      <c r="C731" s="32"/>
      <c r="D731" s="32"/>
      <c r="E731" s="32"/>
      <c r="F731" s="32"/>
      <c r="G731" s="32"/>
    </row>
    <row r="732" ht="15.75" customHeight="1">
      <c r="A732" s="32"/>
      <c r="C732" s="32"/>
      <c r="D732" s="32"/>
      <c r="E732" s="32"/>
      <c r="F732" s="32"/>
      <c r="G732" s="32"/>
    </row>
    <row r="733" ht="15.75" customHeight="1">
      <c r="A733" s="32"/>
      <c r="C733" s="32"/>
      <c r="D733" s="32"/>
      <c r="E733" s="32"/>
      <c r="F733" s="32"/>
      <c r="G733" s="32"/>
    </row>
    <row r="734" ht="15.75" customHeight="1">
      <c r="A734" s="32"/>
      <c r="C734" s="32"/>
      <c r="D734" s="32"/>
      <c r="E734" s="32"/>
      <c r="F734" s="32"/>
      <c r="G734" s="32"/>
    </row>
    <row r="735" ht="15.75" customHeight="1">
      <c r="A735" s="32"/>
      <c r="C735" s="32"/>
      <c r="D735" s="32"/>
      <c r="E735" s="32"/>
      <c r="F735" s="32"/>
      <c r="G735" s="32"/>
    </row>
    <row r="736" ht="15.75" customHeight="1">
      <c r="A736" s="32"/>
      <c r="C736" s="32"/>
      <c r="D736" s="32"/>
      <c r="E736" s="32"/>
      <c r="F736" s="32"/>
      <c r="G736" s="32"/>
    </row>
    <row r="737" ht="15.75" customHeight="1">
      <c r="A737" s="32"/>
      <c r="C737" s="32"/>
      <c r="D737" s="32"/>
      <c r="E737" s="32"/>
      <c r="F737" s="32"/>
      <c r="G737" s="32"/>
    </row>
    <row r="738" ht="15.75" customHeight="1">
      <c r="A738" s="32"/>
      <c r="C738" s="32"/>
      <c r="D738" s="32"/>
      <c r="E738" s="32"/>
      <c r="F738" s="32"/>
      <c r="G738" s="32"/>
    </row>
    <row r="739" ht="15.75" customHeight="1">
      <c r="A739" s="32"/>
      <c r="C739" s="32"/>
      <c r="D739" s="32"/>
      <c r="E739" s="32"/>
      <c r="F739" s="32"/>
      <c r="G739" s="32"/>
    </row>
    <row r="740" ht="15.75" customHeight="1">
      <c r="A740" s="32"/>
      <c r="C740" s="32"/>
      <c r="D740" s="32"/>
      <c r="E740" s="32"/>
      <c r="F740" s="32"/>
      <c r="G740" s="32"/>
    </row>
    <row r="741" ht="15.75" customHeight="1">
      <c r="A741" s="32"/>
      <c r="C741" s="32"/>
      <c r="D741" s="32"/>
      <c r="E741" s="32"/>
      <c r="F741" s="32"/>
      <c r="G741" s="32"/>
    </row>
    <row r="742" ht="15.75" customHeight="1">
      <c r="A742" s="32"/>
      <c r="C742" s="32"/>
      <c r="D742" s="32"/>
      <c r="E742" s="32"/>
      <c r="F742" s="32"/>
      <c r="G742" s="32"/>
    </row>
    <row r="743" ht="15.75" customHeight="1">
      <c r="A743" s="32"/>
      <c r="C743" s="32"/>
      <c r="D743" s="32"/>
      <c r="E743" s="32"/>
      <c r="F743" s="32"/>
      <c r="G743" s="32"/>
    </row>
    <row r="744" ht="15.75" customHeight="1">
      <c r="A744" s="32"/>
      <c r="C744" s="32"/>
      <c r="D744" s="32"/>
      <c r="E744" s="32"/>
      <c r="F744" s="32"/>
      <c r="G744" s="32"/>
    </row>
    <row r="745" ht="15.75" customHeight="1">
      <c r="A745" s="32"/>
      <c r="C745" s="32"/>
      <c r="D745" s="32"/>
      <c r="E745" s="32"/>
      <c r="F745" s="32"/>
      <c r="G745" s="32"/>
    </row>
    <row r="746" ht="15.75" customHeight="1">
      <c r="A746" s="32"/>
      <c r="C746" s="32"/>
      <c r="D746" s="32"/>
      <c r="E746" s="32"/>
      <c r="F746" s="32"/>
      <c r="G746" s="32"/>
    </row>
    <row r="747" ht="15.75" customHeight="1">
      <c r="A747" s="32"/>
      <c r="C747" s="32"/>
      <c r="D747" s="32"/>
      <c r="E747" s="32"/>
      <c r="F747" s="32"/>
      <c r="G747" s="32"/>
    </row>
    <row r="748" ht="15.75" customHeight="1">
      <c r="A748" s="32"/>
      <c r="C748" s="32"/>
      <c r="D748" s="32"/>
      <c r="E748" s="32"/>
      <c r="F748" s="32"/>
      <c r="G748" s="32"/>
    </row>
    <row r="749" ht="15.75" customHeight="1">
      <c r="A749" s="32"/>
      <c r="C749" s="32"/>
      <c r="D749" s="32"/>
      <c r="E749" s="32"/>
      <c r="F749" s="32"/>
      <c r="G749" s="32"/>
    </row>
    <row r="750" ht="15.75" customHeight="1">
      <c r="A750" s="32"/>
      <c r="C750" s="32"/>
      <c r="D750" s="32"/>
      <c r="E750" s="32"/>
      <c r="F750" s="32"/>
      <c r="G750" s="32"/>
    </row>
    <row r="751" ht="15.75" customHeight="1">
      <c r="A751" s="32"/>
      <c r="C751" s="32"/>
      <c r="D751" s="32"/>
      <c r="E751" s="32"/>
      <c r="F751" s="32"/>
      <c r="G751" s="32"/>
    </row>
    <row r="752" ht="15.75" customHeight="1">
      <c r="A752" s="32"/>
      <c r="C752" s="32"/>
      <c r="D752" s="32"/>
      <c r="E752" s="32"/>
      <c r="F752" s="32"/>
      <c r="G752" s="32"/>
    </row>
    <row r="753" ht="15.75" customHeight="1">
      <c r="A753" s="32"/>
      <c r="C753" s="32"/>
      <c r="D753" s="32"/>
      <c r="E753" s="32"/>
      <c r="F753" s="32"/>
      <c r="G753" s="32"/>
    </row>
    <row r="754" ht="15.75" customHeight="1">
      <c r="A754" s="32"/>
      <c r="C754" s="32"/>
      <c r="D754" s="32"/>
      <c r="E754" s="32"/>
      <c r="F754" s="32"/>
      <c r="G754" s="32"/>
    </row>
    <row r="755" ht="15.75" customHeight="1">
      <c r="A755" s="32"/>
      <c r="C755" s="32"/>
      <c r="D755" s="32"/>
      <c r="E755" s="32"/>
      <c r="F755" s="32"/>
      <c r="G755" s="32"/>
    </row>
    <row r="756" ht="15.75" customHeight="1">
      <c r="A756" s="32"/>
      <c r="C756" s="32"/>
      <c r="D756" s="32"/>
      <c r="E756" s="32"/>
      <c r="F756" s="32"/>
      <c r="G756" s="32"/>
    </row>
    <row r="757" ht="15.75" customHeight="1">
      <c r="A757" s="32"/>
      <c r="C757" s="32"/>
      <c r="D757" s="32"/>
      <c r="E757" s="32"/>
      <c r="F757" s="32"/>
      <c r="G757" s="32"/>
    </row>
    <row r="758" ht="15.75" customHeight="1">
      <c r="A758" s="32"/>
      <c r="C758" s="32"/>
      <c r="D758" s="32"/>
      <c r="E758" s="32"/>
      <c r="F758" s="32"/>
      <c r="G758" s="32"/>
    </row>
    <row r="759" ht="15.75" customHeight="1">
      <c r="A759" s="32"/>
      <c r="C759" s="32"/>
      <c r="D759" s="32"/>
      <c r="E759" s="32"/>
      <c r="F759" s="32"/>
      <c r="G759" s="32"/>
    </row>
    <row r="760" ht="15.75" customHeight="1">
      <c r="A760" s="32"/>
      <c r="C760" s="32"/>
      <c r="D760" s="32"/>
      <c r="E760" s="32"/>
      <c r="F760" s="32"/>
      <c r="G760" s="32"/>
    </row>
    <row r="761" ht="15.75" customHeight="1">
      <c r="A761" s="32"/>
      <c r="C761" s="32"/>
      <c r="D761" s="32"/>
      <c r="E761" s="32"/>
      <c r="F761" s="32"/>
      <c r="G761" s="32"/>
    </row>
    <row r="762" ht="15.75" customHeight="1">
      <c r="A762" s="32"/>
      <c r="C762" s="32"/>
      <c r="D762" s="32"/>
      <c r="E762" s="32"/>
      <c r="F762" s="32"/>
      <c r="G762" s="32"/>
    </row>
    <row r="763" ht="15.75" customHeight="1">
      <c r="A763" s="32"/>
      <c r="C763" s="32"/>
      <c r="D763" s="32"/>
      <c r="E763" s="32"/>
      <c r="F763" s="32"/>
      <c r="G763" s="32"/>
    </row>
    <row r="764" ht="15.75" customHeight="1">
      <c r="A764" s="32"/>
      <c r="C764" s="32"/>
      <c r="D764" s="32"/>
      <c r="E764" s="32"/>
      <c r="F764" s="32"/>
      <c r="G764" s="32"/>
    </row>
    <row r="765" ht="15.75" customHeight="1">
      <c r="A765" s="32"/>
      <c r="C765" s="32"/>
      <c r="D765" s="32"/>
      <c r="E765" s="32"/>
      <c r="F765" s="32"/>
      <c r="G765" s="32"/>
    </row>
    <row r="766" ht="15.75" customHeight="1">
      <c r="A766" s="32"/>
      <c r="C766" s="32"/>
      <c r="D766" s="32"/>
      <c r="E766" s="32"/>
      <c r="F766" s="32"/>
      <c r="G766" s="32"/>
    </row>
    <row r="767" ht="15.75" customHeight="1">
      <c r="A767" s="32"/>
      <c r="C767" s="32"/>
      <c r="D767" s="32"/>
      <c r="E767" s="32"/>
      <c r="F767" s="32"/>
      <c r="G767" s="32"/>
    </row>
    <row r="768" ht="15.75" customHeight="1">
      <c r="A768" s="32"/>
      <c r="C768" s="32"/>
      <c r="D768" s="32"/>
      <c r="E768" s="32"/>
      <c r="F768" s="32"/>
      <c r="G768" s="32"/>
    </row>
    <row r="769" ht="15.75" customHeight="1">
      <c r="A769" s="32"/>
      <c r="C769" s="32"/>
      <c r="D769" s="32"/>
      <c r="E769" s="32"/>
      <c r="F769" s="32"/>
      <c r="G769" s="32"/>
    </row>
    <row r="770" ht="15.75" customHeight="1">
      <c r="A770" s="32"/>
      <c r="C770" s="32"/>
      <c r="D770" s="32"/>
      <c r="E770" s="32"/>
      <c r="F770" s="32"/>
      <c r="G770" s="32"/>
    </row>
    <row r="771" ht="15.75" customHeight="1">
      <c r="A771" s="32"/>
      <c r="C771" s="32"/>
      <c r="D771" s="32"/>
      <c r="E771" s="32"/>
      <c r="F771" s="32"/>
      <c r="G771" s="32"/>
    </row>
    <row r="772" ht="15.75" customHeight="1">
      <c r="A772" s="32"/>
      <c r="C772" s="32"/>
      <c r="D772" s="32"/>
      <c r="E772" s="32"/>
      <c r="F772" s="32"/>
      <c r="G772" s="32"/>
    </row>
    <row r="773" ht="15.75" customHeight="1">
      <c r="A773" s="32"/>
      <c r="C773" s="32"/>
      <c r="D773" s="32"/>
      <c r="E773" s="32"/>
      <c r="F773" s="32"/>
      <c r="G773" s="32"/>
    </row>
    <row r="774" ht="15.75" customHeight="1">
      <c r="A774" s="32"/>
      <c r="C774" s="32"/>
      <c r="D774" s="32"/>
      <c r="E774" s="32"/>
      <c r="F774" s="32"/>
      <c r="G774" s="32"/>
    </row>
    <row r="775" ht="15.75" customHeight="1">
      <c r="A775" s="32"/>
      <c r="C775" s="32"/>
      <c r="D775" s="32"/>
      <c r="E775" s="32"/>
      <c r="F775" s="32"/>
      <c r="G775" s="32"/>
    </row>
    <row r="776" ht="15.75" customHeight="1">
      <c r="A776" s="32"/>
      <c r="C776" s="32"/>
      <c r="D776" s="32"/>
      <c r="E776" s="32"/>
      <c r="F776" s="32"/>
      <c r="G776" s="32"/>
    </row>
    <row r="777" ht="15.75" customHeight="1">
      <c r="A777" s="32"/>
      <c r="C777" s="32"/>
      <c r="D777" s="32"/>
      <c r="E777" s="32"/>
      <c r="F777" s="32"/>
      <c r="G777" s="32"/>
    </row>
    <row r="778" ht="15.75" customHeight="1">
      <c r="A778" s="32"/>
      <c r="C778" s="32"/>
      <c r="D778" s="32"/>
      <c r="E778" s="32"/>
      <c r="F778" s="32"/>
      <c r="G778" s="32"/>
    </row>
    <row r="779" ht="15.75" customHeight="1">
      <c r="A779" s="32"/>
      <c r="C779" s="32"/>
      <c r="D779" s="32"/>
      <c r="E779" s="32"/>
      <c r="F779" s="32"/>
      <c r="G779" s="32"/>
    </row>
    <row r="780" ht="15.75" customHeight="1">
      <c r="A780" s="32"/>
      <c r="C780" s="32"/>
      <c r="D780" s="32"/>
      <c r="E780" s="32"/>
      <c r="F780" s="32"/>
      <c r="G780" s="32"/>
    </row>
    <row r="781" ht="15.75" customHeight="1">
      <c r="A781" s="32"/>
      <c r="C781" s="32"/>
      <c r="D781" s="32"/>
      <c r="E781" s="32"/>
      <c r="F781" s="32"/>
      <c r="G781" s="32"/>
    </row>
    <row r="782" ht="15.75" customHeight="1">
      <c r="A782" s="32"/>
      <c r="C782" s="32"/>
      <c r="D782" s="32"/>
      <c r="E782" s="32"/>
      <c r="F782" s="32"/>
      <c r="G782" s="32"/>
    </row>
    <row r="783" ht="15.75" customHeight="1">
      <c r="A783" s="32"/>
      <c r="C783" s="32"/>
      <c r="D783" s="32"/>
      <c r="E783" s="32"/>
      <c r="F783" s="32"/>
      <c r="G783" s="32"/>
    </row>
    <row r="784" ht="15.75" customHeight="1">
      <c r="A784" s="32"/>
      <c r="C784" s="32"/>
      <c r="D784" s="32"/>
      <c r="E784" s="32"/>
      <c r="F784" s="32"/>
      <c r="G784" s="32"/>
    </row>
    <row r="785" ht="15.75" customHeight="1">
      <c r="A785" s="32"/>
      <c r="C785" s="32"/>
      <c r="D785" s="32"/>
      <c r="E785" s="32"/>
      <c r="F785" s="32"/>
      <c r="G785" s="32"/>
    </row>
    <row r="786" ht="15.75" customHeight="1">
      <c r="A786" s="32"/>
      <c r="C786" s="32"/>
      <c r="D786" s="32"/>
      <c r="E786" s="32"/>
      <c r="F786" s="32"/>
      <c r="G786" s="32"/>
    </row>
    <row r="787" ht="15.75" customHeight="1">
      <c r="A787" s="32"/>
      <c r="C787" s="32"/>
      <c r="D787" s="32"/>
      <c r="E787" s="32"/>
      <c r="F787" s="32"/>
      <c r="G787" s="32"/>
    </row>
    <row r="788" ht="15.75" customHeight="1">
      <c r="A788" s="32"/>
      <c r="C788" s="32"/>
      <c r="D788" s="32"/>
      <c r="E788" s="32"/>
      <c r="F788" s="32"/>
      <c r="G788" s="32"/>
    </row>
    <row r="789" ht="15.75" customHeight="1">
      <c r="A789" s="32"/>
      <c r="C789" s="32"/>
      <c r="D789" s="32"/>
      <c r="E789" s="32"/>
      <c r="F789" s="32"/>
      <c r="G789" s="32"/>
    </row>
    <row r="790" ht="15.75" customHeight="1">
      <c r="A790" s="32"/>
      <c r="C790" s="32"/>
      <c r="D790" s="32"/>
      <c r="E790" s="32"/>
      <c r="F790" s="32"/>
      <c r="G790" s="32"/>
    </row>
    <row r="791" ht="15.75" customHeight="1">
      <c r="A791" s="32"/>
      <c r="C791" s="32"/>
      <c r="D791" s="32"/>
      <c r="E791" s="32"/>
      <c r="F791" s="32"/>
      <c r="G791" s="32"/>
    </row>
    <row r="792" ht="15.75" customHeight="1">
      <c r="A792" s="32"/>
      <c r="C792" s="32"/>
      <c r="D792" s="32"/>
      <c r="E792" s="32"/>
      <c r="F792" s="32"/>
      <c r="G792" s="32"/>
    </row>
    <row r="793" ht="15.75" customHeight="1">
      <c r="A793" s="32"/>
      <c r="C793" s="32"/>
      <c r="D793" s="32"/>
      <c r="E793" s="32"/>
      <c r="F793" s="32"/>
      <c r="G793" s="32"/>
    </row>
    <row r="794" ht="15.75" customHeight="1">
      <c r="A794" s="32"/>
      <c r="C794" s="32"/>
      <c r="D794" s="32"/>
      <c r="E794" s="32"/>
      <c r="F794" s="32"/>
      <c r="G794" s="32"/>
    </row>
    <row r="795" ht="15.75" customHeight="1">
      <c r="A795" s="32"/>
      <c r="C795" s="32"/>
      <c r="D795" s="32"/>
      <c r="E795" s="32"/>
      <c r="F795" s="32"/>
      <c r="G795" s="32"/>
    </row>
    <row r="796" ht="15.75" customHeight="1">
      <c r="A796" s="32"/>
      <c r="C796" s="32"/>
      <c r="D796" s="32"/>
      <c r="E796" s="32"/>
      <c r="F796" s="32"/>
      <c r="G796" s="32"/>
    </row>
    <row r="797" ht="15.75" customHeight="1">
      <c r="A797" s="32"/>
      <c r="C797" s="32"/>
      <c r="D797" s="32"/>
      <c r="E797" s="32"/>
      <c r="F797" s="32"/>
      <c r="G797" s="32"/>
    </row>
    <row r="798" ht="15.75" customHeight="1">
      <c r="A798" s="32"/>
      <c r="C798" s="32"/>
      <c r="D798" s="32"/>
      <c r="E798" s="32"/>
      <c r="F798" s="32"/>
      <c r="G798" s="32"/>
    </row>
    <row r="799" ht="15.75" customHeight="1">
      <c r="A799" s="32"/>
      <c r="C799" s="32"/>
      <c r="D799" s="32"/>
      <c r="E799" s="32"/>
      <c r="F799" s="32"/>
      <c r="G799" s="32"/>
    </row>
    <row r="800" ht="15.75" customHeight="1">
      <c r="A800" s="32"/>
      <c r="C800" s="32"/>
      <c r="D800" s="32"/>
      <c r="E800" s="32"/>
      <c r="F800" s="32"/>
      <c r="G800" s="32"/>
    </row>
    <row r="801" ht="15.75" customHeight="1">
      <c r="A801" s="32"/>
      <c r="C801" s="32"/>
      <c r="D801" s="32"/>
      <c r="E801" s="32"/>
      <c r="F801" s="32"/>
      <c r="G801" s="32"/>
    </row>
    <row r="802" ht="15.75" customHeight="1">
      <c r="A802" s="32"/>
      <c r="C802" s="32"/>
      <c r="D802" s="32"/>
      <c r="E802" s="32"/>
      <c r="F802" s="32"/>
      <c r="G802" s="32"/>
    </row>
    <row r="803" ht="15.75" customHeight="1">
      <c r="A803" s="32"/>
      <c r="C803" s="32"/>
      <c r="D803" s="32"/>
      <c r="E803" s="32"/>
      <c r="F803" s="32"/>
      <c r="G803" s="32"/>
    </row>
    <row r="804" ht="15.75" customHeight="1">
      <c r="A804" s="32"/>
      <c r="C804" s="32"/>
      <c r="D804" s="32"/>
      <c r="E804" s="32"/>
      <c r="F804" s="32"/>
      <c r="G804" s="32"/>
    </row>
    <row r="805" ht="15.75" customHeight="1">
      <c r="A805" s="32"/>
      <c r="C805" s="32"/>
      <c r="D805" s="32"/>
      <c r="E805" s="32"/>
      <c r="F805" s="32"/>
      <c r="G805" s="32"/>
    </row>
    <row r="806" ht="15.75" customHeight="1">
      <c r="A806" s="32"/>
      <c r="C806" s="32"/>
      <c r="D806" s="32"/>
      <c r="E806" s="32"/>
      <c r="F806" s="32"/>
      <c r="G806" s="32"/>
    </row>
    <row r="807" ht="15.75" customHeight="1">
      <c r="A807" s="32"/>
      <c r="C807" s="32"/>
      <c r="D807" s="32"/>
      <c r="E807" s="32"/>
      <c r="F807" s="32"/>
      <c r="G807" s="32"/>
    </row>
    <row r="808" ht="15.75" customHeight="1">
      <c r="A808" s="32"/>
      <c r="C808" s="32"/>
      <c r="D808" s="32"/>
      <c r="E808" s="32"/>
      <c r="F808" s="32"/>
      <c r="G808" s="32"/>
    </row>
    <row r="809" ht="15.75" customHeight="1">
      <c r="A809" s="32"/>
      <c r="C809" s="32"/>
      <c r="D809" s="32"/>
      <c r="E809" s="32"/>
      <c r="F809" s="32"/>
      <c r="G809" s="32"/>
    </row>
    <row r="810" ht="15.75" customHeight="1">
      <c r="A810" s="32"/>
      <c r="C810" s="32"/>
      <c r="D810" s="32"/>
      <c r="E810" s="32"/>
      <c r="F810" s="32"/>
      <c r="G810" s="32"/>
    </row>
    <row r="811" ht="15.75" customHeight="1">
      <c r="A811" s="32"/>
      <c r="C811" s="32"/>
      <c r="D811" s="32"/>
      <c r="E811" s="32"/>
      <c r="F811" s="32"/>
      <c r="G811" s="32"/>
    </row>
    <row r="812" ht="15.75" customHeight="1">
      <c r="A812" s="32"/>
      <c r="C812" s="32"/>
      <c r="D812" s="32"/>
      <c r="E812" s="32"/>
      <c r="F812" s="32"/>
      <c r="G812" s="32"/>
    </row>
    <row r="813" ht="15.75" customHeight="1">
      <c r="A813" s="32"/>
      <c r="C813" s="32"/>
      <c r="D813" s="32"/>
      <c r="E813" s="32"/>
      <c r="F813" s="32"/>
      <c r="G813" s="32"/>
    </row>
    <row r="814" ht="15.75" customHeight="1">
      <c r="A814" s="32"/>
      <c r="C814" s="32"/>
      <c r="D814" s="32"/>
      <c r="E814" s="32"/>
      <c r="F814" s="32"/>
      <c r="G814" s="32"/>
    </row>
    <row r="815" ht="15.75" customHeight="1">
      <c r="A815" s="32"/>
      <c r="C815" s="32"/>
      <c r="D815" s="32"/>
      <c r="E815" s="32"/>
      <c r="F815" s="32"/>
      <c r="G815" s="32"/>
    </row>
    <row r="816" ht="15.75" customHeight="1">
      <c r="A816" s="32"/>
      <c r="C816" s="32"/>
      <c r="D816" s="32"/>
      <c r="E816" s="32"/>
      <c r="F816" s="32"/>
      <c r="G816" s="32"/>
    </row>
    <row r="817" ht="15.75" customHeight="1">
      <c r="A817" s="32"/>
      <c r="C817" s="32"/>
      <c r="D817" s="32"/>
      <c r="E817" s="32"/>
      <c r="F817" s="32"/>
      <c r="G817" s="32"/>
    </row>
    <row r="818" ht="15.75" customHeight="1">
      <c r="A818" s="32"/>
      <c r="C818" s="32"/>
      <c r="D818" s="32"/>
      <c r="E818" s="32"/>
      <c r="F818" s="32"/>
      <c r="G818" s="32"/>
    </row>
    <row r="819" ht="15.75" customHeight="1">
      <c r="A819" s="32"/>
      <c r="C819" s="32"/>
      <c r="D819" s="32"/>
      <c r="E819" s="32"/>
      <c r="F819" s="32"/>
      <c r="G819" s="32"/>
    </row>
    <row r="820" ht="15.75" customHeight="1">
      <c r="A820" s="32"/>
      <c r="C820" s="32"/>
      <c r="D820" s="32"/>
      <c r="E820" s="32"/>
      <c r="F820" s="32"/>
      <c r="G820" s="32"/>
    </row>
    <row r="821" ht="15.75" customHeight="1">
      <c r="A821" s="32"/>
      <c r="C821" s="32"/>
      <c r="D821" s="32"/>
      <c r="E821" s="32"/>
      <c r="F821" s="32"/>
      <c r="G821" s="32"/>
    </row>
    <row r="822" ht="15.75" customHeight="1">
      <c r="A822" s="32"/>
      <c r="C822" s="32"/>
      <c r="D822" s="32"/>
      <c r="E822" s="32"/>
      <c r="F822" s="32"/>
      <c r="G822" s="32"/>
    </row>
    <row r="823" ht="15.75" customHeight="1">
      <c r="A823" s="32"/>
      <c r="C823" s="32"/>
      <c r="D823" s="32"/>
      <c r="E823" s="32"/>
      <c r="F823" s="32"/>
      <c r="G823" s="32"/>
    </row>
    <row r="824" ht="15.75" customHeight="1">
      <c r="A824" s="32"/>
      <c r="C824" s="32"/>
      <c r="D824" s="32"/>
      <c r="E824" s="32"/>
      <c r="F824" s="32"/>
      <c r="G824" s="32"/>
    </row>
    <row r="825" ht="15.75" customHeight="1">
      <c r="A825" s="32"/>
      <c r="C825" s="32"/>
      <c r="D825" s="32"/>
      <c r="E825" s="32"/>
      <c r="F825" s="32"/>
      <c r="G825" s="32"/>
    </row>
    <row r="826" ht="15.75" customHeight="1">
      <c r="A826" s="32"/>
      <c r="C826" s="32"/>
      <c r="D826" s="32"/>
      <c r="E826" s="32"/>
      <c r="F826" s="32"/>
      <c r="G826" s="32"/>
    </row>
    <row r="827" ht="15.75" customHeight="1">
      <c r="A827" s="32"/>
      <c r="C827" s="32"/>
      <c r="D827" s="32"/>
      <c r="E827" s="32"/>
      <c r="F827" s="32"/>
      <c r="G827" s="32"/>
    </row>
    <row r="828" ht="15.75" customHeight="1">
      <c r="A828" s="32"/>
      <c r="C828" s="32"/>
      <c r="D828" s="32"/>
      <c r="E828" s="32"/>
      <c r="F828" s="32"/>
      <c r="G828" s="32"/>
    </row>
    <row r="829" ht="15.75" customHeight="1">
      <c r="A829" s="32"/>
      <c r="C829" s="32"/>
      <c r="D829" s="32"/>
      <c r="E829" s="32"/>
      <c r="F829" s="32"/>
      <c r="G829" s="32"/>
    </row>
    <row r="830" ht="15.75" customHeight="1">
      <c r="A830" s="32"/>
      <c r="C830" s="32"/>
      <c r="D830" s="32"/>
      <c r="E830" s="32"/>
      <c r="F830" s="32"/>
      <c r="G830" s="32"/>
    </row>
    <row r="831" ht="15.75" customHeight="1">
      <c r="A831" s="32"/>
      <c r="C831" s="32"/>
      <c r="D831" s="32"/>
      <c r="E831" s="32"/>
      <c r="F831" s="32"/>
      <c r="G831" s="32"/>
    </row>
    <row r="832" ht="15.75" customHeight="1">
      <c r="A832" s="32"/>
      <c r="C832" s="32"/>
      <c r="D832" s="32"/>
      <c r="E832" s="32"/>
      <c r="F832" s="32"/>
      <c r="G832" s="32"/>
    </row>
    <row r="833" ht="15.75" customHeight="1">
      <c r="A833" s="32"/>
      <c r="C833" s="32"/>
      <c r="D833" s="32"/>
      <c r="E833" s="32"/>
      <c r="F833" s="32"/>
      <c r="G833" s="32"/>
    </row>
    <row r="834" ht="15.75" customHeight="1">
      <c r="A834" s="32"/>
      <c r="C834" s="32"/>
      <c r="D834" s="32"/>
      <c r="E834" s="32"/>
      <c r="F834" s="32"/>
      <c r="G834" s="32"/>
    </row>
    <row r="835" ht="15.75" customHeight="1">
      <c r="A835" s="32"/>
      <c r="C835" s="32"/>
      <c r="D835" s="32"/>
      <c r="E835" s="32"/>
      <c r="F835" s="32"/>
      <c r="G835" s="32"/>
    </row>
    <row r="836" ht="15.75" customHeight="1">
      <c r="A836" s="32"/>
      <c r="C836" s="32"/>
      <c r="D836" s="32"/>
      <c r="E836" s="32"/>
      <c r="F836" s="32"/>
      <c r="G836" s="32"/>
    </row>
    <row r="837" ht="15.75" customHeight="1">
      <c r="A837" s="32"/>
      <c r="C837" s="32"/>
      <c r="D837" s="32"/>
      <c r="E837" s="32"/>
      <c r="F837" s="32"/>
      <c r="G837" s="32"/>
    </row>
    <row r="838" ht="15.75" customHeight="1">
      <c r="A838" s="32"/>
      <c r="C838" s="32"/>
      <c r="D838" s="32"/>
      <c r="E838" s="32"/>
      <c r="F838" s="32"/>
      <c r="G838" s="32"/>
    </row>
    <row r="839" ht="15.75" customHeight="1">
      <c r="A839" s="32"/>
      <c r="C839" s="32"/>
      <c r="D839" s="32"/>
      <c r="E839" s="32"/>
      <c r="F839" s="32"/>
      <c r="G839" s="32"/>
    </row>
    <row r="840" ht="15.75" customHeight="1">
      <c r="A840" s="32"/>
      <c r="C840" s="32"/>
      <c r="D840" s="32"/>
      <c r="E840" s="32"/>
      <c r="F840" s="32"/>
      <c r="G840" s="32"/>
    </row>
    <row r="841" ht="15.75" customHeight="1">
      <c r="A841" s="32"/>
      <c r="C841" s="32"/>
      <c r="D841" s="32"/>
      <c r="E841" s="32"/>
      <c r="F841" s="32"/>
      <c r="G841" s="32"/>
    </row>
    <row r="842" ht="15.75" customHeight="1">
      <c r="A842" s="32"/>
      <c r="C842" s="32"/>
      <c r="D842" s="32"/>
      <c r="E842" s="32"/>
      <c r="F842" s="32"/>
      <c r="G842" s="32"/>
    </row>
    <row r="843" ht="15.75" customHeight="1">
      <c r="A843" s="32"/>
      <c r="C843" s="32"/>
      <c r="D843" s="32"/>
      <c r="E843" s="32"/>
      <c r="F843" s="32"/>
      <c r="G843" s="32"/>
    </row>
    <row r="844" ht="15.75" customHeight="1">
      <c r="A844" s="32"/>
      <c r="C844" s="32"/>
      <c r="D844" s="32"/>
      <c r="E844" s="32"/>
      <c r="F844" s="32"/>
      <c r="G844" s="32"/>
    </row>
    <row r="845" ht="15.75" customHeight="1">
      <c r="A845" s="32"/>
      <c r="C845" s="32"/>
      <c r="D845" s="32"/>
      <c r="E845" s="32"/>
      <c r="F845" s="32"/>
      <c r="G845" s="32"/>
    </row>
    <row r="846" ht="15.75" customHeight="1">
      <c r="A846" s="32"/>
      <c r="C846" s="32"/>
      <c r="D846" s="32"/>
      <c r="E846" s="32"/>
      <c r="F846" s="32"/>
      <c r="G846" s="32"/>
    </row>
    <row r="847" ht="15.75" customHeight="1">
      <c r="A847" s="32"/>
      <c r="C847" s="32"/>
      <c r="D847" s="32"/>
      <c r="E847" s="32"/>
      <c r="F847" s="32"/>
      <c r="G847" s="32"/>
    </row>
    <row r="848" ht="15.75" customHeight="1">
      <c r="A848" s="32"/>
      <c r="C848" s="32"/>
      <c r="D848" s="32"/>
      <c r="E848" s="32"/>
      <c r="F848" s="32"/>
      <c r="G848" s="32"/>
    </row>
    <row r="849" ht="15.75" customHeight="1">
      <c r="A849" s="32"/>
      <c r="C849" s="32"/>
      <c r="D849" s="32"/>
      <c r="E849" s="32"/>
      <c r="F849" s="32"/>
      <c r="G849" s="32"/>
    </row>
    <row r="850" ht="15.75" customHeight="1">
      <c r="A850" s="32"/>
      <c r="C850" s="32"/>
      <c r="D850" s="32"/>
      <c r="E850" s="32"/>
      <c r="F850" s="32"/>
      <c r="G850" s="32"/>
    </row>
    <row r="851" ht="15.75" customHeight="1">
      <c r="A851" s="32"/>
      <c r="C851" s="32"/>
      <c r="D851" s="32"/>
      <c r="E851" s="32"/>
      <c r="F851" s="32"/>
      <c r="G851" s="32"/>
    </row>
    <row r="852" ht="15.75" customHeight="1">
      <c r="A852" s="32"/>
      <c r="C852" s="32"/>
      <c r="D852" s="32"/>
      <c r="E852" s="32"/>
      <c r="F852" s="32"/>
      <c r="G852" s="32"/>
    </row>
    <row r="853" ht="15.75" customHeight="1">
      <c r="A853" s="32"/>
      <c r="C853" s="32"/>
      <c r="D853" s="32"/>
      <c r="E853" s="32"/>
      <c r="F853" s="32"/>
      <c r="G853" s="32"/>
    </row>
    <row r="854" ht="15.75" customHeight="1">
      <c r="A854" s="32"/>
      <c r="C854" s="32"/>
      <c r="D854" s="32"/>
      <c r="E854" s="32"/>
      <c r="F854" s="32"/>
      <c r="G854" s="32"/>
    </row>
    <row r="855" ht="15.75" customHeight="1">
      <c r="A855" s="32"/>
      <c r="C855" s="32"/>
      <c r="D855" s="32"/>
      <c r="E855" s="32"/>
      <c r="F855" s="32"/>
      <c r="G855" s="32"/>
    </row>
    <row r="856" ht="15.75" customHeight="1">
      <c r="A856" s="32"/>
      <c r="C856" s="32"/>
      <c r="D856" s="32"/>
      <c r="E856" s="32"/>
      <c r="F856" s="32"/>
      <c r="G856" s="32"/>
    </row>
    <row r="857" ht="15.75" customHeight="1">
      <c r="A857" s="32"/>
      <c r="C857" s="32"/>
      <c r="D857" s="32"/>
      <c r="E857" s="32"/>
      <c r="F857" s="32"/>
      <c r="G857" s="32"/>
    </row>
    <row r="858" ht="15.75" customHeight="1">
      <c r="A858" s="32"/>
      <c r="C858" s="32"/>
      <c r="D858" s="32"/>
      <c r="E858" s="32"/>
      <c r="F858" s="32"/>
      <c r="G858" s="32"/>
    </row>
    <row r="859" ht="15.75" customHeight="1">
      <c r="A859" s="32"/>
      <c r="C859" s="32"/>
      <c r="D859" s="32"/>
      <c r="E859" s="32"/>
      <c r="F859" s="32"/>
      <c r="G859" s="32"/>
    </row>
    <row r="860" ht="15.75" customHeight="1">
      <c r="A860" s="32"/>
      <c r="C860" s="32"/>
      <c r="D860" s="32"/>
      <c r="E860" s="32"/>
      <c r="F860" s="32"/>
      <c r="G860" s="32"/>
    </row>
    <row r="861" ht="15.75" customHeight="1">
      <c r="A861" s="32"/>
      <c r="C861" s="32"/>
      <c r="D861" s="32"/>
      <c r="E861" s="32"/>
      <c r="F861" s="32"/>
      <c r="G861" s="32"/>
    </row>
    <row r="862" ht="15.75" customHeight="1">
      <c r="A862" s="32"/>
      <c r="C862" s="32"/>
      <c r="D862" s="32"/>
      <c r="E862" s="32"/>
      <c r="F862" s="32"/>
      <c r="G862" s="32"/>
    </row>
    <row r="863" ht="15.75" customHeight="1">
      <c r="A863" s="32"/>
      <c r="C863" s="32"/>
      <c r="D863" s="32"/>
      <c r="E863" s="32"/>
      <c r="F863" s="32"/>
      <c r="G863" s="32"/>
    </row>
    <row r="864" ht="15.75" customHeight="1">
      <c r="A864" s="32"/>
      <c r="C864" s="32"/>
      <c r="D864" s="32"/>
      <c r="E864" s="32"/>
      <c r="F864" s="32"/>
      <c r="G864" s="32"/>
    </row>
    <row r="865" ht="15.75" customHeight="1">
      <c r="A865" s="32"/>
      <c r="C865" s="32"/>
      <c r="D865" s="32"/>
      <c r="E865" s="32"/>
      <c r="F865" s="32"/>
      <c r="G865" s="32"/>
    </row>
    <row r="866" ht="15.75" customHeight="1">
      <c r="A866" s="32"/>
      <c r="C866" s="32"/>
      <c r="D866" s="32"/>
      <c r="E866" s="32"/>
      <c r="F866" s="32"/>
      <c r="G866" s="32"/>
    </row>
    <row r="867" ht="15.75" customHeight="1">
      <c r="A867" s="32"/>
      <c r="C867" s="32"/>
      <c r="D867" s="32"/>
      <c r="E867" s="32"/>
      <c r="F867" s="32"/>
      <c r="G867" s="32"/>
    </row>
    <row r="868" ht="15.75" customHeight="1">
      <c r="A868" s="32"/>
      <c r="C868" s="32"/>
      <c r="D868" s="32"/>
      <c r="E868" s="32"/>
      <c r="F868" s="32"/>
      <c r="G868" s="32"/>
    </row>
    <row r="869" ht="15.75" customHeight="1">
      <c r="A869" s="32"/>
      <c r="C869" s="32"/>
      <c r="D869" s="32"/>
      <c r="E869" s="32"/>
      <c r="F869" s="32"/>
      <c r="G869" s="32"/>
    </row>
    <row r="870" ht="15.75" customHeight="1">
      <c r="A870" s="32"/>
      <c r="C870" s="32"/>
      <c r="D870" s="32"/>
      <c r="E870" s="32"/>
      <c r="F870" s="32"/>
      <c r="G870" s="32"/>
    </row>
    <row r="871" ht="15.75" customHeight="1">
      <c r="A871" s="32"/>
      <c r="C871" s="32"/>
      <c r="D871" s="32"/>
      <c r="E871" s="32"/>
      <c r="F871" s="32"/>
      <c r="G871" s="32"/>
    </row>
    <row r="872" ht="15.75" customHeight="1">
      <c r="A872" s="32"/>
      <c r="C872" s="32"/>
      <c r="D872" s="32"/>
      <c r="E872" s="32"/>
      <c r="F872" s="32"/>
      <c r="G872" s="32"/>
    </row>
    <row r="873" ht="15.75" customHeight="1">
      <c r="A873" s="32"/>
      <c r="C873" s="32"/>
      <c r="D873" s="32"/>
      <c r="E873" s="32"/>
      <c r="F873" s="32"/>
      <c r="G873" s="32"/>
    </row>
    <row r="874" ht="15.75" customHeight="1">
      <c r="A874" s="32"/>
      <c r="C874" s="32"/>
      <c r="D874" s="32"/>
      <c r="E874" s="32"/>
      <c r="F874" s="32"/>
      <c r="G874" s="32"/>
    </row>
    <row r="875" ht="15.75" customHeight="1">
      <c r="A875" s="32"/>
      <c r="C875" s="32"/>
      <c r="D875" s="32"/>
      <c r="E875" s="32"/>
      <c r="F875" s="32"/>
      <c r="G875" s="32"/>
    </row>
    <row r="876" ht="15.75" customHeight="1">
      <c r="A876" s="32"/>
      <c r="C876" s="32"/>
      <c r="D876" s="32"/>
      <c r="E876" s="32"/>
      <c r="F876" s="32"/>
      <c r="G876" s="32"/>
    </row>
    <row r="877" ht="15.75" customHeight="1">
      <c r="A877" s="32"/>
      <c r="C877" s="32"/>
      <c r="D877" s="32"/>
      <c r="E877" s="32"/>
      <c r="F877" s="32"/>
      <c r="G877" s="32"/>
    </row>
    <row r="878" ht="15.75" customHeight="1">
      <c r="A878" s="32"/>
      <c r="C878" s="32"/>
      <c r="D878" s="32"/>
      <c r="E878" s="32"/>
      <c r="F878" s="32"/>
      <c r="G878" s="32"/>
    </row>
    <row r="879" ht="15.75" customHeight="1">
      <c r="A879" s="32"/>
      <c r="C879" s="32"/>
      <c r="D879" s="32"/>
      <c r="E879" s="32"/>
      <c r="F879" s="32"/>
      <c r="G879" s="32"/>
    </row>
    <row r="880" ht="15.75" customHeight="1">
      <c r="A880" s="32"/>
      <c r="C880" s="32"/>
      <c r="D880" s="32"/>
      <c r="E880" s="32"/>
      <c r="F880" s="32"/>
      <c r="G880" s="32"/>
    </row>
    <row r="881" ht="15.75" customHeight="1">
      <c r="A881" s="32"/>
      <c r="C881" s="32"/>
      <c r="D881" s="32"/>
      <c r="E881" s="32"/>
      <c r="F881" s="32"/>
      <c r="G881" s="32"/>
    </row>
    <row r="882" ht="15.75" customHeight="1">
      <c r="A882" s="32"/>
      <c r="C882" s="32"/>
      <c r="D882" s="32"/>
      <c r="E882" s="32"/>
      <c r="F882" s="32"/>
      <c r="G882" s="32"/>
    </row>
    <row r="883" ht="15.75" customHeight="1">
      <c r="A883" s="32"/>
      <c r="C883" s="32"/>
      <c r="D883" s="32"/>
      <c r="E883" s="32"/>
      <c r="F883" s="32"/>
      <c r="G883" s="32"/>
    </row>
    <row r="884" ht="15.75" customHeight="1">
      <c r="A884" s="32"/>
      <c r="C884" s="32"/>
      <c r="D884" s="32"/>
      <c r="E884" s="32"/>
      <c r="F884" s="32"/>
      <c r="G884" s="32"/>
    </row>
    <row r="885" ht="15.75" customHeight="1">
      <c r="A885" s="32"/>
      <c r="C885" s="32"/>
      <c r="D885" s="32"/>
      <c r="E885" s="32"/>
      <c r="F885" s="32"/>
      <c r="G885" s="32"/>
    </row>
    <row r="886" ht="15.75" customHeight="1">
      <c r="A886" s="32"/>
      <c r="C886" s="32"/>
      <c r="D886" s="32"/>
      <c r="E886" s="32"/>
      <c r="F886" s="32"/>
      <c r="G886" s="32"/>
    </row>
    <row r="887" ht="15.75" customHeight="1">
      <c r="A887" s="32"/>
      <c r="C887" s="32"/>
      <c r="D887" s="32"/>
      <c r="E887" s="32"/>
      <c r="F887" s="32"/>
      <c r="G887" s="32"/>
    </row>
    <row r="888" ht="15.75" customHeight="1">
      <c r="A888" s="32"/>
      <c r="C888" s="32"/>
      <c r="D888" s="32"/>
      <c r="E888" s="32"/>
      <c r="F888" s="32"/>
      <c r="G888" s="32"/>
    </row>
    <row r="889" ht="15.75" customHeight="1">
      <c r="A889" s="32"/>
      <c r="C889" s="32"/>
      <c r="D889" s="32"/>
      <c r="E889" s="32"/>
      <c r="F889" s="32"/>
      <c r="G889" s="32"/>
    </row>
    <row r="890" ht="15.75" customHeight="1">
      <c r="A890" s="32"/>
      <c r="C890" s="32"/>
      <c r="D890" s="32"/>
      <c r="E890" s="32"/>
      <c r="F890" s="32"/>
      <c r="G890" s="32"/>
    </row>
    <row r="891" ht="15.75" customHeight="1">
      <c r="A891" s="32"/>
      <c r="C891" s="32"/>
      <c r="D891" s="32"/>
      <c r="E891" s="32"/>
      <c r="F891" s="32"/>
      <c r="G891" s="32"/>
    </row>
    <row r="892" ht="15.75" customHeight="1">
      <c r="A892" s="32"/>
      <c r="C892" s="32"/>
      <c r="D892" s="32"/>
      <c r="E892" s="32"/>
      <c r="F892" s="32"/>
      <c r="G892" s="32"/>
    </row>
    <row r="893" ht="15.75" customHeight="1">
      <c r="A893" s="32"/>
      <c r="C893" s="32"/>
      <c r="D893" s="32"/>
      <c r="E893" s="32"/>
      <c r="F893" s="32"/>
      <c r="G893" s="32"/>
    </row>
    <row r="894" ht="15.75" customHeight="1">
      <c r="A894" s="32"/>
      <c r="C894" s="32"/>
      <c r="D894" s="32"/>
      <c r="E894" s="32"/>
      <c r="F894" s="32"/>
      <c r="G894" s="32"/>
    </row>
    <row r="895" ht="15.75" customHeight="1">
      <c r="A895" s="32"/>
      <c r="C895" s="32"/>
      <c r="D895" s="32"/>
      <c r="E895" s="32"/>
      <c r="F895" s="32"/>
      <c r="G895" s="32"/>
    </row>
    <row r="896" ht="15.75" customHeight="1">
      <c r="A896" s="32"/>
      <c r="C896" s="32"/>
      <c r="D896" s="32"/>
      <c r="E896" s="32"/>
      <c r="F896" s="32"/>
      <c r="G896" s="32"/>
    </row>
    <row r="897" ht="15.75" customHeight="1">
      <c r="A897" s="32"/>
      <c r="C897" s="32"/>
      <c r="D897" s="32"/>
      <c r="E897" s="32"/>
      <c r="F897" s="32"/>
      <c r="G897" s="32"/>
    </row>
    <row r="898" ht="15.75" customHeight="1">
      <c r="A898" s="32"/>
      <c r="C898" s="32"/>
      <c r="D898" s="32"/>
      <c r="E898" s="32"/>
      <c r="F898" s="32"/>
      <c r="G898" s="32"/>
    </row>
    <row r="899" ht="15.75" customHeight="1">
      <c r="A899" s="32"/>
      <c r="C899" s="32"/>
      <c r="D899" s="32"/>
      <c r="E899" s="32"/>
      <c r="F899" s="32"/>
      <c r="G899" s="32"/>
    </row>
    <row r="900" ht="15.75" customHeight="1">
      <c r="A900" s="32"/>
      <c r="C900" s="32"/>
      <c r="D900" s="32"/>
      <c r="E900" s="32"/>
      <c r="F900" s="32"/>
      <c r="G900" s="32"/>
    </row>
    <row r="901" ht="15.75" customHeight="1">
      <c r="A901" s="32"/>
      <c r="C901" s="32"/>
      <c r="D901" s="32"/>
      <c r="E901" s="32"/>
      <c r="F901" s="32"/>
      <c r="G901" s="32"/>
    </row>
    <row r="902" ht="15.75" customHeight="1">
      <c r="A902" s="32"/>
      <c r="C902" s="32"/>
      <c r="D902" s="32"/>
      <c r="E902" s="32"/>
      <c r="F902" s="32"/>
      <c r="G902" s="32"/>
    </row>
    <row r="903" ht="15.75" customHeight="1">
      <c r="A903" s="32"/>
      <c r="C903" s="32"/>
      <c r="D903" s="32"/>
      <c r="E903" s="32"/>
      <c r="F903" s="32"/>
      <c r="G903" s="32"/>
    </row>
    <row r="904" ht="15.75" customHeight="1">
      <c r="A904" s="32"/>
      <c r="C904" s="32"/>
      <c r="D904" s="32"/>
      <c r="E904" s="32"/>
      <c r="F904" s="32"/>
      <c r="G904" s="32"/>
    </row>
    <row r="905" ht="15.75" customHeight="1">
      <c r="A905" s="32"/>
      <c r="C905" s="32"/>
      <c r="D905" s="32"/>
      <c r="E905" s="32"/>
      <c r="F905" s="32"/>
      <c r="G905" s="32"/>
    </row>
    <row r="906" ht="15.75" customHeight="1">
      <c r="A906" s="32"/>
      <c r="C906" s="32"/>
      <c r="D906" s="32"/>
      <c r="E906" s="32"/>
      <c r="F906" s="32"/>
      <c r="G906" s="32"/>
    </row>
    <row r="907" ht="15.75" customHeight="1">
      <c r="A907" s="32"/>
      <c r="C907" s="32"/>
      <c r="D907" s="32"/>
      <c r="E907" s="32"/>
      <c r="F907" s="32"/>
      <c r="G907" s="32"/>
    </row>
    <row r="908" ht="15.75" customHeight="1">
      <c r="A908" s="32"/>
      <c r="C908" s="32"/>
      <c r="D908" s="32"/>
      <c r="E908" s="32"/>
      <c r="F908" s="32"/>
      <c r="G908" s="32"/>
    </row>
    <row r="909" ht="15.75" customHeight="1">
      <c r="A909" s="32"/>
      <c r="C909" s="32"/>
      <c r="D909" s="32"/>
      <c r="E909" s="32"/>
      <c r="F909" s="32"/>
      <c r="G909" s="32"/>
    </row>
    <row r="910" ht="15.75" customHeight="1">
      <c r="A910" s="32"/>
      <c r="C910" s="32"/>
      <c r="D910" s="32"/>
      <c r="E910" s="32"/>
      <c r="F910" s="32"/>
      <c r="G910" s="32"/>
    </row>
    <row r="911" ht="15.75" customHeight="1">
      <c r="A911" s="32"/>
      <c r="C911" s="32"/>
      <c r="D911" s="32"/>
      <c r="E911" s="32"/>
      <c r="F911" s="32"/>
      <c r="G911" s="32"/>
    </row>
    <row r="912" ht="15.75" customHeight="1">
      <c r="A912" s="32"/>
      <c r="C912" s="32"/>
      <c r="D912" s="32"/>
      <c r="E912" s="32"/>
      <c r="F912" s="32"/>
      <c r="G912" s="32"/>
    </row>
    <row r="913" ht="15.75" customHeight="1">
      <c r="A913" s="32"/>
      <c r="C913" s="32"/>
      <c r="D913" s="32"/>
      <c r="E913" s="32"/>
      <c r="F913" s="32"/>
      <c r="G913" s="32"/>
    </row>
    <row r="914" ht="15.75" customHeight="1">
      <c r="A914" s="32"/>
      <c r="C914" s="32"/>
      <c r="D914" s="32"/>
      <c r="E914" s="32"/>
      <c r="F914" s="32"/>
      <c r="G914" s="32"/>
    </row>
    <row r="915" ht="15.75" customHeight="1">
      <c r="A915" s="32"/>
      <c r="C915" s="32"/>
      <c r="D915" s="32"/>
      <c r="E915" s="32"/>
      <c r="F915" s="32"/>
      <c r="G915" s="32"/>
    </row>
    <row r="916" ht="15.75" customHeight="1">
      <c r="A916" s="32"/>
      <c r="C916" s="32"/>
      <c r="D916" s="32"/>
      <c r="E916" s="32"/>
      <c r="F916" s="32"/>
      <c r="G916" s="32"/>
    </row>
    <row r="917" ht="15.75" customHeight="1">
      <c r="A917" s="32"/>
      <c r="C917" s="32"/>
      <c r="D917" s="32"/>
      <c r="E917" s="32"/>
      <c r="F917" s="32"/>
      <c r="G917" s="32"/>
    </row>
    <row r="918" ht="15.75" customHeight="1">
      <c r="A918" s="32"/>
      <c r="C918" s="32"/>
      <c r="D918" s="32"/>
      <c r="E918" s="32"/>
      <c r="F918" s="32"/>
      <c r="G918" s="32"/>
    </row>
    <row r="919" ht="15.75" customHeight="1">
      <c r="A919" s="32"/>
      <c r="C919" s="32"/>
      <c r="D919" s="32"/>
      <c r="E919" s="32"/>
      <c r="F919" s="32"/>
      <c r="G919" s="32"/>
    </row>
    <row r="920" ht="15.75" customHeight="1">
      <c r="A920" s="32"/>
      <c r="C920" s="32"/>
      <c r="D920" s="32"/>
      <c r="E920" s="32"/>
      <c r="F920" s="32"/>
      <c r="G920" s="32"/>
    </row>
    <row r="921" ht="15.75" customHeight="1">
      <c r="A921" s="32"/>
      <c r="C921" s="32"/>
      <c r="D921" s="32"/>
      <c r="E921" s="32"/>
      <c r="F921" s="32"/>
      <c r="G921" s="32"/>
    </row>
    <row r="922" ht="15.75" customHeight="1">
      <c r="A922" s="32"/>
      <c r="C922" s="32"/>
      <c r="D922" s="32"/>
      <c r="E922" s="32"/>
      <c r="F922" s="32"/>
      <c r="G922" s="32"/>
    </row>
    <row r="923" ht="15.75" customHeight="1">
      <c r="A923" s="32"/>
      <c r="C923" s="32"/>
      <c r="D923" s="32"/>
      <c r="E923" s="32"/>
      <c r="F923" s="32"/>
      <c r="G923" s="32"/>
    </row>
    <row r="924" ht="15.75" customHeight="1">
      <c r="A924" s="32"/>
      <c r="C924" s="32"/>
      <c r="D924" s="32"/>
      <c r="E924" s="32"/>
      <c r="F924" s="32"/>
      <c r="G924" s="32"/>
    </row>
    <row r="925" ht="15.75" customHeight="1">
      <c r="A925" s="32"/>
      <c r="C925" s="32"/>
      <c r="D925" s="32"/>
      <c r="E925" s="32"/>
      <c r="F925" s="32"/>
      <c r="G925" s="32"/>
    </row>
    <row r="926" ht="15.75" customHeight="1">
      <c r="A926" s="32"/>
      <c r="C926" s="32"/>
      <c r="D926" s="32"/>
      <c r="E926" s="32"/>
      <c r="F926" s="32"/>
      <c r="G926" s="32"/>
    </row>
    <row r="927" ht="15.75" customHeight="1">
      <c r="A927" s="32"/>
      <c r="C927" s="32"/>
      <c r="D927" s="32"/>
      <c r="E927" s="32"/>
      <c r="F927" s="32"/>
      <c r="G927" s="32"/>
    </row>
    <row r="928" ht="15.75" customHeight="1">
      <c r="A928" s="32"/>
      <c r="C928" s="32"/>
      <c r="D928" s="32"/>
      <c r="E928" s="32"/>
      <c r="F928" s="32"/>
      <c r="G928" s="32"/>
    </row>
    <row r="929" ht="15.75" customHeight="1">
      <c r="A929" s="32"/>
      <c r="C929" s="32"/>
      <c r="D929" s="32"/>
      <c r="E929" s="32"/>
      <c r="F929" s="32"/>
      <c r="G929" s="32"/>
    </row>
    <row r="930" ht="15.75" customHeight="1">
      <c r="A930" s="32"/>
      <c r="C930" s="32"/>
      <c r="D930" s="32"/>
      <c r="E930" s="32"/>
      <c r="F930" s="32"/>
      <c r="G930" s="32"/>
    </row>
    <row r="931" ht="15.75" customHeight="1">
      <c r="A931" s="32"/>
      <c r="C931" s="32"/>
      <c r="D931" s="32"/>
      <c r="E931" s="32"/>
      <c r="F931" s="32"/>
      <c r="G931" s="32"/>
    </row>
    <row r="932" ht="15.75" customHeight="1">
      <c r="A932" s="32"/>
      <c r="C932" s="32"/>
      <c r="D932" s="32"/>
      <c r="E932" s="32"/>
      <c r="F932" s="32"/>
      <c r="G932" s="32"/>
    </row>
    <row r="933" ht="15.75" customHeight="1">
      <c r="A933" s="32"/>
      <c r="C933" s="32"/>
      <c r="D933" s="32"/>
      <c r="E933" s="32"/>
      <c r="F933" s="32"/>
      <c r="G933" s="32"/>
    </row>
    <row r="934" ht="15.75" customHeight="1">
      <c r="A934" s="32"/>
      <c r="C934" s="32"/>
      <c r="D934" s="32"/>
      <c r="E934" s="32"/>
      <c r="F934" s="32"/>
      <c r="G934" s="32"/>
    </row>
    <row r="935" ht="15.75" customHeight="1">
      <c r="A935" s="32"/>
      <c r="C935" s="32"/>
      <c r="D935" s="32"/>
      <c r="E935" s="32"/>
      <c r="F935" s="32"/>
      <c r="G935" s="32"/>
    </row>
    <row r="936" ht="15.75" customHeight="1">
      <c r="A936" s="32"/>
      <c r="C936" s="32"/>
      <c r="D936" s="32"/>
      <c r="E936" s="32"/>
      <c r="F936" s="32"/>
      <c r="G936" s="32"/>
    </row>
    <row r="937" ht="15.75" customHeight="1">
      <c r="A937" s="32"/>
      <c r="C937" s="32"/>
      <c r="D937" s="32"/>
      <c r="E937" s="32"/>
      <c r="F937" s="32"/>
      <c r="G937" s="32"/>
    </row>
    <row r="938" ht="15.75" customHeight="1">
      <c r="A938" s="32"/>
      <c r="C938" s="32"/>
      <c r="D938" s="32"/>
      <c r="E938" s="32"/>
      <c r="F938" s="32"/>
      <c r="G938" s="32"/>
    </row>
    <row r="939" ht="15.75" customHeight="1">
      <c r="A939" s="32"/>
      <c r="C939" s="32"/>
      <c r="D939" s="32"/>
      <c r="E939" s="32"/>
      <c r="F939" s="32"/>
      <c r="G939" s="32"/>
    </row>
    <row r="940" ht="15.75" customHeight="1">
      <c r="A940" s="32"/>
      <c r="C940" s="32"/>
      <c r="D940" s="32"/>
      <c r="E940" s="32"/>
      <c r="F940" s="32"/>
      <c r="G940" s="32"/>
    </row>
    <row r="941" ht="15.75" customHeight="1">
      <c r="A941" s="32"/>
      <c r="C941" s="32"/>
      <c r="D941" s="32"/>
      <c r="E941" s="32"/>
      <c r="F941" s="32"/>
      <c r="G941" s="32"/>
    </row>
    <row r="942" ht="15.75" customHeight="1">
      <c r="A942" s="32"/>
      <c r="C942" s="32"/>
      <c r="D942" s="32"/>
      <c r="E942" s="32"/>
      <c r="F942" s="32"/>
      <c r="G942" s="32"/>
    </row>
    <row r="943" ht="15.75" customHeight="1">
      <c r="A943" s="32"/>
      <c r="C943" s="32"/>
      <c r="D943" s="32"/>
      <c r="E943" s="32"/>
      <c r="F943" s="32"/>
      <c r="G943" s="32"/>
    </row>
    <row r="944" ht="15.75" customHeight="1">
      <c r="A944" s="32"/>
      <c r="C944" s="32"/>
      <c r="D944" s="32"/>
      <c r="E944" s="32"/>
      <c r="F944" s="32"/>
      <c r="G944" s="32"/>
    </row>
    <row r="945" ht="15.75" customHeight="1">
      <c r="A945" s="32"/>
      <c r="C945" s="32"/>
      <c r="D945" s="32"/>
      <c r="E945" s="32"/>
      <c r="F945" s="32"/>
      <c r="G945" s="32"/>
    </row>
    <row r="946" ht="15.75" customHeight="1">
      <c r="A946" s="32"/>
      <c r="C946" s="32"/>
      <c r="D946" s="32"/>
      <c r="E946" s="32"/>
      <c r="F946" s="32"/>
      <c r="G946" s="32"/>
    </row>
    <row r="947" ht="15.75" customHeight="1">
      <c r="A947" s="32"/>
      <c r="C947" s="32"/>
      <c r="D947" s="32"/>
      <c r="E947" s="32"/>
      <c r="F947" s="32"/>
      <c r="G947" s="32"/>
    </row>
    <row r="948" ht="15.75" customHeight="1">
      <c r="A948" s="32"/>
      <c r="C948" s="32"/>
      <c r="D948" s="32"/>
      <c r="E948" s="32"/>
      <c r="F948" s="32"/>
      <c r="G948" s="32"/>
    </row>
    <row r="949" ht="15.75" customHeight="1">
      <c r="A949" s="32"/>
      <c r="C949" s="32"/>
      <c r="D949" s="32"/>
      <c r="E949" s="32"/>
      <c r="F949" s="32"/>
      <c r="G949" s="32"/>
    </row>
    <row r="950" ht="15.75" customHeight="1">
      <c r="A950" s="32"/>
      <c r="C950" s="32"/>
      <c r="D950" s="32"/>
      <c r="E950" s="32"/>
      <c r="F950" s="32"/>
      <c r="G950" s="32"/>
    </row>
    <row r="951" ht="15.75" customHeight="1">
      <c r="A951" s="32"/>
      <c r="C951" s="32"/>
      <c r="D951" s="32"/>
      <c r="E951" s="32"/>
      <c r="F951" s="32"/>
      <c r="G951" s="32"/>
    </row>
    <row r="952" ht="15.75" customHeight="1">
      <c r="A952" s="32"/>
      <c r="C952" s="32"/>
      <c r="D952" s="32"/>
      <c r="E952" s="32"/>
      <c r="F952" s="32"/>
      <c r="G952" s="32"/>
    </row>
    <row r="953" ht="15.75" customHeight="1">
      <c r="A953" s="32"/>
      <c r="C953" s="32"/>
      <c r="D953" s="32"/>
      <c r="E953" s="32"/>
      <c r="F953" s="32"/>
      <c r="G953" s="32"/>
    </row>
    <row r="954" ht="15.75" customHeight="1">
      <c r="A954" s="32"/>
      <c r="C954" s="32"/>
      <c r="D954" s="32"/>
      <c r="E954" s="32"/>
      <c r="F954" s="32"/>
      <c r="G954" s="32"/>
    </row>
    <row r="955" ht="15.75" customHeight="1">
      <c r="A955" s="32"/>
      <c r="C955" s="32"/>
      <c r="D955" s="32"/>
      <c r="E955" s="32"/>
      <c r="F955" s="32"/>
      <c r="G955" s="32"/>
    </row>
    <row r="956" ht="15.75" customHeight="1">
      <c r="A956" s="32"/>
      <c r="C956" s="32"/>
      <c r="D956" s="32"/>
      <c r="E956" s="32"/>
      <c r="F956" s="32"/>
      <c r="G956" s="32"/>
    </row>
    <row r="957" ht="15.75" customHeight="1">
      <c r="A957" s="32"/>
      <c r="C957" s="32"/>
      <c r="D957" s="32"/>
      <c r="E957" s="32"/>
      <c r="F957" s="32"/>
      <c r="G957" s="32"/>
    </row>
    <row r="958" ht="15.75" customHeight="1">
      <c r="A958" s="32"/>
      <c r="C958" s="32"/>
      <c r="D958" s="32"/>
      <c r="E958" s="32"/>
      <c r="F958" s="32"/>
      <c r="G958" s="32"/>
    </row>
    <row r="959" ht="15.75" customHeight="1">
      <c r="A959" s="32"/>
      <c r="C959" s="32"/>
      <c r="D959" s="32"/>
      <c r="E959" s="32"/>
      <c r="F959" s="32"/>
      <c r="G959" s="32"/>
    </row>
    <row r="960" ht="15.75" customHeight="1">
      <c r="A960" s="32"/>
      <c r="C960" s="32"/>
      <c r="D960" s="32"/>
      <c r="E960" s="32"/>
      <c r="F960" s="32"/>
      <c r="G960" s="32"/>
    </row>
    <row r="961" ht="15.75" customHeight="1">
      <c r="A961" s="32"/>
      <c r="C961" s="32"/>
      <c r="D961" s="32"/>
      <c r="E961" s="32"/>
      <c r="F961" s="32"/>
      <c r="G961" s="32"/>
    </row>
    <row r="962" ht="15.75" customHeight="1">
      <c r="A962" s="32"/>
      <c r="C962" s="32"/>
      <c r="D962" s="32"/>
      <c r="E962" s="32"/>
      <c r="F962" s="32"/>
      <c r="G962" s="32"/>
    </row>
    <row r="963" ht="15.75" customHeight="1">
      <c r="A963" s="32"/>
      <c r="C963" s="32"/>
      <c r="D963" s="32"/>
      <c r="E963" s="32"/>
      <c r="F963" s="32"/>
      <c r="G963" s="32"/>
    </row>
    <row r="964" ht="15.75" customHeight="1">
      <c r="A964" s="32"/>
      <c r="C964" s="32"/>
      <c r="D964" s="32"/>
      <c r="E964" s="32"/>
      <c r="F964" s="32"/>
      <c r="G964" s="32"/>
    </row>
    <row r="965" ht="15.75" customHeight="1">
      <c r="A965" s="32"/>
      <c r="C965" s="32"/>
      <c r="D965" s="32"/>
      <c r="E965" s="32"/>
      <c r="F965" s="32"/>
      <c r="G965" s="32"/>
    </row>
    <row r="966" ht="15.75" customHeight="1">
      <c r="A966" s="32"/>
      <c r="C966" s="32"/>
      <c r="D966" s="32"/>
      <c r="E966" s="32"/>
      <c r="F966" s="32"/>
      <c r="G966" s="32"/>
    </row>
    <row r="967" ht="15.75" customHeight="1">
      <c r="A967" s="32"/>
      <c r="C967" s="32"/>
      <c r="D967" s="32"/>
      <c r="E967" s="32"/>
      <c r="F967" s="32"/>
      <c r="G967" s="32"/>
    </row>
    <row r="968" ht="15.75" customHeight="1">
      <c r="A968" s="32"/>
      <c r="C968" s="32"/>
      <c r="D968" s="32"/>
      <c r="E968" s="32"/>
      <c r="F968" s="32"/>
      <c r="G968" s="32"/>
    </row>
    <row r="969" ht="15.75" customHeight="1">
      <c r="A969" s="32"/>
      <c r="C969" s="32"/>
      <c r="D969" s="32"/>
      <c r="E969" s="32"/>
      <c r="F969" s="32"/>
      <c r="G969" s="32"/>
    </row>
    <row r="970" ht="15.75" customHeight="1">
      <c r="A970" s="32"/>
      <c r="C970" s="32"/>
      <c r="D970" s="32"/>
      <c r="E970" s="32"/>
      <c r="F970" s="32"/>
      <c r="G970" s="32"/>
    </row>
    <row r="971" ht="15.75" customHeight="1">
      <c r="A971" s="32"/>
      <c r="C971" s="32"/>
      <c r="D971" s="32"/>
      <c r="E971" s="32"/>
      <c r="F971" s="32"/>
      <c r="G971" s="32"/>
    </row>
    <row r="972" ht="15.75" customHeight="1">
      <c r="A972" s="32"/>
      <c r="C972" s="32"/>
      <c r="D972" s="32"/>
      <c r="E972" s="32"/>
      <c r="F972" s="32"/>
      <c r="G972" s="32"/>
    </row>
    <row r="973" ht="15.75" customHeight="1">
      <c r="A973" s="32"/>
      <c r="C973" s="32"/>
      <c r="D973" s="32"/>
      <c r="E973" s="32"/>
      <c r="F973" s="32"/>
      <c r="G973" s="32"/>
    </row>
    <row r="974" ht="15.75" customHeight="1">
      <c r="A974" s="32"/>
      <c r="C974" s="32"/>
      <c r="D974" s="32"/>
      <c r="E974" s="32"/>
      <c r="F974" s="32"/>
      <c r="G974" s="32"/>
    </row>
    <row r="975" ht="15.75" customHeight="1">
      <c r="A975" s="32"/>
      <c r="C975" s="32"/>
      <c r="D975" s="32"/>
      <c r="E975" s="32"/>
      <c r="F975" s="32"/>
      <c r="G975" s="32"/>
    </row>
    <row r="976" ht="15.75" customHeight="1">
      <c r="A976" s="32"/>
      <c r="C976" s="32"/>
      <c r="D976" s="32"/>
      <c r="E976" s="32"/>
      <c r="F976" s="32"/>
      <c r="G976" s="32"/>
    </row>
    <row r="977" ht="15.75" customHeight="1">
      <c r="A977" s="32"/>
      <c r="C977" s="32"/>
      <c r="D977" s="32"/>
      <c r="E977" s="32"/>
      <c r="F977" s="32"/>
      <c r="G977" s="32"/>
    </row>
    <row r="978" ht="15.75" customHeight="1">
      <c r="A978" s="32"/>
      <c r="C978" s="32"/>
      <c r="D978" s="32"/>
      <c r="E978" s="32"/>
      <c r="F978" s="32"/>
      <c r="G978" s="32"/>
    </row>
    <row r="979" ht="15.75" customHeight="1">
      <c r="A979" s="32"/>
      <c r="C979" s="32"/>
      <c r="D979" s="32"/>
      <c r="E979" s="32"/>
      <c r="F979" s="32"/>
      <c r="G979" s="32"/>
    </row>
    <row r="980" ht="15.75" customHeight="1">
      <c r="A980" s="32"/>
      <c r="C980" s="32"/>
      <c r="D980" s="32"/>
      <c r="E980" s="32"/>
      <c r="F980" s="32"/>
      <c r="G980" s="32"/>
    </row>
    <row r="981" ht="15.75" customHeight="1">
      <c r="A981" s="32"/>
      <c r="C981" s="32"/>
      <c r="D981" s="32"/>
      <c r="E981" s="32"/>
      <c r="F981" s="32"/>
      <c r="G981" s="32"/>
    </row>
    <row r="982" ht="15.75" customHeight="1">
      <c r="A982" s="32"/>
      <c r="C982" s="32"/>
      <c r="D982" s="32"/>
      <c r="E982" s="32"/>
      <c r="F982" s="32"/>
      <c r="G982" s="32"/>
    </row>
    <row r="983" ht="15.75" customHeight="1">
      <c r="A983" s="32"/>
      <c r="C983" s="32"/>
      <c r="D983" s="32"/>
      <c r="E983" s="32"/>
      <c r="F983" s="32"/>
      <c r="G983" s="32"/>
    </row>
    <row r="984" ht="15.75" customHeight="1">
      <c r="A984" s="32"/>
      <c r="C984" s="32"/>
      <c r="D984" s="32"/>
      <c r="E984" s="32"/>
      <c r="F984" s="32"/>
      <c r="G984" s="32"/>
    </row>
    <row r="985" ht="15.75" customHeight="1">
      <c r="A985" s="32"/>
      <c r="C985" s="32"/>
      <c r="D985" s="32"/>
      <c r="E985" s="32"/>
      <c r="F985" s="32"/>
      <c r="G985" s="32"/>
    </row>
    <row r="986" ht="15.75" customHeight="1">
      <c r="A986" s="32"/>
      <c r="C986" s="32"/>
      <c r="D986" s="32"/>
      <c r="E986" s="32"/>
      <c r="F986" s="32"/>
      <c r="G986" s="32"/>
    </row>
    <row r="987" ht="15.75" customHeight="1">
      <c r="A987" s="32"/>
      <c r="C987" s="32"/>
      <c r="D987" s="32"/>
      <c r="E987" s="32"/>
      <c r="F987" s="32"/>
      <c r="G987" s="32"/>
    </row>
    <row r="988" ht="15.75" customHeight="1">
      <c r="A988" s="32"/>
      <c r="C988" s="32"/>
      <c r="D988" s="32"/>
      <c r="E988" s="32"/>
      <c r="F988" s="32"/>
      <c r="G988" s="32"/>
    </row>
    <row r="989" ht="15.75" customHeight="1">
      <c r="A989" s="32"/>
      <c r="C989" s="32"/>
      <c r="D989" s="32"/>
      <c r="E989" s="32"/>
      <c r="F989" s="32"/>
      <c r="G989" s="32"/>
    </row>
    <row r="990" ht="15.75" customHeight="1">
      <c r="A990" s="32"/>
      <c r="C990" s="32"/>
      <c r="D990" s="32"/>
      <c r="E990" s="32"/>
      <c r="F990" s="32"/>
      <c r="G990" s="32"/>
    </row>
    <row r="991" ht="15.75" customHeight="1">
      <c r="A991" s="32"/>
      <c r="C991" s="32"/>
      <c r="D991" s="32"/>
      <c r="E991" s="32"/>
      <c r="F991" s="32"/>
      <c r="G991" s="32"/>
    </row>
    <row r="992" ht="15.75" customHeight="1">
      <c r="A992" s="32"/>
      <c r="C992" s="32"/>
      <c r="D992" s="32"/>
      <c r="E992" s="32"/>
      <c r="F992" s="32"/>
      <c r="G992" s="32"/>
    </row>
    <row r="993" ht="15.75" customHeight="1">
      <c r="A993" s="32"/>
      <c r="C993" s="32"/>
      <c r="D993" s="32"/>
      <c r="E993" s="32"/>
      <c r="F993" s="32"/>
      <c r="G993" s="32"/>
    </row>
    <row r="994" ht="15.75" customHeight="1">
      <c r="A994" s="32"/>
      <c r="C994" s="32"/>
      <c r="D994" s="32"/>
      <c r="E994" s="32"/>
      <c r="F994" s="32"/>
      <c r="G994" s="32"/>
    </row>
    <row r="995" ht="15.75" customHeight="1">
      <c r="A995" s="32"/>
      <c r="C995" s="32"/>
      <c r="D995" s="32"/>
      <c r="E995" s="32"/>
      <c r="F995" s="32"/>
      <c r="G995" s="32"/>
    </row>
    <row r="996" ht="15.75" customHeight="1">
      <c r="A996" s="32"/>
      <c r="C996" s="32"/>
      <c r="D996" s="32"/>
      <c r="E996" s="32"/>
      <c r="F996" s="32"/>
      <c r="G996" s="32"/>
    </row>
    <row r="997" ht="15.75" customHeight="1">
      <c r="A997" s="32"/>
      <c r="C997" s="32"/>
      <c r="D997" s="32"/>
      <c r="E997" s="32"/>
      <c r="F997" s="32"/>
      <c r="G997" s="32"/>
    </row>
    <row r="998" ht="15.75" customHeight="1">
      <c r="A998" s="32"/>
      <c r="C998" s="32"/>
      <c r="D998" s="32"/>
      <c r="E998" s="32"/>
      <c r="F998" s="32"/>
      <c r="G998" s="32"/>
    </row>
    <row r="999" ht="15.75" customHeight="1">
      <c r="A999" s="32"/>
      <c r="C999" s="32"/>
      <c r="D999" s="32"/>
      <c r="E999" s="32"/>
      <c r="F999" s="32"/>
      <c r="G999" s="32"/>
    </row>
    <row r="1000" ht="15.75" customHeight="1">
      <c r="A1000" s="32"/>
      <c r="C1000" s="32"/>
      <c r="D1000" s="32"/>
      <c r="E1000" s="32"/>
      <c r="F1000" s="32"/>
      <c r="G1000" s="32"/>
    </row>
  </sheetData>
  <mergeCells count="6">
    <mergeCell ref="D1:G1"/>
    <mergeCell ref="A3:A8"/>
    <mergeCell ref="A10:A15"/>
    <mergeCell ref="A17:A22"/>
    <mergeCell ref="A24:A29"/>
    <mergeCell ref="A31:A3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2.63"/>
    <col customWidth="1" min="3" max="3" width="2.38"/>
    <col customWidth="1" min="4" max="4" width="21.88"/>
    <col customWidth="1" min="5" max="5" width="24.13"/>
    <col customWidth="1" min="6" max="6" width="23.0"/>
    <col customWidth="1" min="7" max="7" width="23.88"/>
  </cols>
  <sheetData>
    <row r="1" ht="15.75" customHeight="1">
      <c r="A1" s="129"/>
      <c r="B1" s="130"/>
      <c r="C1" s="131"/>
      <c r="D1" s="132" t="s">
        <v>18</v>
      </c>
      <c r="E1" s="8"/>
      <c r="F1" s="8"/>
      <c r="G1" s="10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5.75" customHeight="1">
      <c r="A2" s="99" t="s">
        <v>20</v>
      </c>
      <c r="B2" s="140" t="s">
        <v>23</v>
      </c>
      <c r="C2" s="131"/>
      <c r="D2" s="6" t="s">
        <v>59</v>
      </c>
      <c r="E2" s="6" t="s">
        <v>61</v>
      </c>
      <c r="F2" s="6" t="s">
        <v>63</v>
      </c>
      <c r="G2" s="6" t="s">
        <v>65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5.75" customHeight="1">
      <c r="A3" s="134" t="s">
        <v>771</v>
      </c>
      <c r="B3" s="140" t="s">
        <v>164</v>
      </c>
      <c r="C3" s="131"/>
      <c r="D3" s="80" t="str">
        <f>'Horário - Graduação'!AE17</f>
        <v/>
      </c>
      <c r="E3" s="80" t="str">
        <f>'Horário - Graduação'!AF17</f>
        <v/>
      </c>
      <c r="F3" s="80" t="str">
        <f>'Horário - Graduação'!AG17</f>
        <v>MECÂNICA CLÁSSICA (Luciano) (1/11)</v>
      </c>
      <c r="G3" s="80" t="str">
        <f>'Horário - Graduação'!AH17</f>
        <v/>
      </c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ht="15.75" customHeight="1">
      <c r="A4" s="36"/>
      <c r="B4" s="140" t="s">
        <v>174</v>
      </c>
      <c r="C4" s="131"/>
      <c r="D4" s="148" t="str">
        <f>'Horário - Graduação'!AE18</f>
        <v/>
      </c>
      <c r="E4" s="148" t="str">
        <f>'Horário - Graduação'!AF18</f>
        <v>FÍSICA GERAL II (Rafael) (1/10)</v>
      </c>
      <c r="F4" s="148" t="str">
        <f>'Horário - Graduação'!AG18</f>
        <v>MECÂNICA CLÁSSICA (Luciano) (1/11)</v>
      </c>
      <c r="G4" s="148" t="str">
        <f>'Horário - Graduação'!AH18</f>
        <v/>
      </c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ht="15.75" customHeight="1">
      <c r="A5" s="36"/>
      <c r="B5" s="140" t="s">
        <v>193</v>
      </c>
      <c r="C5" s="131"/>
      <c r="D5" s="148" t="str">
        <f>'Horário - Graduação'!AE19</f>
        <v/>
      </c>
      <c r="E5" s="148" t="str">
        <f>'Horário - Graduação'!AF19</f>
        <v>FÍSICA GERAL II (Rafael) (1/10)</v>
      </c>
      <c r="F5" s="148" t="str">
        <f>'Horário - Graduação'!AG19</f>
        <v>MECÂNICA CLÁSSICA (Luciano) (1/11)</v>
      </c>
      <c r="G5" s="148" t="str">
        <f>'Horário - Graduação'!AH19</f>
        <v/>
      </c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ht="15.75" customHeight="1">
      <c r="A6" s="36"/>
      <c r="B6" s="147" t="s">
        <v>111</v>
      </c>
      <c r="C6" s="131"/>
      <c r="D6" s="153" t="str">
        <f>'Horário - Graduação'!AE20</f>
        <v/>
      </c>
      <c r="E6" s="153" t="str">
        <f>'Horário - Graduação'!AF20</f>
        <v/>
      </c>
      <c r="F6" s="153" t="str">
        <f>'Horário - Graduação'!AG20</f>
        <v/>
      </c>
      <c r="G6" s="153" t="str">
        <f>'Horário - Graduação'!AH20</f>
        <v/>
      </c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5.75" customHeight="1">
      <c r="A7" s="36"/>
      <c r="B7" s="140" t="s">
        <v>198</v>
      </c>
      <c r="C7" s="131"/>
      <c r="D7" s="148" t="str">
        <f>'Horário - Graduação'!AE21</f>
        <v/>
      </c>
      <c r="E7" s="148" t="str">
        <f>'Horário - Graduação'!AF21</f>
        <v/>
      </c>
      <c r="F7" s="148" t="str">
        <f>'Horário - Graduação'!AG21</f>
        <v>FÍSICA GERAL III (Rodrigo Freitas)  (Lab. Física - Rec. Didáticos)</v>
      </c>
      <c r="G7" s="148" t="str">
        <f>'Horário - Graduação'!AH21</f>
        <v>EVOLUÇÃO DAS IDEIAS DA FÍSICA (Luciano) (1/12)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5.75" customHeight="1">
      <c r="A8" s="66"/>
      <c r="B8" s="140" t="s">
        <v>210</v>
      </c>
      <c r="C8" s="131"/>
      <c r="D8" s="148" t="str">
        <f>'Horário - Graduação'!AE22</f>
        <v/>
      </c>
      <c r="E8" s="148" t="str">
        <f>'Horário - Graduação'!AF22</f>
        <v/>
      </c>
      <c r="F8" s="148" t="str">
        <f>'Horário - Graduação'!AG22</f>
        <v>FÍSICA GERAL III (Rodrigo Freitas)  (Lab. Física - Rec. Didáticos)</v>
      </c>
      <c r="G8" s="148" t="str">
        <f>'Horário - Graduação'!AH22</f>
        <v>EVOLUÇÃO DAS IDEIAS DA FÍSICA (Luciano) (1/12)</v>
      </c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5.75" customHeight="1">
      <c r="A9" s="99" t="s">
        <v>20</v>
      </c>
      <c r="B9" s="140" t="s">
        <v>23</v>
      </c>
      <c r="C9" s="131"/>
      <c r="D9" s="6" t="s">
        <v>59</v>
      </c>
      <c r="E9" s="6" t="s">
        <v>61</v>
      </c>
      <c r="F9" s="6" t="s">
        <v>63</v>
      </c>
      <c r="G9" s="6" t="s">
        <v>65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5.75" customHeight="1">
      <c r="A10" s="134" t="s">
        <v>772</v>
      </c>
      <c r="B10" s="140" t="s">
        <v>164</v>
      </c>
      <c r="C10" s="131"/>
      <c r="D10" s="80" t="str">
        <f>'Horário - Graduação'!AE38</f>
        <v/>
      </c>
      <c r="E10" s="80" t="str">
        <f>'Horário - Graduação'!AF38</f>
        <v/>
      </c>
      <c r="F10" s="80" t="str">
        <f>'Horário - Graduação'!AG38</f>
        <v>ESTÁGIO CURRICULAR SUPERVISIONADO II (Emille) (1/11)</v>
      </c>
      <c r="G10" s="80" t="str">
        <f>'Horário - Graduação'!AH38</f>
        <v>FÍSICA CONTEMPORÂNEA (Luciano) (1/12)</v>
      </c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ht="15.75" customHeight="1">
      <c r="A11" s="36"/>
      <c r="B11" s="140" t="s">
        <v>174</v>
      </c>
      <c r="C11" s="131"/>
      <c r="D11" s="148" t="str">
        <f>'Horário - Graduação'!AE39</f>
        <v/>
      </c>
      <c r="E11" s="148" t="str">
        <f>'Horário - Graduação'!AF39</f>
        <v>Cálculo Diferencial e integral III (Eilson Santiago) (1/11)</v>
      </c>
      <c r="F11" s="148" t="str">
        <f>'Horário - Graduação'!AG39</f>
        <v>UCE IV - ROBÓTICA EDUCACIONAL (Rodrigo Freitas) (1/11)</v>
      </c>
      <c r="G11" s="148" t="str">
        <f>'Horário - Graduação'!AH39</f>
        <v>FÍSICA CONTEMPORÂNEA (Luciano) (1/12)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5.75" customHeight="1">
      <c r="A12" s="36"/>
      <c r="B12" s="140" t="s">
        <v>193</v>
      </c>
      <c r="C12" s="131"/>
      <c r="D12" s="148" t="str">
        <f>'Horário - Graduação'!AE40</f>
        <v/>
      </c>
      <c r="E12" s="148" t="str">
        <f>'Horário - Graduação'!AF40</f>
        <v>Cálculo Diferencial e integral III (Eilson Santiago) (1/11)</v>
      </c>
      <c r="F12" s="148" t="str">
        <f>'Horário - Graduação'!AG40</f>
        <v>UCE IV - ROBÓTICA EDUCACIONAL (Rodrigo Freitas) (1/11)</v>
      </c>
      <c r="G12" s="148" t="str">
        <f>'Horário - Graduação'!AH40</f>
        <v>FÍSICA CONTEMPORÂNEA (Luciano) (1/12)</v>
      </c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ht="15.75" customHeight="1">
      <c r="A13" s="36"/>
      <c r="B13" s="147" t="s">
        <v>111</v>
      </c>
      <c r="C13" s="131"/>
      <c r="D13" s="147"/>
      <c r="E13" s="147"/>
      <c r="F13" s="147"/>
      <c r="G13" s="147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ht="15.75" customHeight="1">
      <c r="A14" s="36"/>
      <c r="B14" s="140" t="s">
        <v>198</v>
      </c>
      <c r="C14" s="131"/>
      <c r="D14" s="148" t="str">
        <f>'Horário - Graduação'!AE42</f>
        <v/>
      </c>
      <c r="E14" s="148" t="str">
        <f>'Horário - Graduação'!AF42</f>
        <v>Educação, Sociedade e Trabalho (Márlio)(1/6)</v>
      </c>
      <c r="F14" s="148" t="str">
        <f>'Horário - Graduação'!AG42</f>
        <v>FÍSICA GERAL III (Rodrigo Freitas)  (Lab. Física - Rec. Didáticos)</v>
      </c>
      <c r="G14" s="148" t="str">
        <f>'Horário - Graduação'!AH42</f>
        <v>FÍSICA CONTEMPORÂNEA (Luciano) (1/12)</v>
      </c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ht="15.75" customHeight="1">
      <c r="A15" s="66"/>
      <c r="B15" s="140" t="s">
        <v>210</v>
      </c>
      <c r="C15" s="131"/>
      <c r="D15" s="148" t="str">
        <f>'Horário - Graduação'!AE43</f>
        <v/>
      </c>
      <c r="E15" s="148" t="str">
        <f>'Horário - Graduação'!AF43</f>
        <v>Educação, Sociedade e Trabalho (Márlio)(1/6)</v>
      </c>
      <c r="F15" s="148" t="str">
        <f>'Horário - Graduação'!AG43</f>
        <v>FÍSICA GERAL III (Rodrigo Freitas)  (Lab. Física - Rec. Didáticos)</v>
      </c>
      <c r="G15" s="148" t="str">
        <f>'Horário - Graduação'!AH43</f>
        <v>EVOLUÇÃO DAS IDEIAS DA FÍSICA (Luciano)(1/12)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15.75" customHeight="1">
      <c r="A16" s="99" t="s">
        <v>20</v>
      </c>
      <c r="B16" s="140" t="s">
        <v>23</v>
      </c>
      <c r="C16" s="131"/>
      <c r="D16" s="6" t="s">
        <v>59</v>
      </c>
      <c r="E16" s="6" t="s">
        <v>61</v>
      </c>
      <c r="F16" s="6" t="s">
        <v>63</v>
      </c>
      <c r="G16" s="6" t="s">
        <v>65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15.75" customHeight="1">
      <c r="A17" s="134" t="s">
        <v>773</v>
      </c>
      <c r="B17" s="140" t="s">
        <v>164</v>
      </c>
      <c r="C17" s="131" t="s">
        <v>774</v>
      </c>
      <c r="D17" s="80" t="str">
        <f>'Horário - Graduação'!AE59</f>
        <v/>
      </c>
      <c r="E17" s="80" t="str">
        <f>'Horário - Graduação'!AF59</f>
        <v/>
      </c>
      <c r="F17" s="80" t="str">
        <f>'Horário - Graduação'!AG59</f>
        <v>MECÂNICA CLÁSSICA (Luciano) (1/11)</v>
      </c>
      <c r="G17" s="80" t="str">
        <f>'Horário - Graduação'!AH59</f>
        <v/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15.75" customHeight="1">
      <c r="A18" s="36"/>
      <c r="B18" s="140" t="s">
        <v>174</v>
      </c>
      <c r="C18" s="131"/>
      <c r="D18" s="148" t="str">
        <f>'Horário - Graduação'!AE60</f>
        <v/>
      </c>
      <c r="E18" s="148" t="str">
        <f>'Horário - Graduação'!AF60</f>
        <v>Didática I (Gerson) (1/6)</v>
      </c>
      <c r="F18" s="148" t="str">
        <f>'Horário - Graduação'!AG60</f>
        <v>MECÂNICA CLÁSSICA (Luciano) (1/11)</v>
      </c>
      <c r="G18" s="148" t="str">
        <f>'Horário - Graduação'!AH60</f>
        <v/>
      </c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15.75" customHeight="1">
      <c r="A19" s="36"/>
      <c r="B19" s="140" t="s">
        <v>193</v>
      </c>
      <c r="C19" s="131"/>
      <c r="D19" s="148" t="str">
        <f>'Horário - Graduação'!AE61</f>
        <v/>
      </c>
      <c r="E19" s="148" t="str">
        <f>'Horário - Graduação'!AF61</f>
        <v>Didática I (Gerson) (1/6)</v>
      </c>
      <c r="F19" s="148" t="str">
        <f>'Horário - Graduação'!AG61</f>
        <v>MECÂNICA CLÁSSICA (Luciano) (1/11)</v>
      </c>
      <c r="G19" s="148" t="str">
        <f>'Horário - Graduação'!AH61</f>
        <v/>
      </c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ht="15.75" customHeight="1">
      <c r="A20" s="36"/>
      <c r="B20" s="147" t="s">
        <v>111</v>
      </c>
      <c r="C20" s="131"/>
      <c r="D20" s="147"/>
      <c r="E20" s="147"/>
      <c r="F20" s="147"/>
      <c r="G20" s="147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5.75" customHeight="1">
      <c r="A21" s="36"/>
      <c r="B21" s="140" t="s">
        <v>198</v>
      </c>
      <c r="C21" s="131"/>
      <c r="D21" s="148" t="str">
        <f>'Horário - Graduação'!AE63</f>
        <v/>
      </c>
      <c r="E21" s="148" t="str">
        <f>'Horário - Graduação'!AF63</f>
        <v/>
      </c>
      <c r="F21" s="148" t="str">
        <f>'Horário - Graduação'!AG63</f>
        <v/>
      </c>
      <c r="G21" s="148" t="str">
        <f>'Horário - Graduação'!AH63</f>
        <v>Educação e Diversidade (Emille)(1/12) /FÍSICA CONTEMPORÂNEA (Luciano) (1/17)</v>
      </c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66"/>
      <c r="B22" s="140" t="s">
        <v>210</v>
      </c>
      <c r="C22" s="131"/>
      <c r="D22" s="148" t="str">
        <f>'Horário - Graduação'!AE64</f>
        <v/>
      </c>
      <c r="E22" s="148" t="str">
        <f>'Horário - Graduação'!AF64</f>
        <v/>
      </c>
      <c r="F22" s="148" t="str">
        <f>'Horário - Graduação'!AG64</f>
        <v/>
      </c>
      <c r="G22" s="148" t="str">
        <f>'Horário - Graduação'!AH64</f>
        <v>Educação e Diversidade (Emille)(1/12) FÍSICA CONTEMPORÂNEA (Luciano) (1/17)</v>
      </c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99" t="s">
        <v>20</v>
      </c>
      <c r="B23" s="140" t="s">
        <v>23</v>
      </c>
      <c r="C23" s="131"/>
      <c r="D23" s="6" t="s">
        <v>59</v>
      </c>
      <c r="E23" s="6" t="s">
        <v>61</v>
      </c>
      <c r="F23" s="6" t="s">
        <v>63</v>
      </c>
      <c r="G23" s="6" t="s">
        <v>65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4" t="s">
        <v>775</v>
      </c>
      <c r="B24" s="140" t="s">
        <v>164</v>
      </c>
      <c r="C24" s="131" t="s">
        <v>774</v>
      </c>
      <c r="D24" s="80" t="str">
        <f>'Horário - Graduação'!AE80</f>
        <v/>
      </c>
      <c r="E24" s="80" t="str">
        <f>'Horário - Graduação'!AF80</f>
        <v/>
      </c>
      <c r="F24" s="148" t="str">
        <f>'Horário - Graduação'!AG80</f>
        <v/>
      </c>
      <c r="G24" s="80" t="str">
        <f>'Horário - Graduação'!AH80</f>
        <v/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36"/>
      <c r="B25" s="140" t="s">
        <v>174</v>
      </c>
      <c r="C25" s="131" t="s">
        <v>776</v>
      </c>
      <c r="D25" s="148" t="str">
        <f>'Horário - Graduação'!AE81</f>
        <v/>
      </c>
      <c r="E25" s="148" t="str">
        <f>'Horário - Graduação'!AF81</f>
        <v>Cálculo Diferencial e integral III (Eilson Santiago) (1/11) / Física Experimental II (Gera Magela/Luciano)</v>
      </c>
      <c r="F25" s="148" t="str">
        <f>'Horário - Graduação'!AG81</f>
        <v/>
      </c>
      <c r="G25" s="148" t="str">
        <f>'Horário - Graduação'!AH81</f>
        <v>UCE VI - SELFÍS (Rafael) (1/12) / Laboratório de Física Moderna (Clayton)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36"/>
      <c r="B26" s="140" t="s">
        <v>193</v>
      </c>
      <c r="C26" s="131" t="s">
        <v>777</v>
      </c>
      <c r="D26" s="148" t="str">
        <f>'Horário - Graduação'!AE82</f>
        <v/>
      </c>
      <c r="E26" s="148" t="str">
        <f>'Horário - Graduação'!AF82</f>
        <v>Cálculo Diferencial e integral III (Eilson Santiago) (1/11) Física Experimental II (Gera Magela/Luciano)</v>
      </c>
      <c r="F26" s="148" t="str">
        <f>'Horário - Graduação'!AG82</f>
        <v/>
      </c>
      <c r="G26" s="148" t="str">
        <f>'Horário - Graduação'!AH82</f>
        <v>UCE VI - SELFÍS (Rafael) (1/12) / Laboratório de Física Moderna (Clayton)</v>
      </c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36"/>
      <c r="B27" s="147" t="s">
        <v>111</v>
      </c>
      <c r="C27" s="131"/>
      <c r="D27" s="147"/>
      <c r="E27" s="147"/>
      <c r="F27" s="147"/>
      <c r="G27" s="147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36"/>
      <c r="B28" s="140" t="s">
        <v>198</v>
      </c>
      <c r="C28" s="131" t="s">
        <v>778</v>
      </c>
      <c r="D28" s="148" t="str">
        <f>'Horário - Graduação'!AE84</f>
        <v/>
      </c>
      <c r="E28" s="148" t="str">
        <f>'Horário - Graduação'!AF84</f>
        <v>Física Geral II (Rafael) (1/10)</v>
      </c>
      <c r="F28" s="148" t="str">
        <f>'Horário - Graduação'!AG84</f>
        <v>PRODUÇÃO E GESTÃO DO CONHECIMENTO (Laio) (1/11)</v>
      </c>
      <c r="G28" s="148" t="str">
        <f>'Horário - Graduação'!AH84</f>
        <v/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66"/>
      <c r="B29" s="140" t="s">
        <v>210</v>
      </c>
      <c r="C29" s="131" t="s">
        <v>779</v>
      </c>
      <c r="D29" s="148" t="str">
        <f>'Horário - Graduação'!AE85</f>
        <v/>
      </c>
      <c r="E29" s="148" t="str">
        <f>'Horário - Graduação'!AF85</f>
        <v>Física Geral II (Rafael)(1/10)</v>
      </c>
      <c r="F29" s="148" t="str">
        <f>'Horário - Graduação'!AG85</f>
        <v>PRODUÇÃO E GESTÃO DO CONHECIMENTO (Laio) (1/11)</v>
      </c>
      <c r="G29" s="148" t="str">
        <f>'Horário - Graduação'!AH85</f>
        <v/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99" t="s">
        <v>20</v>
      </c>
      <c r="B30" s="140" t="s">
        <v>23</v>
      </c>
      <c r="C30" s="131"/>
      <c r="D30" s="6" t="s">
        <v>59</v>
      </c>
      <c r="E30" s="6" t="s">
        <v>61</v>
      </c>
      <c r="F30" s="6" t="s">
        <v>63</v>
      </c>
      <c r="G30" s="6" t="s">
        <v>65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4" t="s">
        <v>780</v>
      </c>
      <c r="B31" s="140" t="s">
        <v>164</v>
      </c>
      <c r="C31" s="131" t="s">
        <v>774</v>
      </c>
      <c r="D31" s="80" t="str">
        <f>'Horário - Graduação'!AE101</f>
        <v/>
      </c>
      <c r="E31" s="80" t="str">
        <f>'Horário - Graduação'!AF101</f>
        <v/>
      </c>
      <c r="F31" s="80" t="str">
        <f>'Horário - Graduação'!AG101</f>
        <v/>
      </c>
      <c r="G31" s="43" t="str">
        <f>'Horário - Graduação'!AH101</f>
        <v/>
      </c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36"/>
      <c r="B32" s="140" t="s">
        <v>174</v>
      </c>
      <c r="C32" s="131" t="s">
        <v>776</v>
      </c>
      <c r="D32" s="148" t="str">
        <f>'Horário - Graduação'!AE102</f>
        <v/>
      </c>
      <c r="E32" s="148" t="str">
        <f>'Horário - Graduação'!AF102</f>
        <v/>
      </c>
      <c r="F32" s="148" t="str">
        <f>'Horário - Graduação'!AG102</f>
        <v>UCE IV - ROBÓTICA EDUCACIONAL (Rodrigo Freitas) (1/11)</v>
      </c>
      <c r="G32" s="148" t="str">
        <f>'Horário - Graduação'!AH102</f>
        <v>UCE VI - SELFIS (Clayton) (1/12)</v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36"/>
      <c r="B33" s="140" t="s">
        <v>193</v>
      </c>
      <c r="C33" s="131" t="s">
        <v>777</v>
      </c>
      <c r="D33" s="148" t="str">
        <f>'Horário - Graduação'!AE103</f>
        <v/>
      </c>
      <c r="E33" s="148" t="str">
        <f>'Horário - Graduação'!AF103</f>
        <v/>
      </c>
      <c r="F33" s="148" t="str">
        <f>'Horário - Graduação'!AG103</f>
        <v>UCE IV - ROBÓTICA EDUCACIONAL (Rodrigo Freitas) (1/11)</v>
      </c>
      <c r="G33" s="148" t="str">
        <f>'Horário - Graduação'!AH103</f>
        <v>UCE VI - SELFIS (Clayton) (1/12)</v>
      </c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36"/>
      <c r="B34" s="147" t="s">
        <v>111</v>
      </c>
      <c r="C34" s="131"/>
      <c r="D34" s="147"/>
      <c r="E34" s="147"/>
      <c r="F34" s="147"/>
      <c r="G34" s="147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36"/>
      <c r="B35" s="140" t="s">
        <v>198</v>
      </c>
      <c r="C35" s="131" t="s">
        <v>778</v>
      </c>
      <c r="D35" s="148" t="str">
        <f>'Horário - Graduação'!AE105</f>
        <v/>
      </c>
      <c r="E35" s="148" t="str">
        <f>'Horário - Graduação'!AF105</f>
        <v>Didática I (Gerson)(1/6)</v>
      </c>
      <c r="F35" s="148" t="str">
        <f>'Horário - Graduação'!AG105</f>
        <v>PRÁTICA DE ENSINO DE FÍSICA II (Rodrigo Freitas)  (Lab. Física - Rec. Didáticos)</v>
      </c>
      <c r="G35" s="148" t="str">
        <f>'Horário - Graduação'!AH105</f>
        <v/>
      </c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66"/>
      <c r="B36" s="140" t="s">
        <v>210</v>
      </c>
      <c r="C36" s="131" t="s">
        <v>779</v>
      </c>
      <c r="D36" s="148" t="str">
        <f>'Horário - Graduação'!AE106</f>
        <v/>
      </c>
      <c r="E36" s="148" t="str">
        <f>'Horário - Graduação'!AF106</f>
        <v>Didática I (Gerson) (1/6)</v>
      </c>
      <c r="F36" s="148" t="str">
        <f>'Horário - Graduação'!AG106</f>
        <v>PRÁTICA DE ENSINO DE FÍSICA II (Rodrigo Freitas)  (Lab. Física - Rec. Didáticos)</v>
      </c>
      <c r="G36" s="148" t="str">
        <f>'Horário - Graduação'!AH106</f>
        <v/>
      </c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42" t="s">
        <v>20</v>
      </c>
      <c r="B37" s="140" t="s">
        <v>23</v>
      </c>
      <c r="C37" s="131"/>
      <c r="D37" s="6" t="s">
        <v>59</v>
      </c>
      <c r="E37" s="6" t="s">
        <v>61</v>
      </c>
      <c r="F37" s="6" t="s">
        <v>63</v>
      </c>
      <c r="G37" s="6" t="s">
        <v>65</v>
      </c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32"/>
      <c r="C238" s="32"/>
      <c r="D238" s="32"/>
      <c r="E238" s="32"/>
      <c r="F238" s="32"/>
      <c r="G238" s="32"/>
    </row>
    <row r="239" ht="15.75" customHeight="1">
      <c r="A239" s="32"/>
      <c r="C239" s="32"/>
      <c r="D239" s="32"/>
      <c r="E239" s="32"/>
      <c r="F239" s="32"/>
      <c r="G239" s="32"/>
    </row>
    <row r="240" ht="15.75" customHeight="1">
      <c r="A240" s="32"/>
      <c r="C240" s="32"/>
      <c r="D240" s="32"/>
      <c r="E240" s="32"/>
      <c r="F240" s="32"/>
      <c r="G240" s="32"/>
    </row>
    <row r="241" ht="15.75" customHeight="1">
      <c r="A241" s="32"/>
      <c r="C241" s="32"/>
      <c r="D241" s="32"/>
      <c r="E241" s="32"/>
      <c r="F241" s="32"/>
      <c r="G241" s="32"/>
    </row>
    <row r="242" ht="15.75" customHeight="1">
      <c r="A242" s="32"/>
      <c r="C242" s="32"/>
      <c r="D242" s="32"/>
      <c r="E242" s="32"/>
      <c r="F242" s="32"/>
      <c r="G242" s="32"/>
    </row>
    <row r="243" ht="15.75" customHeight="1">
      <c r="A243" s="32"/>
      <c r="C243" s="32"/>
      <c r="D243" s="32"/>
      <c r="E243" s="32"/>
      <c r="F243" s="32"/>
      <c r="G243" s="32"/>
    </row>
    <row r="244" ht="15.75" customHeight="1">
      <c r="A244" s="32"/>
      <c r="C244" s="32"/>
      <c r="D244" s="32"/>
      <c r="E244" s="32"/>
      <c r="F244" s="32"/>
      <c r="G244" s="32"/>
    </row>
    <row r="245" ht="15.75" customHeight="1">
      <c r="A245" s="32"/>
      <c r="C245" s="32"/>
      <c r="D245" s="32"/>
      <c r="E245" s="32"/>
      <c r="F245" s="32"/>
      <c r="G245" s="32"/>
    </row>
    <row r="246" ht="15.75" customHeight="1">
      <c r="A246" s="32"/>
      <c r="C246" s="32"/>
      <c r="D246" s="32"/>
      <c r="E246" s="32"/>
      <c r="F246" s="32"/>
      <c r="G246" s="32"/>
    </row>
    <row r="247" ht="15.75" customHeight="1">
      <c r="A247" s="32"/>
      <c r="C247" s="32"/>
      <c r="D247" s="32"/>
      <c r="E247" s="32"/>
      <c r="F247" s="32"/>
      <c r="G247" s="32"/>
    </row>
    <row r="248" ht="15.75" customHeight="1">
      <c r="A248" s="32"/>
      <c r="C248" s="32"/>
      <c r="D248" s="32"/>
      <c r="E248" s="32"/>
      <c r="F248" s="32"/>
      <c r="G248" s="32"/>
    </row>
    <row r="249" ht="15.75" customHeight="1">
      <c r="A249" s="32"/>
      <c r="C249" s="32"/>
      <c r="D249" s="32"/>
      <c r="E249" s="32"/>
      <c r="F249" s="32"/>
      <c r="G249" s="32"/>
    </row>
    <row r="250" ht="15.75" customHeight="1">
      <c r="A250" s="32"/>
      <c r="C250" s="32"/>
      <c r="D250" s="32"/>
      <c r="E250" s="32"/>
      <c r="F250" s="32"/>
      <c r="G250" s="32"/>
    </row>
    <row r="251" ht="15.75" customHeight="1">
      <c r="A251" s="32"/>
      <c r="C251" s="32"/>
      <c r="D251" s="32"/>
      <c r="E251" s="32"/>
      <c r="F251" s="32"/>
      <c r="G251" s="32"/>
    </row>
    <row r="252" ht="15.75" customHeight="1">
      <c r="A252" s="32"/>
      <c r="C252" s="32"/>
      <c r="D252" s="32"/>
      <c r="E252" s="32"/>
      <c r="F252" s="32"/>
      <c r="G252" s="32"/>
    </row>
    <row r="253" ht="15.75" customHeight="1">
      <c r="A253" s="32"/>
      <c r="C253" s="32"/>
      <c r="D253" s="32"/>
      <c r="E253" s="32"/>
      <c r="F253" s="32"/>
      <c r="G253" s="32"/>
    </row>
    <row r="254" ht="15.75" customHeight="1">
      <c r="A254" s="32"/>
      <c r="C254" s="32"/>
      <c r="D254" s="32"/>
      <c r="E254" s="32"/>
      <c r="F254" s="32"/>
      <c r="G254" s="32"/>
    </row>
    <row r="255" ht="15.75" customHeight="1">
      <c r="A255" s="32"/>
      <c r="C255" s="32"/>
      <c r="D255" s="32"/>
      <c r="E255" s="32"/>
      <c r="F255" s="32"/>
      <c r="G255" s="32"/>
    </row>
    <row r="256" ht="15.75" customHeight="1">
      <c r="A256" s="32"/>
      <c r="C256" s="32"/>
      <c r="D256" s="32"/>
      <c r="E256" s="32"/>
      <c r="F256" s="32"/>
      <c r="G256" s="32"/>
    </row>
    <row r="257" ht="15.75" customHeight="1">
      <c r="A257" s="32"/>
      <c r="C257" s="32"/>
      <c r="D257" s="32"/>
      <c r="E257" s="32"/>
      <c r="F257" s="32"/>
      <c r="G257" s="32"/>
    </row>
    <row r="258" ht="15.75" customHeight="1">
      <c r="A258" s="32"/>
      <c r="C258" s="32"/>
      <c r="D258" s="32"/>
      <c r="E258" s="32"/>
      <c r="F258" s="32"/>
      <c r="G258" s="32"/>
    </row>
    <row r="259" ht="15.75" customHeight="1">
      <c r="A259" s="32"/>
      <c r="C259" s="32"/>
      <c r="D259" s="32"/>
      <c r="E259" s="32"/>
      <c r="F259" s="32"/>
      <c r="G259" s="32"/>
    </row>
    <row r="260" ht="15.75" customHeight="1">
      <c r="A260" s="32"/>
      <c r="C260" s="32"/>
      <c r="D260" s="32"/>
      <c r="E260" s="32"/>
      <c r="F260" s="32"/>
      <c r="G260" s="32"/>
    </row>
    <row r="261" ht="15.75" customHeight="1">
      <c r="A261" s="32"/>
      <c r="C261" s="32"/>
      <c r="D261" s="32"/>
      <c r="E261" s="32"/>
      <c r="F261" s="32"/>
      <c r="G261" s="32"/>
    </row>
    <row r="262" ht="15.75" customHeight="1">
      <c r="A262" s="32"/>
      <c r="C262" s="32"/>
      <c r="D262" s="32"/>
      <c r="E262" s="32"/>
      <c r="F262" s="32"/>
      <c r="G262" s="32"/>
    </row>
    <row r="263" ht="15.75" customHeight="1">
      <c r="A263" s="32"/>
      <c r="C263" s="32"/>
      <c r="D263" s="32"/>
      <c r="E263" s="32"/>
      <c r="F263" s="32"/>
      <c r="G263" s="32"/>
    </row>
    <row r="264" ht="15.75" customHeight="1">
      <c r="A264" s="32"/>
      <c r="C264" s="32"/>
      <c r="D264" s="32"/>
      <c r="E264" s="32"/>
      <c r="F264" s="32"/>
      <c r="G264" s="32"/>
    </row>
    <row r="265" ht="15.75" customHeight="1">
      <c r="A265" s="32"/>
      <c r="C265" s="32"/>
      <c r="D265" s="32"/>
      <c r="E265" s="32"/>
      <c r="F265" s="32"/>
      <c r="G265" s="32"/>
    </row>
    <row r="266" ht="15.75" customHeight="1">
      <c r="A266" s="32"/>
      <c r="C266" s="32"/>
      <c r="D266" s="32"/>
      <c r="E266" s="32"/>
      <c r="F266" s="32"/>
      <c r="G266" s="32"/>
    </row>
    <row r="267" ht="15.75" customHeight="1">
      <c r="A267" s="32"/>
      <c r="C267" s="32"/>
      <c r="D267" s="32"/>
      <c r="E267" s="32"/>
      <c r="F267" s="32"/>
      <c r="G267" s="32"/>
    </row>
    <row r="268" ht="15.75" customHeight="1">
      <c r="A268" s="32"/>
      <c r="C268" s="32"/>
      <c r="D268" s="32"/>
      <c r="E268" s="32"/>
      <c r="F268" s="32"/>
      <c r="G268" s="32"/>
    </row>
    <row r="269" ht="15.75" customHeight="1">
      <c r="A269" s="32"/>
      <c r="C269" s="32"/>
      <c r="D269" s="32"/>
      <c r="E269" s="32"/>
      <c r="F269" s="32"/>
      <c r="G269" s="32"/>
    </row>
    <row r="270" ht="15.75" customHeight="1">
      <c r="A270" s="32"/>
      <c r="C270" s="32"/>
      <c r="D270" s="32"/>
      <c r="E270" s="32"/>
      <c r="F270" s="32"/>
      <c r="G270" s="32"/>
    </row>
    <row r="271" ht="15.75" customHeight="1">
      <c r="A271" s="32"/>
      <c r="C271" s="32"/>
      <c r="D271" s="32"/>
      <c r="E271" s="32"/>
      <c r="F271" s="32"/>
      <c r="G271" s="32"/>
    </row>
    <row r="272" ht="15.75" customHeight="1">
      <c r="A272" s="32"/>
      <c r="C272" s="32"/>
      <c r="D272" s="32"/>
      <c r="E272" s="32"/>
      <c r="F272" s="32"/>
      <c r="G272" s="32"/>
    </row>
    <row r="273" ht="15.75" customHeight="1">
      <c r="A273" s="32"/>
      <c r="C273" s="32"/>
      <c r="D273" s="32"/>
      <c r="E273" s="32"/>
      <c r="F273" s="32"/>
      <c r="G273" s="32"/>
    </row>
    <row r="274" ht="15.75" customHeight="1">
      <c r="A274" s="32"/>
      <c r="C274" s="32"/>
      <c r="D274" s="32"/>
      <c r="E274" s="32"/>
      <c r="F274" s="32"/>
      <c r="G274" s="32"/>
    </row>
    <row r="275" ht="15.75" customHeight="1">
      <c r="A275" s="32"/>
      <c r="C275" s="32"/>
      <c r="D275" s="32"/>
      <c r="E275" s="32"/>
      <c r="F275" s="32"/>
      <c r="G275" s="32"/>
    </row>
    <row r="276" ht="15.75" customHeight="1">
      <c r="A276" s="32"/>
      <c r="C276" s="32"/>
      <c r="D276" s="32"/>
      <c r="E276" s="32"/>
      <c r="F276" s="32"/>
      <c r="G276" s="32"/>
    </row>
    <row r="277" ht="15.75" customHeight="1">
      <c r="A277" s="32"/>
      <c r="C277" s="32"/>
      <c r="D277" s="32"/>
      <c r="E277" s="32"/>
      <c r="F277" s="32"/>
      <c r="G277" s="32"/>
    </row>
    <row r="278" ht="15.75" customHeight="1">
      <c r="A278" s="32"/>
      <c r="C278" s="32"/>
      <c r="D278" s="32"/>
      <c r="E278" s="32"/>
      <c r="F278" s="32"/>
      <c r="G278" s="32"/>
    </row>
    <row r="279" ht="15.75" customHeight="1">
      <c r="A279" s="32"/>
      <c r="C279" s="32"/>
      <c r="D279" s="32"/>
      <c r="E279" s="32"/>
      <c r="F279" s="32"/>
      <c r="G279" s="32"/>
    </row>
    <row r="280" ht="15.75" customHeight="1">
      <c r="A280" s="32"/>
      <c r="C280" s="32"/>
      <c r="D280" s="32"/>
      <c r="E280" s="32"/>
      <c r="F280" s="32"/>
      <c r="G280" s="32"/>
    </row>
    <row r="281" ht="15.75" customHeight="1">
      <c r="A281" s="32"/>
      <c r="C281" s="32"/>
      <c r="D281" s="32"/>
      <c r="E281" s="32"/>
      <c r="F281" s="32"/>
      <c r="G281" s="32"/>
    </row>
    <row r="282" ht="15.75" customHeight="1">
      <c r="A282" s="32"/>
      <c r="C282" s="32"/>
      <c r="D282" s="32"/>
      <c r="E282" s="32"/>
      <c r="F282" s="32"/>
      <c r="G282" s="32"/>
    </row>
    <row r="283" ht="15.75" customHeight="1">
      <c r="A283" s="32"/>
      <c r="C283" s="32"/>
      <c r="D283" s="32"/>
      <c r="E283" s="32"/>
      <c r="F283" s="32"/>
      <c r="G283" s="32"/>
    </row>
    <row r="284" ht="15.75" customHeight="1">
      <c r="A284" s="32"/>
      <c r="C284" s="32"/>
      <c r="D284" s="32"/>
      <c r="E284" s="32"/>
      <c r="F284" s="32"/>
      <c r="G284" s="32"/>
    </row>
    <row r="285" ht="15.75" customHeight="1">
      <c r="A285" s="32"/>
      <c r="C285" s="32"/>
      <c r="D285" s="32"/>
      <c r="E285" s="32"/>
      <c r="F285" s="32"/>
      <c r="G285" s="32"/>
    </row>
    <row r="286" ht="15.75" customHeight="1">
      <c r="A286" s="32"/>
      <c r="C286" s="32"/>
      <c r="D286" s="32"/>
      <c r="E286" s="32"/>
      <c r="F286" s="32"/>
      <c r="G286" s="32"/>
    </row>
    <row r="287" ht="15.75" customHeight="1">
      <c r="A287" s="32"/>
      <c r="C287" s="32"/>
      <c r="D287" s="32"/>
      <c r="E287" s="32"/>
      <c r="F287" s="32"/>
      <c r="G287" s="32"/>
    </row>
    <row r="288" ht="15.75" customHeight="1">
      <c r="A288" s="32"/>
      <c r="C288" s="32"/>
      <c r="D288" s="32"/>
      <c r="E288" s="32"/>
      <c r="F288" s="32"/>
      <c r="G288" s="32"/>
    </row>
    <row r="289" ht="15.75" customHeight="1">
      <c r="A289" s="32"/>
      <c r="C289" s="32"/>
      <c r="D289" s="32"/>
      <c r="E289" s="32"/>
      <c r="F289" s="32"/>
      <c r="G289" s="32"/>
    </row>
    <row r="290" ht="15.75" customHeight="1">
      <c r="A290" s="32"/>
      <c r="C290" s="32"/>
      <c r="D290" s="32"/>
      <c r="E290" s="32"/>
      <c r="F290" s="32"/>
      <c r="G290" s="32"/>
    </row>
    <row r="291" ht="15.75" customHeight="1">
      <c r="A291" s="32"/>
      <c r="C291" s="32"/>
      <c r="D291" s="32"/>
      <c r="E291" s="32"/>
      <c r="F291" s="32"/>
      <c r="G291" s="32"/>
    </row>
    <row r="292" ht="15.75" customHeight="1">
      <c r="A292" s="32"/>
      <c r="C292" s="32"/>
      <c r="D292" s="32"/>
      <c r="E292" s="32"/>
      <c r="F292" s="32"/>
      <c r="G292" s="32"/>
    </row>
    <row r="293" ht="15.75" customHeight="1">
      <c r="A293" s="32"/>
      <c r="C293" s="32"/>
      <c r="D293" s="32"/>
      <c r="E293" s="32"/>
      <c r="F293" s="32"/>
      <c r="G293" s="32"/>
    </row>
    <row r="294" ht="15.75" customHeight="1">
      <c r="A294" s="32"/>
      <c r="C294" s="32"/>
      <c r="D294" s="32"/>
      <c r="E294" s="32"/>
      <c r="F294" s="32"/>
      <c r="G294" s="32"/>
    </row>
    <row r="295" ht="15.75" customHeight="1">
      <c r="A295" s="32"/>
      <c r="C295" s="32"/>
      <c r="D295" s="32"/>
      <c r="E295" s="32"/>
      <c r="F295" s="32"/>
      <c r="G295" s="32"/>
    </row>
    <row r="296" ht="15.75" customHeight="1">
      <c r="A296" s="32"/>
      <c r="C296" s="32"/>
      <c r="D296" s="32"/>
      <c r="E296" s="32"/>
      <c r="F296" s="32"/>
      <c r="G296" s="32"/>
    </row>
    <row r="297" ht="15.75" customHeight="1">
      <c r="A297" s="32"/>
      <c r="C297" s="32"/>
      <c r="D297" s="32"/>
      <c r="E297" s="32"/>
      <c r="F297" s="32"/>
      <c r="G297" s="32"/>
    </row>
    <row r="298" ht="15.75" customHeight="1">
      <c r="A298" s="32"/>
      <c r="C298" s="32"/>
      <c r="D298" s="32"/>
      <c r="E298" s="32"/>
      <c r="F298" s="32"/>
      <c r="G298" s="32"/>
    </row>
    <row r="299" ht="15.75" customHeight="1">
      <c r="A299" s="32"/>
      <c r="C299" s="32"/>
      <c r="D299" s="32"/>
      <c r="E299" s="32"/>
      <c r="F299" s="32"/>
      <c r="G299" s="32"/>
    </row>
    <row r="300" ht="15.75" customHeight="1">
      <c r="A300" s="32"/>
      <c r="C300" s="32"/>
      <c r="D300" s="32"/>
      <c r="E300" s="32"/>
      <c r="F300" s="32"/>
      <c r="G300" s="32"/>
    </row>
    <row r="301" ht="15.75" customHeight="1">
      <c r="A301" s="32"/>
      <c r="C301" s="32"/>
      <c r="D301" s="32"/>
      <c r="E301" s="32"/>
      <c r="F301" s="32"/>
      <c r="G301" s="32"/>
    </row>
    <row r="302" ht="15.75" customHeight="1">
      <c r="A302" s="32"/>
      <c r="C302" s="32"/>
      <c r="D302" s="32"/>
      <c r="E302" s="32"/>
      <c r="F302" s="32"/>
      <c r="G302" s="32"/>
    </row>
    <row r="303" ht="15.75" customHeight="1">
      <c r="A303" s="32"/>
      <c r="C303" s="32"/>
      <c r="D303" s="32"/>
      <c r="E303" s="32"/>
      <c r="F303" s="32"/>
      <c r="G303" s="32"/>
    </row>
    <row r="304" ht="15.75" customHeight="1">
      <c r="A304" s="32"/>
      <c r="C304" s="32"/>
      <c r="D304" s="32"/>
      <c r="E304" s="32"/>
      <c r="F304" s="32"/>
      <c r="G304" s="32"/>
    </row>
    <row r="305" ht="15.75" customHeight="1">
      <c r="A305" s="32"/>
      <c r="C305" s="32"/>
      <c r="D305" s="32"/>
      <c r="E305" s="32"/>
      <c r="F305" s="32"/>
      <c r="G305" s="32"/>
    </row>
    <row r="306" ht="15.75" customHeight="1">
      <c r="A306" s="32"/>
      <c r="C306" s="32"/>
      <c r="D306" s="32"/>
      <c r="E306" s="32"/>
      <c r="F306" s="32"/>
      <c r="G306" s="32"/>
    </row>
    <row r="307" ht="15.75" customHeight="1">
      <c r="A307" s="32"/>
      <c r="C307" s="32"/>
      <c r="D307" s="32"/>
      <c r="E307" s="32"/>
      <c r="F307" s="32"/>
      <c r="G307" s="32"/>
    </row>
    <row r="308" ht="15.75" customHeight="1">
      <c r="A308" s="32"/>
      <c r="C308" s="32"/>
      <c r="D308" s="32"/>
      <c r="E308" s="32"/>
      <c r="F308" s="32"/>
      <c r="G308" s="32"/>
    </row>
    <row r="309" ht="15.75" customHeight="1">
      <c r="A309" s="32"/>
      <c r="C309" s="32"/>
      <c r="D309" s="32"/>
      <c r="E309" s="32"/>
      <c r="F309" s="32"/>
      <c r="G309" s="32"/>
    </row>
    <row r="310" ht="15.75" customHeight="1">
      <c r="A310" s="32"/>
      <c r="C310" s="32"/>
      <c r="D310" s="32"/>
      <c r="E310" s="32"/>
      <c r="F310" s="32"/>
      <c r="G310" s="32"/>
    </row>
    <row r="311" ht="15.75" customHeight="1">
      <c r="A311" s="32"/>
      <c r="C311" s="32"/>
      <c r="D311" s="32"/>
      <c r="E311" s="32"/>
      <c r="F311" s="32"/>
      <c r="G311" s="32"/>
    </row>
    <row r="312" ht="15.75" customHeight="1">
      <c r="A312" s="32"/>
      <c r="C312" s="32"/>
      <c r="D312" s="32"/>
      <c r="E312" s="32"/>
      <c r="F312" s="32"/>
      <c r="G312" s="32"/>
    </row>
    <row r="313" ht="15.75" customHeight="1">
      <c r="A313" s="32"/>
      <c r="C313" s="32"/>
      <c r="D313" s="32"/>
      <c r="E313" s="32"/>
      <c r="F313" s="32"/>
      <c r="G313" s="32"/>
    </row>
    <row r="314" ht="15.75" customHeight="1">
      <c r="A314" s="32"/>
      <c r="C314" s="32"/>
      <c r="D314" s="32"/>
      <c r="E314" s="32"/>
      <c r="F314" s="32"/>
      <c r="G314" s="32"/>
    </row>
    <row r="315" ht="15.75" customHeight="1">
      <c r="A315" s="32"/>
      <c r="C315" s="32"/>
      <c r="D315" s="32"/>
      <c r="E315" s="32"/>
      <c r="F315" s="32"/>
      <c r="G315" s="32"/>
    </row>
    <row r="316" ht="15.75" customHeight="1">
      <c r="A316" s="32"/>
      <c r="C316" s="32"/>
      <c r="D316" s="32"/>
      <c r="E316" s="32"/>
      <c r="F316" s="32"/>
      <c r="G316" s="32"/>
    </row>
    <row r="317" ht="15.75" customHeight="1">
      <c r="A317" s="32"/>
      <c r="C317" s="32"/>
      <c r="D317" s="32"/>
      <c r="E317" s="32"/>
      <c r="F317" s="32"/>
      <c r="G317" s="32"/>
    </row>
    <row r="318" ht="15.75" customHeight="1">
      <c r="A318" s="32"/>
      <c r="C318" s="32"/>
      <c r="D318" s="32"/>
      <c r="E318" s="32"/>
      <c r="F318" s="32"/>
      <c r="G318" s="32"/>
    </row>
    <row r="319" ht="15.75" customHeight="1">
      <c r="A319" s="32"/>
      <c r="C319" s="32"/>
      <c r="D319" s="32"/>
      <c r="E319" s="32"/>
      <c r="F319" s="32"/>
      <c r="G319" s="32"/>
    </row>
    <row r="320" ht="15.75" customHeight="1">
      <c r="A320" s="32"/>
      <c r="C320" s="32"/>
      <c r="D320" s="32"/>
      <c r="E320" s="32"/>
      <c r="F320" s="32"/>
      <c r="G320" s="32"/>
    </row>
    <row r="321" ht="15.75" customHeight="1">
      <c r="A321" s="32"/>
      <c r="C321" s="32"/>
      <c r="D321" s="32"/>
      <c r="E321" s="32"/>
      <c r="F321" s="32"/>
      <c r="G321" s="32"/>
    </row>
    <row r="322" ht="15.75" customHeight="1">
      <c r="A322" s="32"/>
      <c r="C322" s="32"/>
      <c r="D322" s="32"/>
      <c r="E322" s="32"/>
      <c r="F322" s="32"/>
      <c r="G322" s="32"/>
    </row>
    <row r="323" ht="15.75" customHeight="1">
      <c r="A323" s="32"/>
      <c r="C323" s="32"/>
      <c r="D323" s="32"/>
      <c r="E323" s="32"/>
      <c r="F323" s="32"/>
      <c r="G323" s="32"/>
    </row>
    <row r="324" ht="15.75" customHeight="1">
      <c r="A324" s="32"/>
      <c r="C324" s="32"/>
      <c r="D324" s="32"/>
      <c r="E324" s="32"/>
      <c r="F324" s="32"/>
      <c r="G324" s="32"/>
    </row>
    <row r="325" ht="15.75" customHeight="1">
      <c r="A325" s="32"/>
      <c r="C325" s="32"/>
      <c r="D325" s="32"/>
      <c r="E325" s="32"/>
      <c r="F325" s="32"/>
      <c r="G325" s="32"/>
    </row>
    <row r="326" ht="15.75" customHeight="1">
      <c r="A326" s="32"/>
      <c r="C326" s="32"/>
      <c r="D326" s="32"/>
      <c r="E326" s="32"/>
      <c r="F326" s="32"/>
      <c r="G326" s="32"/>
    </row>
    <row r="327" ht="15.75" customHeight="1">
      <c r="A327" s="32"/>
      <c r="C327" s="32"/>
      <c r="D327" s="32"/>
      <c r="E327" s="32"/>
      <c r="F327" s="32"/>
      <c r="G327" s="32"/>
    </row>
    <row r="328" ht="15.75" customHeight="1">
      <c r="A328" s="32"/>
      <c r="C328" s="32"/>
      <c r="D328" s="32"/>
      <c r="E328" s="32"/>
      <c r="F328" s="32"/>
      <c r="G328" s="32"/>
    </row>
    <row r="329" ht="15.75" customHeight="1">
      <c r="A329" s="32"/>
      <c r="C329" s="32"/>
      <c r="D329" s="32"/>
      <c r="E329" s="32"/>
      <c r="F329" s="32"/>
      <c r="G329" s="32"/>
    </row>
    <row r="330" ht="15.75" customHeight="1">
      <c r="A330" s="32"/>
      <c r="C330" s="32"/>
      <c r="D330" s="32"/>
      <c r="E330" s="32"/>
      <c r="F330" s="32"/>
      <c r="G330" s="32"/>
    </row>
    <row r="331" ht="15.75" customHeight="1">
      <c r="A331" s="32"/>
      <c r="C331" s="32"/>
      <c r="D331" s="32"/>
      <c r="E331" s="32"/>
      <c r="F331" s="32"/>
      <c r="G331" s="32"/>
    </row>
    <row r="332" ht="15.75" customHeight="1">
      <c r="A332" s="32"/>
      <c r="C332" s="32"/>
      <c r="D332" s="32"/>
      <c r="E332" s="32"/>
      <c r="F332" s="32"/>
      <c r="G332" s="32"/>
    </row>
    <row r="333" ht="15.75" customHeight="1">
      <c r="A333" s="32"/>
      <c r="C333" s="32"/>
      <c r="D333" s="32"/>
      <c r="E333" s="32"/>
      <c r="F333" s="32"/>
      <c r="G333" s="32"/>
    </row>
    <row r="334" ht="15.75" customHeight="1">
      <c r="A334" s="32"/>
      <c r="C334" s="32"/>
      <c r="D334" s="32"/>
      <c r="E334" s="32"/>
      <c r="F334" s="32"/>
      <c r="G334" s="32"/>
    </row>
    <row r="335" ht="15.75" customHeight="1">
      <c r="A335" s="32"/>
      <c r="C335" s="32"/>
      <c r="D335" s="32"/>
      <c r="E335" s="32"/>
      <c r="F335" s="32"/>
      <c r="G335" s="32"/>
    </row>
    <row r="336" ht="15.75" customHeight="1">
      <c r="A336" s="32"/>
      <c r="C336" s="32"/>
      <c r="D336" s="32"/>
      <c r="E336" s="32"/>
      <c r="F336" s="32"/>
      <c r="G336" s="32"/>
    </row>
    <row r="337" ht="15.75" customHeight="1">
      <c r="A337" s="32"/>
      <c r="C337" s="32"/>
      <c r="D337" s="32"/>
      <c r="E337" s="32"/>
      <c r="F337" s="32"/>
      <c r="G337" s="32"/>
    </row>
    <row r="338" ht="15.75" customHeight="1">
      <c r="A338" s="32"/>
      <c r="C338" s="32"/>
      <c r="D338" s="32"/>
      <c r="E338" s="32"/>
      <c r="F338" s="32"/>
      <c r="G338" s="32"/>
    </row>
    <row r="339" ht="15.75" customHeight="1">
      <c r="A339" s="32"/>
      <c r="C339" s="32"/>
      <c r="D339" s="32"/>
      <c r="E339" s="32"/>
      <c r="F339" s="32"/>
      <c r="G339" s="32"/>
    </row>
    <row r="340" ht="15.75" customHeight="1">
      <c r="A340" s="32"/>
      <c r="C340" s="32"/>
      <c r="D340" s="32"/>
      <c r="E340" s="32"/>
      <c r="F340" s="32"/>
      <c r="G340" s="32"/>
    </row>
    <row r="341" ht="15.75" customHeight="1">
      <c r="A341" s="32"/>
      <c r="C341" s="32"/>
      <c r="D341" s="32"/>
      <c r="E341" s="32"/>
      <c r="F341" s="32"/>
      <c r="G341" s="32"/>
    </row>
    <row r="342" ht="15.75" customHeight="1">
      <c r="A342" s="32"/>
      <c r="C342" s="32"/>
      <c r="D342" s="32"/>
      <c r="E342" s="32"/>
      <c r="F342" s="32"/>
      <c r="G342" s="32"/>
    </row>
    <row r="343" ht="15.75" customHeight="1">
      <c r="A343" s="32"/>
      <c r="C343" s="32"/>
      <c r="D343" s="32"/>
      <c r="E343" s="32"/>
      <c r="F343" s="32"/>
      <c r="G343" s="32"/>
    </row>
    <row r="344" ht="15.75" customHeight="1">
      <c r="A344" s="32"/>
      <c r="C344" s="32"/>
      <c r="D344" s="32"/>
      <c r="E344" s="32"/>
      <c r="F344" s="32"/>
      <c r="G344" s="32"/>
    </row>
    <row r="345" ht="15.75" customHeight="1">
      <c r="A345" s="32"/>
      <c r="C345" s="32"/>
      <c r="D345" s="32"/>
      <c r="E345" s="32"/>
      <c r="F345" s="32"/>
      <c r="G345" s="32"/>
    </row>
    <row r="346" ht="15.75" customHeight="1">
      <c r="A346" s="32"/>
      <c r="C346" s="32"/>
      <c r="D346" s="32"/>
      <c r="E346" s="32"/>
      <c r="F346" s="32"/>
      <c r="G346" s="32"/>
    </row>
    <row r="347" ht="15.75" customHeight="1">
      <c r="A347" s="32"/>
      <c r="C347" s="32"/>
      <c r="D347" s="32"/>
      <c r="E347" s="32"/>
      <c r="F347" s="32"/>
      <c r="G347" s="32"/>
    </row>
    <row r="348" ht="15.75" customHeight="1">
      <c r="A348" s="32"/>
      <c r="C348" s="32"/>
      <c r="D348" s="32"/>
      <c r="E348" s="32"/>
      <c r="F348" s="32"/>
      <c r="G348" s="32"/>
    </row>
    <row r="349" ht="15.75" customHeight="1">
      <c r="A349" s="32"/>
      <c r="C349" s="32"/>
      <c r="D349" s="32"/>
      <c r="E349" s="32"/>
      <c r="F349" s="32"/>
      <c r="G349" s="32"/>
    </row>
    <row r="350" ht="15.75" customHeight="1">
      <c r="A350" s="32"/>
      <c r="C350" s="32"/>
      <c r="D350" s="32"/>
      <c r="E350" s="32"/>
      <c r="F350" s="32"/>
      <c r="G350" s="32"/>
    </row>
    <row r="351" ht="15.75" customHeight="1">
      <c r="A351" s="32"/>
      <c r="C351" s="32"/>
      <c r="D351" s="32"/>
      <c r="E351" s="32"/>
      <c r="F351" s="32"/>
      <c r="G351" s="32"/>
    </row>
    <row r="352" ht="15.75" customHeight="1">
      <c r="A352" s="32"/>
      <c r="C352" s="32"/>
      <c r="D352" s="32"/>
      <c r="E352" s="32"/>
      <c r="F352" s="32"/>
      <c r="G352" s="32"/>
    </row>
    <row r="353" ht="15.75" customHeight="1">
      <c r="A353" s="32"/>
      <c r="C353" s="32"/>
      <c r="D353" s="32"/>
      <c r="E353" s="32"/>
      <c r="F353" s="32"/>
      <c r="G353" s="32"/>
    </row>
    <row r="354" ht="15.75" customHeight="1">
      <c r="A354" s="32"/>
      <c r="C354" s="32"/>
      <c r="D354" s="32"/>
      <c r="E354" s="32"/>
      <c r="F354" s="32"/>
      <c r="G354" s="32"/>
    </row>
    <row r="355" ht="15.75" customHeight="1">
      <c r="A355" s="32"/>
      <c r="C355" s="32"/>
      <c r="D355" s="32"/>
      <c r="E355" s="32"/>
      <c r="F355" s="32"/>
      <c r="G355" s="32"/>
    </row>
    <row r="356" ht="15.75" customHeight="1">
      <c r="A356" s="32"/>
      <c r="C356" s="32"/>
      <c r="D356" s="32"/>
      <c r="E356" s="32"/>
      <c r="F356" s="32"/>
      <c r="G356" s="32"/>
    </row>
    <row r="357" ht="15.75" customHeight="1">
      <c r="A357" s="32"/>
      <c r="C357" s="32"/>
      <c r="D357" s="32"/>
      <c r="E357" s="32"/>
      <c r="F357" s="32"/>
      <c r="G357" s="32"/>
    </row>
    <row r="358" ht="15.75" customHeight="1">
      <c r="A358" s="32"/>
      <c r="C358" s="32"/>
      <c r="D358" s="32"/>
      <c r="E358" s="32"/>
      <c r="F358" s="32"/>
      <c r="G358" s="32"/>
    </row>
    <row r="359" ht="15.75" customHeight="1">
      <c r="A359" s="32"/>
      <c r="C359" s="32"/>
      <c r="D359" s="32"/>
      <c r="E359" s="32"/>
      <c r="F359" s="32"/>
      <c r="G359" s="32"/>
    </row>
    <row r="360" ht="15.75" customHeight="1">
      <c r="A360" s="32"/>
      <c r="C360" s="32"/>
      <c r="D360" s="32"/>
      <c r="E360" s="32"/>
      <c r="F360" s="32"/>
      <c r="G360" s="32"/>
    </row>
    <row r="361" ht="15.75" customHeight="1">
      <c r="A361" s="32"/>
      <c r="C361" s="32"/>
      <c r="D361" s="32"/>
      <c r="E361" s="32"/>
      <c r="F361" s="32"/>
      <c r="G361" s="32"/>
    </row>
    <row r="362" ht="15.75" customHeight="1">
      <c r="A362" s="32"/>
      <c r="C362" s="32"/>
      <c r="D362" s="32"/>
      <c r="E362" s="32"/>
      <c r="F362" s="32"/>
      <c r="G362" s="32"/>
    </row>
    <row r="363" ht="15.75" customHeight="1">
      <c r="A363" s="32"/>
      <c r="C363" s="32"/>
      <c r="D363" s="32"/>
      <c r="E363" s="32"/>
      <c r="F363" s="32"/>
      <c r="G363" s="32"/>
    </row>
    <row r="364" ht="15.75" customHeight="1">
      <c r="A364" s="32"/>
      <c r="C364" s="32"/>
      <c r="D364" s="32"/>
      <c r="E364" s="32"/>
      <c r="F364" s="32"/>
      <c r="G364" s="32"/>
    </row>
    <row r="365" ht="15.75" customHeight="1">
      <c r="A365" s="32"/>
      <c r="C365" s="32"/>
      <c r="D365" s="32"/>
      <c r="E365" s="32"/>
      <c r="F365" s="32"/>
      <c r="G365" s="32"/>
    </row>
    <row r="366" ht="15.75" customHeight="1">
      <c r="A366" s="32"/>
      <c r="C366" s="32"/>
      <c r="D366" s="32"/>
      <c r="E366" s="32"/>
      <c r="F366" s="32"/>
      <c r="G366" s="32"/>
    </row>
    <row r="367" ht="15.75" customHeight="1">
      <c r="A367" s="32"/>
      <c r="C367" s="32"/>
      <c r="D367" s="32"/>
      <c r="E367" s="32"/>
      <c r="F367" s="32"/>
      <c r="G367" s="32"/>
    </row>
    <row r="368" ht="15.75" customHeight="1">
      <c r="A368" s="32"/>
      <c r="C368" s="32"/>
      <c r="D368" s="32"/>
      <c r="E368" s="32"/>
      <c r="F368" s="32"/>
      <c r="G368" s="32"/>
    </row>
    <row r="369" ht="15.75" customHeight="1">
      <c r="A369" s="32"/>
      <c r="C369" s="32"/>
      <c r="D369" s="32"/>
      <c r="E369" s="32"/>
      <c r="F369" s="32"/>
      <c r="G369" s="32"/>
    </row>
    <row r="370" ht="15.75" customHeight="1">
      <c r="A370" s="32"/>
      <c r="C370" s="32"/>
      <c r="D370" s="32"/>
      <c r="E370" s="32"/>
      <c r="F370" s="32"/>
      <c r="G370" s="32"/>
    </row>
    <row r="371" ht="15.75" customHeight="1">
      <c r="A371" s="32"/>
      <c r="C371" s="32"/>
      <c r="D371" s="32"/>
      <c r="E371" s="32"/>
      <c r="F371" s="32"/>
      <c r="G371" s="32"/>
    </row>
    <row r="372" ht="15.75" customHeight="1">
      <c r="A372" s="32"/>
      <c r="C372" s="32"/>
      <c r="D372" s="32"/>
      <c r="E372" s="32"/>
      <c r="F372" s="32"/>
      <c r="G372" s="32"/>
    </row>
    <row r="373" ht="15.75" customHeight="1">
      <c r="A373" s="32"/>
      <c r="C373" s="32"/>
      <c r="D373" s="32"/>
      <c r="E373" s="32"/>
      <c r="F373" s="32"/>
      <c r="G373" s="32"/>
    </row>
    <row r="374" ht="15.75" customHeight="1">
      <c r="A374" s="32"/>
      <c r="C374" s="32"/>
      <c r="D374" s="32"/>
      <c r="E374" s="32"/>
      <c r="F374" s="32"/>
      <c r="G374" s="32"/>
    </row>
    <row r="375" ht="15.75" customHeight="1">
      <c r="A375" s="32"/>
      <c r="C375" s="32"/>
      <c r="D375" s="32"/>
      <c r="E375" s="32"/>
      <c r="F375" s="32"/>
      <c r="G375" s="32"/>
    </row>
    <row r="376" ht="15.75" customHeight="1">
      <c r="A376" s="32"/>
      <c r="C376" s="32"/>
      <c r="D376" s="32"/>
      <c r="E376" s="32"/>
      <c r="F376" s="32"/>
      <c r="G376" s="32"/>
    </row>
    <row r="377" ht="15.75" customHeight="1">
      <c r="A377" s="32"/>
      <c r="C377" s="32"/>
      <c r="D377" s="32"/>
      <c r="E377" s="32"/>
      <c r="F377" s="32"/>
      <c r="G377" s="32"/>
    </row>
    <row r="378" ht="15.75" customHeight="1">
      <c r="A378" s="32"/>
      <c r="C378" s="32"/>
      <c r="D378" s="32"/>
      <c r="E378" s="32"/>
      <c r="F378" s="32"/>
      <c r="G378" s="32"/>
    </row>
    <row r="379" ht="15.75" customHeight="1">
      <c r="A379" s="32"/>
      <c r="C379" s="32"/>
      <c r="D379" s="32"/>
      <c r="E379" s="32"/>
      <c r="F379" s="32"/>
      <c r="G379" s="32"/>
    </row>
    <row r="380" ht="15.75" customHeight="1">
      <c r="A380" s="32"/>
      <c r="C380" s="32"/>
      <c r="D380" s="32"/>
      <c r="E380" s="32"/>
      <c r="F380" s="32"/>
      <c r="G380" s="32"/>
    </row>
    <row r="381" ht="15.75" customHeight="1">
      <c r="A381" s="32"/>
      <c r="C381" s="32"/>
      <c r="D381" s="32"/>
      <c r="E381" s="32"/>
      <c r="F381" s="32"/>
      <c r="G381" s="32"/>
    </row>
    <row r="382" ht="15.75" customHeight="1">
      <c r="A382" s="32"/>
      <c r="C382" s="32"/>
      <c r="D382" s="32"/>
      <c r="E382" s="32"/>
      <c r="F382" s="32"/>
      <c r="G382" s="32"/>
    </row>
    <row r="383" ht="15.75" customHeight="1">
      <c r="A383" s="32"/>
      <c r="C383" s="32"/>
      <c r="D383" s="32"/>
      <c r="E383" s="32"/>
      <c r="F383" s="32"/>
      <c r="G383" s="32"/>
    </row>
    <row r="384" ht="15.75" customHeight="1">
      <c r="A384" s="32"/>
      <c r="C384" s="32"/>
      <c r="D384" s="32"/>
      <c r="E384" s="32"/>
      <c r="F384" s="32"/>
      <c r="G384" s="32"/>
    </row>
    <row r="385" ht="15.75" customHeight="1">
      <c r="A385" s="32"/>
      <c r="C385" s="32"/>
      <c r="D385" s="32"/>
      <c r="E385" s="32"/>
      <c r="F385" s="32"/>
      <c r="G385" s="32"/>
    </row>
    <row r="386" ht="15.75" customHeight="1">
      <c r="A386" s="32"/>
      <c r="C386" s="32"/>
      <c r="D386" s="32"/>
      <c r="E386" s="32"/>
      <c r="F386" s="32"/>
      <c r="G386" s="32"/>
    </row>
    <row r="387" ht="15.75" customHeight="1">
      <c r="A387" s="32"/>
      <c r="C387" s="32"/>
      <c r="D387" s="32"/>
      <c r="E387" s="32"/>
      <c r="F387" s="32"/>
      <c r="G387" s="32"/>
    </row>
    <row r="388" ht="15.75" customHeight="1">
      <c r="A388" s="32"/>
      <c r="C388" s="32"/>
      <c r="D388" s="32"/>
      <c r="E388" s="32"/>
      <c r="F388" s="32"/>
      <c r="G388" s="32"/>
    </row>
    <row r="389" ht="15.75" customHeight="1">
      <c r="A389" s="32"/>
      <c r="C389" s="32"/>
      <c r="D389" s="32"/>
      <c r="E389" s="32"/>
      <c r="F389" s="32"/>
      <c r="G389" s="32"/>
    </row>
    <row r="390" ht="15.75" customHeight="1">
      <c r="A390" s="32"/>
      <c r="C390" s="32"/>
      <c r="D390" s="32"/>
      <c r="E390" s="32"/>
      <c r="F390" s="32"/>
      <c r="G390" s="32"/>
    </row>
    <row r="391" ht="15.75" customHeight="1">
      <c r="A391" s="32"/>
      <c r="C391" s="32"/>
      <c r="D391" s="32"/>
      <c r="E391" s="32"/>
      <c r="F391" s="32"/>
      <c r="G391" s="32"/>
    </row>
    <row r="392" ht="15.75" customHeight="1">
      <c r="A392" s="32"/>
      <c r="C392" s="32"/>
      <c r="D392" s="32"/>
      <c r="E392" s="32"/>
      <c r="F392" s="32"/>
      <c r="G392" s="32"/>
    </row>
    <row r="393" ht="15.75" customHeight="1">
      <c r="A393" s="32"/>
      <c r="C393" s="32"/>
      <c r="D393" s="32"/>
      <c r="E393" s="32"/>
      <c r="F393" s="32"/>
      <c r="G393" s="32"/>
    </row>
    <row r="394" ht="15.75" customHeight="1">
      <c r="A394" s="32"/>
      <c r="C394" s="32"/>
      <c r="D394" s="32"/>
      <c r="E394" s="32"/>
      <c r="F394" s="32"/>
      <c r="G394" s="32"/>
    </row>
    <row r="395" ht="15.75" customHeight="1">
      <c r="A395" s="32"/>
      <c r="C395" s="32"/>
      <c r="D395" s="32"/>
      <c r="E395" s="32"/>
      <c r="F395" s="32"/>
      <c r="G395" s="32"/>
    </row>
    <row r="396" ht="15.75" customHeight="1">
      <c r="A396" s="32"/>
      <c r="C396" s="32"/>
      <c r="D396" s="32"/>
      <c r="E396" s="32"/>
      <c r="F396" s="32"/>
      <c r="G396" s="32"/>
    </row>
    <row r="397" ht="15.75" customHeight="1">
      <c r="A397" s="32"/>
      <c r="C397" s="32"/>
      <c r="D397" s="32"/>
      <c r="E397" s="32"/>
      <c r="F397" s="32"/>
      <c r="G397" s="32"/>
    </row>
    <row r="398" ht="15.75" customHeight="1">
      <c r="A398" s="32"/>
      <c r="C398" s="32"/>
      <c r="D398" s="32"/>
      <c r="E398" s="32"/>
      <c r="F398" s="32"/>
      <c r="G398" s="32"/>
    </row>
    <row r="399" ht="15.75" customHeight="1">
      <c r="A399" s="32"/>
      <c r="C399" s="32"/>
      <c r="D399" s="32"/>
      <c r="E399" s="32"/>
      <c r="F399" s="32"/>
      <c r="G399" s="32"/>
    </row>
    <row r="400" ht="15.75" customHeight="1">
      <c r="A400" s="32"/>
      <c r="C400" s="32"/>
      <c r="D400" s="32"/>
      <c r="E400" s="32"/>
      <c r="F400" s="32"/>
      <c r="G400" s="32"/>
    </row>
    <row r="401" ht="15.75" customHeight="1">
      <c r="A401" s="32"/>
      <c r="C401" s="32"/>
      <c r="D401" s="32"/>
      <c r="E401" s="32"/>
      <c r="F401" s="32"/>
      <c r="G401" s="32"/>
    </row>
    <row r="402" ht="15.75" customHeight="1">
      <c r="A402" s="32"/>
      <c r="C402" s="32"/>
      <c r="D402" s="32"/>
      <c r="E402" s="32"/>
      <c r="F402" s="32"/>
      <c r="G402" s="32"/>
    </row>
    <row r="403" ht="15.75" customHeight="1">
      <c r="A403" s="32"/>
      <c r="C403" s="32"/>
      <c r="D403" s="32"/>
      <c r="E403" s="32"/>
      <c r="F403" s="32"/>
      <c r="G403" s="32"/>
    </row>
    <row r="404" ht="15.75" customHeight="1">
      <c r="A404" s="32"/>
      <c r="C404" s="32"/>
      <c r="D404" s="32"/>
      <c r="E404" s="32"/>
      <c r="F404" s="32"/>
      <c r="G404" s="32"/>
    </row>
    <row r="405" ht="15.75" customHeight="1">
      <c r="A405" s="32"/>
      <c r="C405" s="32"/>
      <c r="D405" s="32"/>
      <c r="E405" s="32"/>
      <c r="F405" s="32"/>
      <c r="G405" s="32"/>
    </row>
    <row r="406" ht="15.75" customHeight="1">
      <c r="A406" s="32"/>
      <c r="C406" s="32"/>
      <c r="D406" s="32"/>
      <c r="E406" s="32"/>
      <c r="F406" s="32"/>
      <c r="G406" s="32"/>
    </row>
    <row r="407" ht="15.75" customHeight="1">
      <c r="A407" s="32"/>
      <c r="C407" s="32"/>
      <c r="D407" s="32"/>
      <c r="E407" s="32"/>
      <c r="F407" s="32"/>
      <c r="G407" s="32"/>
    </row>
    <row r="408" ht="15.75" customHeight="1">
      <c r="A408" s="32"/>
      <c r="C408" s="32"/>
      <c r="D408" s="32"/>
      <c r="E408" s="32"/>
      <c r="F408" s="32"/>
      <c r="G408" s="32"/>
    </row>
    <row r="409" ht="15.75" customHeight="1">
      <c r="A409" s="32"/>
      <c r="C409" s="32"/>
      <c r="D409" s="32"/>
      <c r="E409" s="32"/>
      <c r="F409" s="32"/>
      <c r="G409" s="32"/>
    </row>
    <row r="410" ht="15.75" customHeight="1">
      <c r="A410" s="32"/>
      <c r="C410" s="32"/>
      <c r="D410" s="32"/>
      <c r="E410" s="32"/>
      <c r="F410" s="32"/>
      <c r="G410" s="32"/>
    </row>
    <row r="411" ht="15.75" customHeight="1">
      <c r="A411" s="32"/>
      <c r="C411" s="32"/>
      <c r="D411" s="32"/>
      <c r="E411" s="32"/>
      <c r="F411" s="32"/>
      <c r="G411" s="32"/>
    </row>
    <row r="412" ht="15.75" customHeight="1">
      <c r="A412" s="32"/>
      <c r="C412" s="32"/>
      <c r="D412" s="32"/>
      <c r="E412" s="32"/>
      <c r="F412" s="32"/>
      <c r="G412" s="32"/>
    </row>
    <row r="413" ht="15.75" customHeight="1">
      <c r="A413" s="32"/>
      <c r="C413" s="32"/>
      <c r="D413" s="32"/>
      <c r="E413" s="32"/>
      <c r="F413" s="32"/>
      <c r="G413" s="32"/>
    </row>
    <row r="414" ht="15.75" customHeight="1">
      <c r="A414" s="32"/>
      <c r="C414" s="32"/>
      <c r="D414" s="32"/>
      <c r="E414" s="32"/>
      <c r="F414" s="32"/>
      <c r="G414" s="32"/>
    </row>
    <row r="415" ht="15.75" customHeight="1">
      <c r="A415" s="32"/>
      <c r="C415" s="32"/>
      <c r="D415" s="32"/>
      <c r="E415" s="32"/>
      <c r="F415" s="32"/>
      <c r="G415" s="32"/>
    </row>
    <row r="416" ht="15.75" customHeight="1">
      <c r="A416" s="32"/>
      <c r="C416" s="32"/>
      <c r="D416" s="32"/>
      <c r="E416" s="32"/>
      <c r="F416" s="32"/>
      <c r="G416" s="32"/>
    </row>
    <row r="417" ht="15.75" customHeight="1">
      <c r="A417" s="32"/>
      <c r="C417" s="32"/>
      <c r="D417" s="32"/>
      <c r="E417" s="32"/>
      <c r="F417" s="32"/>
      <c r="G417" s="32"/>
    </row>
    <row r="418" ht="15.75" customHeight="1">
      <c r="A418" s="32"/>
      <c r="C418" s="32"/>
      <c r="D418" s="32"/>
      <c r="E418" s="32"/>
      <c r="F418" s="32"/>
      <c r="G418" s="32"/>
    </row>
    <row r="419" ht="15.75" customHeight="1">
      <c r="A419" s="32"/>
      <c r="C419" s="32"/>
      <c r="D419" s="32"/>
      <c r="E419" s="32"/>
      <c r="F419" s="32"/>
      <c r="G419" s="32"/>
    </row>
    <row r="420" ht="15.75" customHeight="1">
      <c r="A420" s="32"/>
      <c r="C420" s="32"/>
      <c r="D420" s="32"/>
      <c r="E420" s="32"/>
      <c r="F420" s="32"/>
      <c r="G420" s="32"/>
    </row>
    <row r="421" ht="15.75" customHeight="1">
      <c r="A421" s="32"/>
      <c r="C421" s="32"/>
      <c r="D421" s="32"/>
      <c r="E421" s="32"/>
      <c r="F421" s="32"/>
      <c r="G421" s="32"/>
    </row>
    <row r="422" ht="15.75" customHeight="1">
      <c r="A422" s="32"/>
      <c r="C422" s="32"/>
      <c r="D422" s="32"/>
      <c r="E422" s="32"/>
      <c r="F422" s="32"/>
      <c r="G422" s="32"/>
    </row>
    <row r="423" ht="15.75" customHeight="1">
      <c r="A423" s="32"/>
      <c r="C423" s="32"/>
      <c r="D423" s="32"/>
      <c r="E423" s="32"/>
      <c r="F423" s="32"/>
      <c r="G423" s="32"/>
    </row>
    <row r="424" ht="15.75" customHeight="1">
      <c r="A424" s="32"/>
      <c r="C424" s="32"/>
      <c r="D424" s="32"/>
      <c r="E424" s="32"/>
      <c r="F424" s="32"/>
      <c r="G424" s="32"/>
    </row>
    <row r="425" ht="15.75" customHeight="1">
      <c r="A425" s="32"/>
      <c r="C425" s="32"/>
      <c r="D425" s="32"/>
      <c r="E425" s="32"/>
      <c r="F425" s="32"/>
      <c r="G425" s="32"/>
    </row>
    <row r="426" ht="15.75" customHeight="1">
      <c r="A426" s="32"/>
      <c r="C426" s="32"/>
      <c r="D426" s="32"/>
      <c r="E426" s="32"/>
      <c r="F426" s="32"/>
      <c r="G426" s="32"/>
    </row>
    <row r="427" ht="15.75" customHeight="1">
      <c r="A427" s="32"/>
      <c r="C427" s="32"/>
      <c r="D427" s="32"/>
      <c r="E427" s="32"/>
      <c r="F427" s="32"/>
      <c r="G427" s="32"/>
    </row>
    <row r="428" ht="15.75" customHeight="1">
      <c r="A428" s="32"/>
      <c r="C428" s="32"/>
      <c r="D428" s="32"/>
      <c r="E428" s="32"/>
      <c r="F428" s="32"/>
      <c r="G428" s="32"/>
    </row>
    <row r="429" ht="15.75" customHeight="1">
      <c r="A429" s="32"/>
      <c r="C429" s="32"/>
      <c r="D429" s="32"/>
      <c r="E429" s="32"/>
      <c r="F429" s="32"/>
      <c r="G429" s="32"/>
    </row>
    <row r="430" ht="15.75" customHeight="1">
      <c r="A430" s="32"/>
      <c r="C430" s="32"/>
      <c r="D430" s="32"/>
      <c r="E430" s="32"/>
      <c r="F430" s="32"/>
      <c r="G430" s="32"/>
    </row>
    <row r="431" ht="15.75" customHeight="1">
      <c r="A431" s="32"/>
      <c r="C431" s="32"/>
      <c r="D431" s="32"/>
      <c r="E431" s="32"/>
      <c r="F431" s="32"/>
      <c r="G431" s="32"/>
    </row>
    <row r="432" ht="15.75" customHeight="1">
      <c r="A432" s="32"/>
      <c r="C432" s="32"/>
      <c r="D432" s="32"/>
      <c r="E432" s="32"/>
      <c r="F432" s="32"/>
      <c r="G432" s="32"/>
    </row>
    <row r="433" ht="15.75" customHeight="1">
      <c r="A433" s="32"/>
      <c r="C433" s="32"/>
      <c r="D433" s="32"/>
      <c r="E433" s="32"/>
      <c r="F433" s="32"/>
      <c r="G433" s="32"/>
    </row>
    <row r="434" ht="15.75" customHeight="1">
      <c r="A434" s="32"/>
      <c r="C434" s="32"/>
      <c r="D434" s="32"/>
      <c r="E434" s="32"/>
      <c r="F434" s="32"/>
      <c r="G434" s="32"/>
    </row>
    <row r="435" ht="15.75" customHeight="1">
      <c r="A435" s="32"/>
      <c r="C435" s="32"/>
      <c r="D435" s="32"/>
      <c r="E435" s="32"/>
      <c r="F435" s="32"/>
      <c r="G435" s="32"/>
    </row>
    <row r="436" ht="15.75" customHeight="1">
      <c r="A436" s="32"/>
      <c r="C436" s="32"/>
      <c r="D436" s="32"/>
      <c r="E436" s="32"/>
      <c r="F436" s="32"/>
      <c r="G436" s="32"/>
    </row>
    <row r="437" ht="15.75" customHeight="1">
      <c r="A437" s="32"/>
      <c r="C437" s="32"/>
      <c r="D437" s="32"/>
      <c r="E437" s="32"/>
      <c r="F437" s="32"/>
      <c r="G437" s="32"/>
    </row>
    <row r="438" ht="15.75" customHeight="1">
      <c r="A438" s="32"/>
      <c r="C438" s="32"/>
      <c r="D438" s="32"/>
      <c r="E438" s="32"/>
      <c r="F438" s="32"/>
      <c r="G438" s="32"/>
    </row>
    <row r="439" ht="15.75" customHeight="1">
      <c r="A439" s="32"/>
      <c r="C439" s="32"/>
      <c r="D439" s="32"/>
      <c r="E439" s="32"/>
      <c r="F439" s="32"/>
      <c r="G439" s="32"/>
    </row>
    <row r="440" ht="15.75" customHeight="1">
      <c r="A440" s="32"/>
      <c r="C440" s="32"/>
      <c r="D440" s="32"/>
      <c r="E440" s="32"/>
      <c r="F440" s="32"/>
      <c r="G440" s="32"/>
    </row>
    <row r="441" ht="15.75" customHeight="1">
      <c r="A441" s="32"/>
      <c r="C441" s="32"/>
      <c r="D441" s="32"/>
      <c r="E441" s="32"/>
      <c r="F441" s="32"/>
      <c r="G441" s="32"/>
    </row>
    <row r="442" ht="15.75" customHeight="1">
      <c r="A442" s="32"/>
      <c r="C442" s="32"/>
      <c r="D442" s="32"/>
      <c r="E442" s="32"/>
      <c r="F442" s="32"/>
      <c r="G442" s="32"/>
    </row>
    <row r="443" ht="15.75" customHeight="1">
      <c r="A443" s="32"/>
      <c r="C443" s="32"/>
      <c r="D443" s="32"/>
      <c r="E443" s="32"/>
      <c r="F443" s="32"/>
      <c r="G443" s="32"/>
    </row>
    <row r="444" ht="15.75" customHeight="1">
      <c r="A444" s="32"/>
      <c r="C444" s="32"/>
      <c r="D444" s="32"/>
      <c r="E444" s="32"/>
      <c r="F444" s="32"/>
      <c r="G444" s="32"/>
    </row>
    <row r="445" ht="15.75" customHeight="1">
      <c r="A445" s="32"/>
      <c r="C445" s="32"/>
      <c r="D445" s="32"/>
      <c r="E445" s="32"/>
      <c r="F445" s="32"/>
      <c r="G445" s="32"/>
    </row>
    <row r="446" ht="15.75" customHeight="1">
      <c r="A446" s="32"/>
      <c r="C446" s="32"/>
      <c r="D446" s="32"/>
      <c r="E446" s="32"/>
      <c r="F446" s="32"/>
      <c r="G446" s="32"/>
    </row>
    <row r="447" ht="15.75" customHeight="1">
      <c r="A447" s="32"/>
      <c r="C447" s="32"/>
      <c r="D447" s="32"/>
      <c r="E447" s="32"/>
      <c r="F447" s="32"/>
      <c r="G447" s="32"/>
    </row>
    <row r="448" ht="15.75" customHeight="1">
      <c r="A448" s="32"/>
      <c r="C448" s="32"/>
      <c r="D448" s="32"/>
      <c r="E448" s="32"/>
      <c r="F448" s="32"/>
      <c r="G448" s="32"/>
    </row>
    <row r="449" ht="15.75" customHeight="1">
      <c r="A449" s="32"/>
      <c r="C449" s="32"/>
      <c r="D449" s="32"/>
      <c r="E449" s="32"/>
      <c r="F449" s="32"/>
      <c r="G449" s="32"/>
    </row>
    <row r="450" ht="15.75" customHeight="1">
      <c r="A450" s="32"/>
      <c r="C450" s="32"/>
      <c r="D450" s="32"/>
      <c r="E450" s="32"/>
      <c r="F450" s="32"/>
      <c r="G450" s="32"/>
    </row>
    <row r="451" ht="15.75" customHeight="1">
      <c r="A451" s="32"/>
      <c r="C451" s="32"/>
      <c r="D451" s="32"/>
      <c r="E451" s="32"/>
      <c r="F451" s="32"/>
      <c r="G451" s="32"/>
    </row>
    <row r="452" ht="15.75" customHeight="1">
      <c r="A452" s="32"/>
      <c r="C452" s="32"/>
      <c r="D452" s="32"/>
      <c r="E452" s="32"/>
      <c r="F452" s="32"/>
      <c r="G452" s="32"/>
    </row>
    <row r="453" ht="15.75" customHeight="1">
      <c r="A453" s="32"/>
      <c r="C453" s="32"/>
      <c r="D453" s="32"/>
      <c r="E453" s="32"/>
      <c r="F453" s="32"/>
      <c r="G453" s="32"/>
    </row>
    <row r="454" ht="15.75" customHeight="1">
      <c r="A454" s="32"/>
      <c r="C454" s="32"/>
      <c r="D454" s="32"/>
      <c r="E454" s="32"/>
      <c r="F454" s="32"/>
      <c r="G454" s="32"/>
    </row>
    <row r="455" ht="15.75" customHeight="1">
      <c r="A455" s="32"/>
      <c r="C455" s="32"/>
      <c r="D455" s="32"/>
      <c r="E455" s="32"/>
      <c r="F455" s="32"/>
      <c r="G455" s="32"/>
    </row>
    <row r="456" ht="15.75" customHeight="1">
      <c r="A456" s="32"/>
      <c r="C456" s="32"/>
      <c r="D456" s="32"/>
      <c r="E456" s="32"/>
      <c r="F456" s="32"/>
      <c r="G456" s="32"/>
    </row>
    <row r="457" ht="15.75" customHeight="1">
      <c r="A457" s="32"/>
      <c r="C457" s="32"/>
      <c r="D457" s="32"/>
      <c r="E457" s="32"/>
      <c r="F457" s="32"/>
      <c r="G457" s="32"/>
    </row>
    <row r="458" ht="15.75" customHeight="1">
      <c r="A458" s="32"/>
      <c r="C458" s="32"/>
      <c r="D458" s="32"/>
      <c r="E458" s="32"/>
      <c r="F458" s="32"/>
      <c r="G458" s="32"/>
    </row>
    <row r="459" ht="15.75" customHeight="1">
      <c r="A459" s="32"/>
      <c r="C459" s="32"/>
      <c r="D459" s="32"/>
      <c r="E459" s="32"/>
      <c r="F459" s="32"/>
      <c r="G459" s="32"/>
    </row>
    <row r="460" ht="15.75" customHeight="1">
      <c r="A460" s="32"/>
      <c r="C460" s="32"/>
      <c r="D460" s="32"/>
      <c r="E460" s="32"/>
      <c r="F460" s="32"/>
      <c r="G460" s="32"/>
    </row>
    <row r="461" ht="15.75" customHeight="1">
      <c r="A461" s="32"/>
      <c r="C461" s="32"/>
      <c r="D461" s="32"/>
      <c r="E461" s="32"/>
      <c r="F461" s="32"/>
      <c r="G461" s="32"/>
    </row>
    <row r="462" ht="15.75" customHeight="1">
      <c r="A462" s="32"/>
      <c r="C462" s="32"/>
      <c r="D462" s="32"/>
      <c r="E462" s="32"/>
      <c r="F462" s="32"/>
      <c r="G462" s="32"/>
    </row>
    <row r="463" ht="15.75" customHeight="1">
      <c r="A463" s="32"/>
      <c r="C463" s="32"/>
      <c r="D463" s="32"/>
      <c r="E463" s="32"/>
      <c r="F463" s="32"/>
      <c r="G463" s="32"/>
    </row>
    <row r="464" ht="15.75" customHeight="1">
      <c r="A464" s="32"/>
      <c r="C464" s="32"/>
      <c r="D464" s="32"/>
      <c r="E464" s="32"/>
      <c r="F464" s="32"/>
      <c r="G464" s="32"/>
    </row>
    <row r="465" ht="15.75" customHeight="1">
      <c r="A465" s="32"/>
      <c r="C465" s="32"/>
      <c r="D465" s="32"/>
      <c r="E465" s="32"/>
      <c r="F465" s="32"/>
      <c r="G465" s="32"/>
    </row>
    <row r="466" ht="15.75" customHeight="1">
      <c r="A466" s="32"/>
      <c r="C466" s="32"/>
      <c r="D466" s="32"/>
      <c r="E466" s="32"/>
      <c r="F466" s="32"/>
      <c r="G466" s="32"/>
    </row>
    <row r="467" ht="15.75" customHeight="1">
      <c r="A467" s="32"/>
      <c r="C467" s="32"/>
      <c r="D467" s="32"/>
      <c r="E467" s="32"/>
      <c r="F467" s="32"/>
      <c r="G467" s="32"/>
    </row>
    <row r="468" ht="15.75" customHeight="1">
      <c r="A468" s="32"/>
      <c r="C468" s="32"/>
      <c r="D468" s="32"/>
      <c r="E468" s="32"/>
      <c r="F468" s="32"/>
      <c r="G468" s="32"/>
    </row>
    <row r="469" ht="15.75" customHeight="1">
      <c r="A469" s="32"/>
      <c r="C469" s="32"/>
      <c r="D469" s="32"/>
      <c r="E469" s="32"/>
      <c r="F469" s="32"/>
      <c r="G469" s="32"/>
    </row>
    <row r="470" ht="15.75" customHeight="1">
      <c r="A470" s="32"/>
      <c r="C470" s="32"/>
      <c r="D470" s="32"/>
      <c r="E470" s="32"/>
      <c r="F470" s="32"/>
      <c r="G470" s="32"/>
    </row>
    <row r="471" ht="15.75" customHeight="1">
      <c r="A471" s="32"/>
      <c r="C471" s="32"/>
      <c r="D471" s="32"/>
      <c r="E471" s="32"/>
      <c r="F471" s="32"/>
      <c r="G471" s="32"/>
    </row>
    <row r="472" ht="15.75" customHeight="1">
      <c r="A472" s="32"/>
      <c r="C472" s="32"/>
      <c r="D472" s="32"/>
      <c r="E472" s="32"/>
      <c r="F472" s="32"/>
      <c r="G472" s="32"/>
    </row>
    <row r="473" ht="15.75" customHeight="1">
      <c r="A473" s="32"/>
      <c r="C473" s="32"/>
      <c r="D473" s="32"/>
      <c r="E473" s="32"/>
      <c r="F473" s="32"/>
      <c r="G473" s="32"/>
    </row>
    <row r="474" ht="15.75" customHeight="1">
      <c r="A474" s="32"/>
      <c r="C474" s="32"/>
      <c r="D474" s="32"/>
      <c r="E474" s="32"/>
      <c r="F474" s="32"/>
      <c r="G474" s="32"/>
    </row>
    <row r="475" ht="15.75" customHeight="1">
      <c r="A475" s="32"/>
      <c r="C475" s="32"/>
      <c r="D475" s="32"/>
      <c r="E475" s="32"/>
      <c r="F475" s="32"/>
      <c r="G475" s="32"/>
    </row>
    <row r="476" ht="15.75" customHeight="1">
      <c r="A476" s="32"/>
      <c r="C476" s="32"/>
      <c r="D476" s="32"/>
      <c r="E476" s="32"/>
      <c r="F476" s="32"/>
      <c r="G476" s="32"/>
    </row>
    <row r="477" ht="15.75" customHeight="1">
      <c r="A477" s="32"/>
      <c r="C477" s="32"/>
      <c r="D477" s="32"/>
      <c r="E477" s="32"/>
      <c r="F477" s="32"/>
      <c r="G477" s="32"/>
    </row>
    <row r="478" ht="15.75" customHeight="1">
      <c r="A478" s="32"/>
      <c r="C478" s="32"/>
      <c r="D478" s="32"/>
      <c r="E478" s="32"/>
      <c r="F478" s="32"/>
      <c r="G478" s="32"/>
    </row>
    <row r="479" ht="15.75" customHeight="1">
      <c r="A479" s="32"/>
      <c r="C479" s="32"/>
      <c r="D479" s="32"/>
      <c r="E479" s="32"/>
      <c r="F479" s="32"/>
      <c r="G479" s="32"/>
    </row>
    <row r="480" ht="15.75" customHeight="1">
      <c r="A480" s="32"/>
      <c r="C480" s="32"/>
      <c r="D480" s="32"/>
      <c r="E480" s="32"/>
      <c r="F480" s="32"/>
      <c r="G480" s="32"/>
    </row>
    <row r="481" ht="15.75" customHeight="1">
      <c r="A481" s="32"/>
      <c r="C481" s="32"/>
      <c r="D481" s="32"/>
      <c r="E481" s="32"/>
      <c r="F481" s="32"/>
      <c r="G481" s="32"/>
    </row>
    <row r="482" ht="15.75" customHeight="1">
      <c r="A482" s="32"/>
      <c r="C482" s="32"/>
      <c r="D482" s="32"/>
      <c r="E482" s="32"/>
      <c r="F482" s="32"/>
      <c r="G482" s="32"/>
    </row>
    <row r="483" ht="15.75" customHeight="1">
      <c r="A483" s="32"/>
      <c r="C483" s="32"/>
      <c r="D483" s="32"/>
      <c r="E483" s="32"/>
      <c r="F483" s="32"/>
      <c r="G483" s="32"/>
    </row>
    <row r="484" ht="15.75" customHeight="1">
      <c r="A484" s="32"/>
      <c r="C484" s="32"/>
      <c r="D484" s="32"/>
      <c r="E484" s="32"/>
      <c r="F484" s="32"/>
      <c r="G484" s="32"/>
    </row>
    <row r="485" ht="15.75" customHeight="1">
      <c r="A485" s="32"/>
      <c r="C485" s="32"/>
      <c r="D485" s="32"/>
      <c r="E485" s="32"/>
      <c r="F485" s="32"/>
      <c r="G485" s="32"/>
    </row>
    <row r="486" ht="15.75" customHeight="1">
      <c r="A486" s="32"/>
      <c r="C486" s="32"/>
      <c r="D486" s="32"/>
      <c r="E486" s="32"/>
      <c r="F486" s="32"/>
      <c r="G486" s="32"/>
    </row>
    <row r="487" ht="15.75" customHeight="1">
      <c r="A487" s="32"/>
      <c r="C487" s="32"/>
      <c r="D487" s="32"/>
      <c r="E487" s="32"/>
      <c r="F487" s="32"/>
      <c r="G487" s="32"/>
    </row>
    <row r="488" ht="15.75" customHeight="1">
      <c r="A488" s="32"/>
      <c r="C488" s="32"/>
      <c r="D488" s="32"/>
      <c r="E488" s="32"/>
      <c r="F488" s="32"/>
      <c r="G488" s="32"/>
    </row>
    <row r="489" ht="15.75" customHeight="1">
      <c r="A489" s="32"/>
      <c r="C489" s="32"/>
      <c r="D489" s="32"/>
      <c r="E489" s="32"/>
      <c r="F489" s="32"/>
      <c r="G489" s="32"/>
    </row>
    <row r="490" ht="15.75" customHeight="1">
      <c r="A490" s="32"/>
      <c r="C490" s="32"/>
      <c r="D490" s="32"/>
      <c r="E490" s="32"/>
      <c r="F490" s="32"/>
      <c r="G490" s="32"/>
    </row>
    <row r="491" ht="15.75" customHeight="1">
      <c r="A491" s="32"/>
      <c r="C491" s="32"/>
      <c r="D491" s="32"/>
      <c r="E491" s="32"/>
      <c r="F491" s="32"/>
      <c r="G491" s="32"/>
    </row>
    <row r="492" ht="15.75" customHeight="1">
      <c r="A492" s="32"/>
      <c r="C492" s="32"/>
      <c r="D492" s="32"/>
      <c r="E492" s="32"/>
      <c r="F492" s="32"/>
      <c r="G492" s="32"/>
    </row>
    <row r="493" ht="15.75" customHeight="1">
      <c r="A493" s="32"/>
      <c r="C493" s="32"/>
      <c r="D493" s="32"/>
      <c r="E493" s="32"/>
      <c r="F493" s="32"/>
      <c r="G493" s="32"/>
    </row>
    <row r="494" ht="15.75" customHeight="1">
      <c r="A494" s="32"/>
      <c r="C494" s="32"/>
      <c r="D494" s="32"/>
      <c r="E494" s="32"/>
      <c r="F494" s="32"/>
      <c r="G494" s="32"/>
    </row>
    <row r="495" ht="15.75" customHeight="1">
      <c r="A495" s="32"/>
      <c r="C495" s="32"/>
      <c r="D495" s="32"/>
      <c r="E495" s="32"/>
      <c r="F495" s="32"/>
      <c r="G495" s="32"/>
    </row>
    <row r="496" ht="15.75" customHeight="1">
      <c r="A496" s="32"/>
      <c r="C496" s="32"/>
      <c r="D496" s="32"/>
      <c r="E496" s="32"/>
      <c r="F496" s="32"/>
      <c r="G496" s="32"/>
    </row>
    <row r="497" ht="15.75" customHeight="1">
      <c r="A497" s="32"/>
      <c r="C497" s="32"/>
      <c r="D497" s="32"/>
      <c r="E497" s="32"/>
      <c r="F497" s="32"/>
      <c r="G497" s="32"/>
    </row>
    <row r="498" ht="15.75" customHeight="1">
      <c r="A498" s="32"/>
      <c r="C498" s="32"/>
      <c r="D498" s="32"/>
      <c r="E498" s="32"/>
      <c r="F498" s="32"/>
      <c r="G498" s="32"/>
    </row>
    <row r="499" ht="15.75" customHeight="1">
      <c r="A499" s="32"/>
      <c r="C499" s="32"/>
      <c r="D499" s="32"/>
      <c r="E499" s="32"/>
      <c r="F499" s="32"/>
      <c r="G499" s="32"/>
    </row>
    <row r="500" ht="15.75" customHeight="1">
      <c r="A500" s="32"/>
      <c r="C500" s="32"/>
      <c r="D500" s="32"/>
      <c r="E500" s="32"/>
      <c r="F500" s="32"/>
      <c r="G500" s="32"/>
    </row>
    <row r="501" ht="15.75" customHeight="1">
      <c r="A501" s="32"/>
      <c r="C501" s="32"/>
      <c r="D501" s="32"/>
      <c r="E501" s="32"/>
      <c r="F501" s="32"/>
      <c r="G501" s="32"/>
    </row>
    <row r="502" ht="15.75" customHeight="1">
      <c r="A502" s="32"/>
      <c r="C502" s="32"/>
      <c r="D502" s="32"/>
      <c r="E502" s="32"/>
      <c r="F502" s="32"/>
      <c r="G502" s="32"/>
    </row>
    <row r="503" ht="15.75" customHeight="1">
      <c r="A503" s="32"/>
      <c r="C503" s="32"/>
      <c r="D503" s="32"/>
      <c r="E503" s="32"/>
      <c r="F503" s="32"/>
      <c r="G503" s="32"/>
    </row>
    <row r="504" ht="15.75" customHeight="1">
      <c r="A504" s="32"/>
      <c r="C504" s="32"/>
      <c r="D504" s="32"/>
      <c r="E504" s="32"/>
      <c r="F504" s="32"/>
      <c r="G504" s="32"/>
    </row>
    <row r="505" ht="15.75" customHeight="1">
      <c r="A505" s="32"/>
      <c r="C505" s="32"/>
      <c r="D505" s="32"/>
      <c r="E505" s="32"/>
      <c r="F505" s="32"/>
      <c r="G505" s="32"/>
    </row>
    <row r="506" ht="15.75" customHeight="1">
      <c r="A506" s="32"/>
      <c r="C506" s="32"/>
      <c r="D506" s="32"/>
      <c r="E506" s="32"/>
      <c r="F506" s="32"/>
      <c r="G506" s="32"/>
    </row>
    <row r="507" ht="15.75" customHeight="1">
      <c r="A507" s="32"/>
      <c r="C507" s="32"/>
      <c r="D507" s="32"/>
      <c r="E507" s="32"/>
      <c r="F507" s="32"/>
      <c r="G507" s="32"/>
    </row>
    <row r="508" ht="15.75" customHeight="1">
      <c r="A508" s="32"/>
      <c r="C508" s="32"/>
      <c r="D508" s="32"/>
      <c r="E508" s="32"/>
      <c r="F508" s="32"/>
      <c r="G508" s="32"/>
    </row>
    <row r="509" ht="15.75" customHeight="1">
      <c r="A509" s="32"/>
      <c r="C509" s="32"/>
      <c r="D509" s="32"/>
      <c r="E509" s="32"/>
      <c r="F509" s="32"/>
      <c r="G509" s="32"/>
    </row>
    <row r="510" ht="15.75" customHeight="1">
      <c r="A510" s="32"/>
      <c r="C510" s="32"/>
      <c r="D510" s="32"/>
      <c r="E510" s="32"/>
      <c r="F510" s="32"/>
      <c r="G510" s="32"/>
    </row>
    <row r="511" ht="15.75" customHeight="1">
      <c r="A511" s="32"/>
      <c r="C511" s="32"/>
      <c r="D511" s="32"/>
      <c r="E511" s="32"/>
      <c r="F511" s="32"/>
      <c r="G511" s="32"/>
    </row>
    <row r="512" ht="15.75" customHeight="1">
      <c r="A512" s="32"/>
      <c r="C512" s="32"/>
      <c r="D512" s="32"/>
      <c r="E512" s="32"/>
      <c r="F512" s="32"/>
      <c r="G512" s="32"/>
    </row>
    <row r="513" ht="15.75" customHeight="1">
      <c r="A513" s="32"/>
      <c r="C513" s="32"/>
      <c r="D513" s="32"/>
      <c r="E513" s="32"/>
      <c r="F513" s="32"/>
      <c r="G513" s="32"/>
    </row>
    <row r="514" ht="15.75" customHeight="1">
      <c r="A514" s="32"/>
      <c r="C514" s="32"/>
      <c r="D514" s="32"/>
      <c r="E514" s="32"/>
      <c r="F514" s="32"/>
      <c r="G514" s="32"/>
    </row>
    <row r="515" ht="15.75" customHeight="1">
      <c r="A515" s="32"/>
      <c r="C515" s="32"/>
      <c r="D515" s="32"/>
      <c r="E515" s="32"/>
      <c r="F515" s="32"/>
      <c r="G515" s="32"/>
    </row>
    <row r="516" ht="15.75" customHeight="1">
      <c r="A516" s="32"/>
      <c r="C516" s="32"/>
      <c r="D516" s="32"/>
      <c r="E516" s="32"/>
      <c r="F516" s="32"/>
      <c r="G516" s="32"/>
    </row>
    <row r="517" ht="15.75" customHeight="1">
      <c r="A517" s="32"/>
      <c r="C517" s="32"/>
      <c r="D517" s="32"/>
      <c r="E517" s="32"/>
      <c r="F517" s="32"/>
      <c r="G517" s="32"/>
    </row>
    <row r="518" ht="15.75" customHeight="1">
      <c r="A518" s="32"/>
      <c r="C518" s="32"/>
      <c r="D518" s="32"/>
      <c r="E518" s="32"/>
      <c r="F518" s="32"/>
      <c r="G518" s="32"/>
    </row>
    <row r="519" ht="15.75" customHeight="1">
      <c r="A519" s="32"/>
      <c r="C519" s="32"/>
      <c r="D519" s="32"/>
      <c r="E519" s="32"/>
      <c r="F519" s="32"/>
      <c r="G519" s="32"/>
    </row>
    <row r="520" ht="15.75" customHeight="1">
      <c r="A520" s="32"/>
      <c r="C520" s="32"/>
      <c r="D520" s="32"/>
      <c r="E520" s="32"/>
      <c r="F520" s="32"/>
      <c r="G520" s="32"/>
    </row>
    <row r="521" ht="15.75" customHeight="1">
      <c r="A521" s="32"/>
      <c r="C521" s="32"/>
      <c r="D521" s="32"/>
      <c r="E521" s="32"/>
      <c r="F521" s="32"/>
      <c r="G521" s="32"/>
    </row>
    <row r="522" ht="15.75" customHeight="1">
      <c r="A522" s="32"/>
      <c r="C522" s="32"/>
      <c r="D522" s="32"/>
      <c r="E522" s="32"/>
      <c r="F522" s="32"/>
      <c r="G522" s="32"/>
    </row>
    <row r="523" ht="15.75" customHeight="1">
      <c r="A523" s="32"/>
      <c r="C523" s="32"/>
      <c r="D523" s="32"/>
      <c r="E523" s="32"/>
      <c r="F523" s="32"/>
      <c r="G523" s="32"/>
    </row>
    <row r="524" ht="15.75" customHeight="1">
      <c r="A524" s="32"/>
      <c r="C524" s="32"/>
      <c r="D524" s="32"/>
      <c r="E524" s="32"/>
      <c r="F524" s="32"/>
      <c r="G524" s="32"/>
    </row>
    <row r="525" ht="15.75" customHeight="1">
      <c r="A525" s="32"/>
      <c r="C525" s="32"/>
      <c r="D525" s="32"/>
      <c r="E525" s="32"/>
      <c r="F525" s="32"/>
      <c r="G525" s="32"/>
    </row>
    <row r="526" ht="15.75" customHeight="1">
      <c r="A526" s="32"/>
      <c r="C526" s="32"/>
      <c r="D526" s="32"/>
      <c r="E526" s="32"/>
      <c r="F526" s="32"/>
      <c r="G526" s="32"/>
    </row>
    <row r="527" ht="15.75" customHeight="1">
      <c r="A527" s="32"/>
      <c r="C527" s="32"/>
      <c r="D527" s="32"/>
      <c r="E527" s="32"/>
      <c r="F527" s="32"/>
      <c r="G527" s="32"/>
    </row>
    <row r="528" ht="15.75" customHeight="1">
      <c r="A528" s="32"/>
      <c r="C528" s="32"/>
      <c r="D528" s="32"/>
      <c r="E528" s="32"/>
      <c r="F528" s="32"/>
      <c r="G528" s="32"/>
    </row>
    <row r="529" ht="15.75" customHeight="1">
      <c r="A529" s="32"/>
      <c r="C529" s="32"/>
      <c r="D529" s="32"/>
      <c r="E529" s="32"/>
      <c r="F529" s="32"/>
      <c r="G529" s="32"/>
    </row>
    <row r="530" ht="15.75" customHeight="1">
      <c r="A530" s="32"/>
      <c r="C530" s="32"/>
      <c r="D530" s="32"/>
      <c r="E530" s="32"/>
      <c r="F530" s="32"/>
      <c r="G530" s="32"/>
    </row>
    <row r="531" ht="15.75" customHeight="1">
      <c r="A531" s="32"/>
      <c r="C531" s="32"/>
      <c r="D531" s="32"/>
      <c r="E531" s="32"/>
      <c r="F531" s="32"/>
      <c r="G531" s="32"/>
    </row>
    <row r="532" ht="15.75" customHeight="1">
      <c r="A532" s="32"/>
      <c r="C532" s="32"/>
      <c r="D532" s="32"/>
      <c r="E532" s="32"/>
      <c r="F532" s="32"/>
      <c r="G532" s="32"/>
    </row>
    <row r="533" ht="15.75" customHeight="1">
      <c r="A533" s="32"/>
      <c r="C533" s="32"/>
      <c r="D533" s="32"/>
      <c r="E533" s="32"/>
      <c r="F533" s="32"/>
      <c r="G533" s="32"/>
    </row>
    <row r="534" ht="15.75" customHeight="1">
      <c r="A534" s="32"/>
      <c r="C534" s="32"/>
      <c r="D534" s="32"/>
      <c r="E534" s="32"/>
      <c r="F534" s="32"/>
      <c r="G534" s="32"/>
    </row>
    <row r="535" ht="15.75" customHeight="1">
      <c r="A535" s="32"/>
      <c r="C535" s="32"/>
      <c r="D535" s="32"/>
      <c r="E535" s="32"/>
      <c r="F535" s="32"/>
      <c r="G535" s="32"/>
    </row>
    <row r="536" ht="15.75" customHeight="1">
      <c r="A536" s="32"/>
      <c r="C536" s="32"/>
      <c r="D536" s="32"/>
      <c r="E536" s="32"/>
      <c r="F536" s="32"/>
      <c r="G536" s="32"/>
    </row>
    <row r="537" ht="15.75" customHeight="1">
      <c r="A537" s="32"/>
      <c r="C537" s="32"/>
      <c r="D537" s="32"/>
      <c r="E537" s="32"/>
      <c r="F537" s="32"/>
      <c r="G537" s="32"/>
    </row>
    <row r="538" ht="15.75" customHeight="1">
      <c r="A538" s="32"/>
      <c r="C538" s="32"/>
      <c r="D538" s="32"/>
      <c r="E538" s="32"/>
      <c r="F538" s="32"/>
      <c r="G538" s="32"/>
    </row>
    <row r="539" ht="15.75" customHeight="1">
      <c r="A539" s="32"/>
      <c r="C539" s="32"/>
      <c r="D539" s="32"/>
      <c r="E539" s="32"/>
      <c r="F539" s="32"/>
      <c r="G539" s="32"/>
    </row>
    <row r="540" ht="15.75" customHeight="1">
      <c r="A540" s="32"/>
      <c r="C540" s="32"/>
      <c r="D540" s="32"/>
      <c r="E540" s="32"/>
      <c r="F540" s="32"/>
      <c r="G540" s="32"/>
    </row>
    <row r="541" ht="15.75" customHeight="1">
      <c r="A541" s="32"/>
      <c r="C541" s="32"/>
      <c r="D541" s="32"/>
      <c r="E541" s="32"/>
      <c r="F541" s="32"/>
      <c r="G541" s="32"/>
    </row>
    <row r="542" ht="15.75" customHeight="1">
      <c r="A542" s="32"/>
      <c r="C542" s="32"/>
      <c r="D542" s="32"/>
      <c r="E542" s="32"/>
      <c r="F542" s="32"/>
      <c r="G542" s="32"/>
    </row>
    <row r="543" ht="15.75" customHeight="1">
      <c r="A543" s="32"/>
      <c r="C543" s="32"/>
      <c r="D543" s="32"/>
      <c r="E543" s="32"/>
      <c r="F543" s="32"/>
      <c r="G543" s="32"/>
    </row>
    <row r="544" ht="15.75" customHeight="1">
      <c r="A544" s="32"/>
      <c r="C544" s="32"/>
      <c r="D544" s="32"/>
      <c r="E544" s="32"/>
      <c r="F544" s="32"/>
      <c r="G544" s="32"/>
    </row>
    <row r="545" ht="15.75" customHeight="1">
      <c r="A545" s="32"/>
      <c r="C545" s="32"/>
      <c r="D545" s="32"/>
      <c r="E545" s="32"/>
      <c r="F545" s="32"/>
      <c r="G545" s="32"/>
    </row>
    <row r="546" ht="15.75" customHeight="1">
      <c r="A546" s="32"/>
      <c r="C546" s="32"/>
      <c r="D546" s="32"/>
      <c r="E546" s="32"/>
      <c r="F546" s="32"/>
      <c r="G546" s="32"/>
    </row>
    <row r="547" ht="15.75" customHeight="1">
      <c r="A547" s="32"/>
      <c r="C547" s="32"/>
      <c r="D547" s="32"/>
      <c r="E547" s="32"/>
      <c r="F547" s="32"/>
      <c r="G547" s="32"/>
    </row>
    <row r="548" ht="15.75" customHeight="1">
      <c r="A548" s="32"/>
      <c r="C548" s="32"/>
      <c r="D548" s="32"/>
      <c r="E548" s="32"/>
      <c r="F548" s="32"/>
      <c r="G548" s="32"/>
    </row>
    <row r="549" ht="15.75" customHeight="1">
      <c r="A549" s="32"/>
      <c r="C549" s="32"/>
      <c r="D549" s="32"/>
      <c r="E549" s="32"/>
      <c r="F549" s="32"/>
      <c r="G549" s="32"/>
    </row>
    <row r="550" ht="15.75" customHeight="1">
      <c r="A550" s="32"/>
      <c r="C550" s="32"/>
      <c r="D550" s="32"/>
      <c r="E550" s="32"/>
      <c r="F550" s="32"/>
      <c r="G550" s="32"/>
    </row>
    <row r="551" ht="15.75" customHeight="1">
      <c r="A551" s="32"/>
      <c r="C551" s="32"/>
      <c r="D551" s="32"/>
      <c r="E551" s="32"/>
      <c r="F551" s="32"/>
      <c r="G551" s="32"/>
    </row>
    <row r="552" ht="15.75" customHeight="1">
      <c r="A552" s="32"/>
      <c r="C552" s="32"/>
      <c r="D552" s="32"/>
      <c r="E552" s="32"/>
      <c r="F552" s="32"/>
      <c r="G552" s="32"/>
    </row>
    <row r="553" ht="15.75" customHeight="1">
      <c r="A553" s="32"/>
      <c r="C553" s="32"/>
      <c r="D553" s="32"/>
      <c r="E553" s="32"/>
      <c r="F553" s="32"/>
      <c r="G553" s="32"/>
    </row>
    <row r="554" ht="15.75" customHeight="1">
      <c r="A554" s="32"/>
      <c r="C554" s="32"/>
      <c r="D554" s="32"/>
      <c r="E554" s="32"/>
      <c r="F554" s="32"/>
      <c r="G554" s="32"/>
    </row>
    <row r="555" ht="15.75" customHeight="1">
      <c r="A555" s="32"/>
      <c r="C555" s="32"/>
      <c r="D555" s="32"/>
      <c r="E555" s="32"/>
      <c r="F555" s="32"/>
      <c r="G555" s="32"/>
    </row>
    <row r="556" ht="15.75" customHeight="1">
      <c r="A556" s="32"/>
      <c r="C556" s="32"/>
      <c r="D556" s="32"/>
      <c r="E556" s="32"/>
      <c r="F556" s="32"/>
      <c r="G556" s="32"/>
    </row>
    <row r="557" ht="15.75" customHeight="1">
      <c r="A557" s="32"/>
      <c r="C557" s="32"/>
      <c r="D557" s="32"/>
      <c r="E557" s="32"/>
      <c r="F557" s="32"/>
      <c r="G557" s="32"/>
    </row>
    <row r="558" ht="15.75" customHeight="1">
      <c r="A558" s="32"/>
      <c r="C558" s="32"/>
      <c r="D558" s="32"/>
      <c r="E558" s="32"/>
      <c r="F558" s="32"/>
      <c r="G558" s="32"/>
    </row>
    <row r="559" ht="15.75" customHeight="1">
      <c r="A559" s="32"/>
      <c r="C559" s="32"/>
      <c r="D559" s="32"/>
      <c r="E559" s="32"/>
      <c r="F559" s="32"/>
      <c r="G559" s="32"/>
    </row>
    <row r="560" ht="15.75" customHeight="1">
      <c r="A560" s="32"/>
      <c r="C560" s="32"/>
      <c r="D560" s="32"/>
      <c r="E560" s="32"/>
      <c r="F560" s="32"/>
      <c r="G560" s="32"/>
    </row>
    <row r="561" ht="15.75" customHeight="1">
      <c r="A561" s="32"/>
      <c r="C561" s="32"/>
      <c r="D561" s="32"/>
      <c r="E561" s="32"/>
      <c r="F561" s="32"/>
      <c r="G561" s="32"/>
    </row>
    <row r="562" ht="15.75" customHeight="1">
      <c r="A562" s="32"/>
      <c r="C562" s="32"/>
      <c r="D562" s="32"/>
      <c r="E562" s="32"/>
      <c r="F562" s="32"/>
      <c r="G562" s="32"/>
    </row>
    <row r="563" ht="15.75" customHeight="1">
      <c r="A563" s="32"/>
      <c r="C563" s="32"/>
      <c r="D563" s="32"/>
      <c r="E563" s="32"/>
      <c r="F563" s="32"/>
      <c r="G563" s="32"/>
    </row>
    <row r="564" ht="15.75" customHeight="1">
      <c r="A564" s="32"/>
      <c r="C564" s="32"/>
      <c r="D564" s="32"/>
      <c r="E564" s="32"/>
      <c r="F564" s="32"/>
      <c r="G564" s="32"/>
    </row>
    <row r="565" ht="15.75" customHeight="1">
      <c r="A565" s="32"/>
      <c r="C565" s="32"/>
      <c r="D565" s="32"/>
      <c r="E565" s="32"/>
      <c r="F565" s="32"/>
      <c r="G565" s="32"/>
    </row>
    <row r="566" ht="15.75" customHeight="1">
      <c r="A566" s="32"/>
      <c r="C566" s="32"/>
      <c r="D566" s="32"/>
      <c r="E566" s="32"/>
      <c r="F566" s="32"/>
      <c r="G566" s="32"/>
    </row>
    <row r="567" ht="15.75" customHeight="1">
      <c r="A567" s="32"/>
      <c r="C567" s="32"/>
      <c r="D567" s="32"/>
      <c r="E567" s="32"/>
      <c r="F567" s="32"/>
      <c r="G567" s="32"/>
    </row>
    <row r="568" ht="15.75" customHeight="1">
      <c r="A568" s="32"/>
      <c r="C568" s="32"/>
      <c r="D568" s="32"/>
      <c r="E568" s="32"/>
      <c r="F568" s="32"/>
      <c r="G568" s="32"/>
    </row>
    <row r="569" ht="15.75" customHeight="1">
      <c r="A569" s="32"/>
      <c r="C569" s="32"/>
      <c r="D569" s="32"/>
      <c r="E569" s="32"/>
      <c r="F569" s="32"/>
      <c r="G569" s="32"/>
    </row>
    <row r="570" ht="15.75" customHeight="1">
      <c r="A570" s="32"/>
      <c r="C570" s="32"/>
      <c r="D570" s="32"/>
      <c r="E570" s="32"/>
      <c r="F570" s="32"/>
      <c r="G570" s="32"/>
    </row>
    <row r="571" ht="15.75" customHeight="1">
      <c r="A571" s="32"/>
      <c r="C571" s="32"/>
      <c r="D571" s="32"/>
      <c r="E571" s="32"/>
      <c r="F571" s="32"/>
      <c r="G571" s="32"/>
    </row>
    <row r="572" ht="15.75" customHeight="1">
      <c r="A572" s="32"/>
      <c r="C572" s="32"/>
      <c r="D572" s="32"/>
      <c r="E572" s="32"/>
      <c r="F572" s="32"/>
      <c r="G572" s="32"/>
    </row>
    <row r="573" ht="15.75" customHeight="1">
      <c r="A573" s="32"/>
      <c r="C573" s="32"/>
      <c r="D573" s="32"/>
      <c r="E573" s="32"/>
      <c r="F573" s="32"/>
      <c r="G573" s="32"/>
    </row>
    <row r="574" ht="15.75" customHeight="1">
      <c r="A574" s="32"/>
      <c r="C574" s="32"/>
      <c r="D574" s="32"/>
      <c r="E574" s="32"/>
      <c r="F574" s="32"/>
      <c r="G574" s="32"/>
    </row>
    <row r="575" ht="15.75" customHeight="1">
      <c r="A575" s="32"/>
      <c r="C575" s="32"/>
      <c r="D575" s="32"/>
      <c r="E575" s="32"/>
      <c r="F575" s="32"/>
      <c r="G575" s="32"/>
    </row>
    <row r="576" ht="15.75" customHeight="1">
      <c r="A576" s="32"/>
      <c r="C576" s="32"/>
      <c r="D576" s="32"/>
      <c r="E576" s="32"/>
      <c r="F576" s="32"/>
      <c r="G576" s="32"/>
    </row>
    <row r="577" ht="15.75" customHeight="1">
      <c r="A577" s="32"/>
      <c r="C577" s="32"/>
      <c r="D577" s="32"/>
      <c r="E577" s="32"/>
      <c r="F577" s="32"/>
      <c r="G577" s="32"/>
    </row>
    <row r="578" ht="15.75" customHeight="1">
      <c r="A578" s="32"/>
      <c r="C578" s="32"/>
      <c r="D578" s="32"/>
      <c r="E578" s="32"/>
      <c r="F578" s="32"/>
      <c r="G578" s="32"/>
    </row>
    <row r="579" ht="15.75" customHeight="1">
      <c r="A579" s="32"/>
      <c r="C579" s="32"/>
      <c r="D579" s="32"/>
      <c r="E579" s="32"/>
      <c r="F579" s="32"/>
      <c r="G579" s="32"/>
    </row>
    <row r="580" ht="15.75" customHeight="1">
      <c r="A580" s="32"/>
      <c r="C580" s="32"/>
      <c r="D580" s="32"/>
      <c r="E580" s="32"/>
      <c r="F580" s="32"/>
      <c r="G580" s="32"/>
    </row>
    <row r="581" ht="15.75" customHeight="1">
      <c r="A581" s="32"/>
      <c r="C581" s="32"/>
      <c r="D581" s="32"/>
      <c r="E581" s="32"/>
      <c r="F581" s="32"/>
      <c r="G581" s="32"/>
    </row>
    <row r="582" ht="15.75" customHeight="1">
      <c r="A582" s="32"/>
      <c r="C582" s="32"/>
      <c r="D582" s="32"/>
      <c r="E582" s="32"/>
      <c r="F582" s="32"/>
      <c r="G582" s="32"/>
    </row>
    <row r="583" ht="15.75" customHeight="1">
      <c r="A583" s="32"/>
      <c r="C583" s="32"/>
      <c r="D583" s="32"/>
      <c r="E583" s="32"/>
      <c r="F583" s="32"/>
      <c r="G583" s="32"/>
    </row>
    <row r="584" ht="15.75" customHeight="1">
      <c r="A584" s="32"/>
      <c r="C584" s="32"/>
      <c r="D584" s="32"/>
      <c r="E584" s="32"/>
      <c r="F584" s="32"/>
      <c r="G584" s="32"/>
    </row>
    <row r="585" ht="15.75" customHeight="1">
      <c r="A585" s="32"/>
      <c r="C585" s="32"/>
      <c r="D585" s="32"/>
      <c r="E585" s="32"/>
      <c r="F585" s="32"/>
      <c r="G585" s="32"/>
    </row>
    <row r="586" ht="15.75" customHeight="1">
      <c r="A586" s="32"/>
      <c r="C586" s="32"/>
      <c r="D586" s="32"/>
      <c r="E586" s="32"/>
      <c r="F586" s="32"/>
      <c r="G586" s="32"/>
    </row>
    <row r="587" ht="15.75" customHeight="1">
      <c r="A587" s="32"/>
      <c r="C587" s="32"/>
      <c r="D587" s="32"/>
      <c r="E587" s="32"/>
      <c r="F587" s="32"/>
      <c r="G587" s="32"/>
    </row>
    <row r="588" ht="15.75" customHeight="1">
      <c r="A588" s="32"/>
      <c r="C588" s="32"/>
      <c r="D588" s="32"/>
      <c r="E588" s="32"/>
      <c r="F588" s="32"/>
      <c r="G588" s="32"/>
    </row>
    <row r="589" ht="15.75" customHeight="1">
      <c r="A589" s="32"/>
      <c r="C589" s="32"/>
      <c r="D589" s="32"/>
      <c r="E589" s="32"/>
      <c r="F589" s="32"/>
      <c r="G589" s="32"/>
    </row>
    <row r="590" ht="15.75" customHeight="1">
      <c r="A590" s="32"/>
      <c r="C590" s="32"/>
      <c r="D590" s="32"/>
      <c r="E590" s="32"/>
      <c r="F590" s="32"/>
      <c r="G590" s="32"/>
    </row>
    <row r="591" ht="15.75" customHeight="1">
      <c r="A591" s="32"/>
      <c r="C591" s="32"/>
      <c r="D591" s="32"/>
      <c r="E591" s="32"/>
      <c r="F591" s="32"/>
      <c r="G591" s="32"/>
    </row>
    <row r="592" ht="15.75" customHeight="1">
      <c r="A592" s="32"/>
      <c r="C592" s="32"/>
      <c r="D592" s="32"/>
      <c r="E592" s="32"/>
      <c r="F592" s="32"/>
      <c r="G592" s="32"/>
    </row>
    <row r="593" ht="15.75" customHeight="1">
      <c r="A593" s="32"/>
      <c r="C593" s="32"/>
      <c r="D593" s="32"/>
      <c r="E593" s="32"/>
      <c r="F593" s="32"/>
      <c r="G593" s="32"/>
    </row>
    <row r="594" ht="15.75" customHeight="1">
      <c r="A594" s="32"/>
      <c r="C594" s="32"/>
      <c r="D594" s="32"/>
      <c r="E594" s="32"/>
      <c r="F594" s="32"/>
      <c r="G594" s="32"/>
    </row>
    <row r="595" ht="15.75" customHeight="1">
      <c r="A595" s="32"/>
      <c r="C595" s="32"/>
      <c r="D595" s="32"/>
      <c r="E595" s="32"/>
      <c r="F595" s="32"/>
      <c r="G595" s="32"/>
    </row>
    <row r="596" ht="15.75" customHeight="1">
      <c r="A596" s="32"/>
      <c r="C596" s="32"/>
      <c r="D596" s="32"/>
      <c r="E596" s="32"/>
      <c r="F596" s="32"/>
      <c r="G596" s="32"/>
    </row>
    <row r="597" ht="15.75" customHeight="1">
      <c r="A597" s="32"/>
      <c r="C597" s="32"/>
      <c r="D597" s="32"/>
      <c r="E597" s="32"/>
      <c r="F597" s="32"/>
      <c r="G597" s="32"/>
    </row>
    <row r="598" ht="15.75" customHeight="1">
      <c r="A598" s="32"/>
      <c r="C598" s="32"/>
      <c r="D598" s="32"/>
      <c r="E598" s="32"/>
      <c r="F598" s="32"/>
      <c r="G598" s="32"/>
    </row>
    <row r="599" ht="15.75" customHeight="1">
      <c r="A599" s="32"/>
      <c r="C599" s="32"/>
      <c r="D599" s="32"/>
      <c r="E599" s="32"/>
      <c r="F599" s="32"/>
      <c r="G599" s="32"/>
    </row>
    <row r="600" ht="15.75" customHeight="1">
      <c r="A600" s="32"/>
      <c r="C600" s="32"/>
      <c r="D600" s="32"/>
      <c r="E600" s="32"/>
      <c r="F600" s="32"/>
      <c r="G600" s="32"/>
    </row>
    <row r="601" ht="15.75" customHeight="1">
      <c r="A601" s="32"/>
      <c r="C601" s="32"/>
      <c r="D601" s="32"/>
      <c r="E601" s="32"/>
      <c r="F601" s="32"/>
      <c r="G601" s="32"/>
    </row>
    <row r="602" ht="15.75" customHeight="1">
      <c r="A602" s="32"/>
      <c r="C602" s="32"/>
      <c r="D602" s="32"/>
      <c r="E602" s="32"/>
      <c r="F602" s="32"/>
      <c r="G602" s="32"/>
    </row>
    <row r="603" ht="15.75" customHeight="1">
      <c r="A603" s="32"/>
      <c r="C603" s="32"/>
      <c r="D603" s="32"/>
      <c r="E603" s="32"/>
      <c r="F603" s="32"/>
      <c r="G603" s="32"/>
    </row>
    <row r="604" ht="15.75" customHeight="1">
      <c r="A604" s="32"/>
      <c r="C604" s="32"/>
      <c r="D604" s="32"/>
      <c r="E604" s="32"/>
      <c r="F604" s="32"/>
      <c r="G604" s="32"/>
    </row>
    <row r="605" ht="15.75" customHeight="1">
      <c r="A605" s="32"/>
      <c r="C605" s="32"/>
      <c r="D605" s="32"/>
      <c r="E605" s="32"/>
      <c r="F605" s="32"/>
      <c r="G605" s="32"/>
    </row>
    <row r="606" ht="15.75" customHeight="1">
      <c r="A606" s="32"/>
      <c r="C606" s="32"/>
      <c r="D606" s="32"/>
      <c r="E606" s="32"/>
      <c r="F606" s="32"/>
      <c r="G606" s="32"/>
    </row>
    <row r="607" ht="15.75" customHeight="1">
      <c r="A607" s="32"/>
      <c r="C607" s="32"/>
      <c r="D607" s="32"/>
      <c r="E607" s="32"/>
      <c r="F607" s="32"/>
      <c r="G607" s="32"/>
    </row>
    <row r="608" ht="15.75" customHeight="1">
      <c r="A608" s="32"/>
      <c r="C608" s="32"/>
      <c r="D608" s="32"/>
      <c r="E608" s="32"/>
      <c r="F608" s="32"/>
      <c r="G608" s="32"/>
    </row>
    <row r="609" ht="15.75" customHeight="1">
      <c r="A609" s="32"/>
      <c r="C609" s="32"/>
      <c r="D609" s="32"/>
      <c r="E609" s="32"/>
      <c r="F609" s="32"/>
      <c r="G609" s="32"/>
    </row>
    <row r="610" ht="15.75" customHeight="1">
      <c r="A610" s="32"/>
      <c r="C610" s="32"/>
      <c r="D610" s="32"/>
      <c r="E610" s="32"/>
      <c r="F610" s="32"/>
      <c r="G610" s="32"/>
    </row>
    <row r="611" ht="15.75" customHeight="1">
      <c r="A611" s="32"/>
      <c r="C611" s="32"/>
      <c r="D611" s="32"/>
      <c r="E611" s="32"/>
      <c r="F611" s="32"/>
      <c r="G611" s="32"/>
    </row>
    <row r="612" ht="15.75" customHeight="1">
      <c r="A612" s="32"/>
      <c r="C612" s="32"/>
      <c r="D612" s="32"/>
      <c r="E612" s="32"/>
      <c r="F612" s="32"/>
      <c r="G612" s="32"/>
    </row>
    <row r="613" ht="15.75" customHeight="1">
      <c r="A613" s="32"/>
      <c r="C613" s="32"/>
      <c r="D613" s="32"/>
      <c r="E613" s="32"/>
      <c r="F613" s="32"/>
      <c r="G613" s="32"/>
    </row>
    <row r="614" ht="15.75" customHeight="1">
      <c r="A614" s="32"/>
      <c r="C614" s="32"/>
      <c r="D614" s="32"/>
      <c r="E614" s="32"/>
      <c r="F614" s="32"/>
      <c r="G614" s="32"/>
    </row>
    <row r="615" ht="15.75" customHeight="1">
      <c r="A615" s="32"/>
      <c r="C615" s="32"/>
      <c r="D615" s="32"/>
      <c r="E615" s="32"/>
      <c r="F615" s="32"/>
      <c r="G615" s="32"/>
    </row>
    <row r="616" ht="15.75" customHeight="1">
      <c r="A616" s="32"/>
      <c r="C616" s="32"/>
      <c r="D616" s="32"/>
      <c r="E616" s="32"/>
      <c r="F616" s="32"/>
      <c r="G616" s="32"/>
    </row>
    <row r="617" ht="15.75" customHeight="1">
      <c r="A617" s="32"/>
      <c r="C617" s="32"/>
      <c r="D617" s="32"/>
      <c r="E617" s="32"/>
      <c r="F617" s="32"/>
      <c r="G617" s="32"/>
    </row>
    <row r="618" ht="15.75" customHeight="1">
      <c r="A618" s="32"/>
      <c r="C618" s="32"/>
      <c r="D618" s="32"/>
      <c r="E618" s="32"/>
      <c r="F618" s="32"/>
      <c r="G618" s="32"/>
    </row>
    <row r="619" ht="15.75" customHeight="1">
      <c r="A619" s="32"/>
      <c r="C619" s="32"/>
      <c r="D619" s="32"/>
      <c r="E619" s="32"/>
      <c r="F619" s="32"/>
      <c r="G619" s="32"/>
    </row>
    <row r="620" ht="15.75" customHeight="1">
      <c r="A620" s="32"/>
      <c r="C620" s="32"/>
      <c r="D620" s="32"/>
      <c r="E620" s="32"/>
      <c r="F620" s="32"/>
      <c r="G620" s="32"/>
    </row>
    <row r="621" ht="15.75" customHeight="1">
      <c r="A621" s="32"/>
      <c r="C621" s="32"/>
      <c r="D621" s="32"/>
      <c r="E621" s="32"/>
      <c r="F621" s="32"/>
      <c r="G621" s="32"/>
    </row>
    <row r="622" ht="15.75" customHeight="1">
      <c r="A622" s="32"/>
      <c r="C622" s="32"/>
      <c r="D622" s="32"/>
      <c r="E622" s="32"/>
      <c r="F622" s="32"/>
      <c r="G622" s="32"/>
    </row>
    <row r="623" ht="15.75" customHeight="1">
      <c r="A623" s="32"/>
      <c r="C623" s="32"/>
      <c r="D623" s="32"/>
      <c r="E623" s="32"/>
      <c r="F623" s="32"/>
      <c r="G623" s="32"/>
    </row>
    <row r="624" ht="15.75" customHeight="1">
      <c r="A624" s="32"/>
      <c r="C624" s="32"/>
      <c r="D624" s="32"/>
      <c r="E624" s="32"/>
      <c r="F624" s="32"/>
      <c r="G624" s="32"/>
    </row>
    <row r="625" ht="15.75" customHeight="1">
      <c r="A625" s="32"/>
      <c r="C625" s="32"/>
      <c r="D625" s="32"/>
      <c r="E625" s="32"/>
      <c r="F625" s="32"/>
      <c r="G625" s="32"/>
    </row>
    <row r="626" ht="15.75" customHeight="1">
      <c r="A626" s="32"/>
      <c r="C626" s="32"/>
      <c r="D626" s="32"/>
      <c r="E626" s="32"/>
      <c r="F626" s="32"/>
      <c r="G626" s="32"/>
    </row>
    <row r="627" ht="15.75" customHeight="1">
      <c r="A627" s="32"/>
      <c r="C627" s="32"/>
      <c r="D627" s="32"/>
      <c r="E627" s="32"/>
      <c r="F627" s="32"/>
      <c r="G627" s="32"/>
    </row>
    <row r="628" ht="15.75" customHeight="1">
      <c r="A628" s="32"/>
      <c r="C628" s="32"/>
      <c r="D628" s="32"/>
      <c r="E628" s="32"/>
      <c r="F628" s="32"/>
      <c r="G628" s="32"/>
    </row>
    <row r="629" ht="15.75" customHeight="1">
      <c r="A629" s="32"/>
      <c r="C629" s="32"/>
      <c r="D629" s="32"/>
      <c r="E629" s="32"/>
      <c r="F629" s="32"/>
      <c r="G629" s="32"/>
    </row>
    <row r="630" ht="15.75" customHeight="1">
      <c r="A630" s="32"/>
      <c r="C630" s="32"/>
      <c r="D630" s="32"/>
      <c r="E630" s="32"/>
      <c r="F630" s="32"/>
      <c r="G630" s="32"/>
    </row>
    <row r="631" ht="15.75" customHeight="1">
      <c r="A631" s="32"/>
      <c r="C631" s="32"/>
      <c r="D631" s="32"/>
      <c r="E631" s="32"/>
      <c r="F631" s="32"/>
      <c r="G631" s="32"/>
    </row>
    <row r="632" ht="15.75" customHeight="1">
      <c r="A632" s="32"/>
      <c r="C632" s="32"/>
      <c r="D632" s="32"/>
      <c r="E632" s="32"/>
      <c r="F632" s="32"/>
      <c r="G632" s="32"/>
    </row>
    <row r="633" ht="15.75" customHeight="1">
      <c r="A633" s="32"/>
      <c r="C633" s="32"/>
      <c r="D633" s="32"/>
      <c r="E633" s="32"/>
      <c r="F633" s="32"/>
      <c r="G633" s="32"/>
    </row>
    <row r="634" ht="15.75" customHeight="1">
      <c r="A634" s="32"/>
      <c r="C634" s="32"/>
      <c r="D634" s="32"/>
      <c r="E634" s="32"/>
      <c r="F634" s="32"/>
      <c r="G634" s="32"/>
    </row>
    <row r="635" ht="15.75" customHeight="1">
      <c r="A635" s="32"/>
      <c r="C635" s="32"/>
      <c r="D635" s="32"/>
      <c r="E635" s="32"/>
      <c r="F635" s="32"/>
      <c r="G635" s="32"/>
    </row>
    <row r="636" ht="15.75" customHeight="1">
      <c r="A636" s="32"/>
      <c r="C636" s="32"/>
      <c r="D636" s="32"/>
      <c r="E636" s="32"/>
      <c r="F636" s="32"/>
      <c r="G636" s="32"/>
    </row>
    <row r="637" ht="15.75" customHeight="1">
      <c r="A637" s="32"/>
      <c r="C637" s="32"/>
      <c r="D637" s="32"/>
      <c r="E637" s="32"/>
      <c r="F637" s="32"/>
      <c r="G637" s="32"/>
    </row>
    <row r="638" ht="15.75" customHeight="1">
      <c r="A638" s="32"/>
      <c r="C638" s="32"/>
      <c r="D638" s="32"/>
      <c r="E638" s="32"/>
      <c r="F638" s="32"/>
      <c r="G638" s="32"/>
    </row>
    <row r="639" ht="15.75" customHeight="1">
      <c r="A639" s="32"/>
      <c r="C639" s="32"/>
      <c r="D639" s="32"/>
      <c r="E639" s="32"/>
      <c r="F639" s="32"/>
      <c r="G639" s="32"/>
    </row>
    <row r="640" ht="15.75" customHeight="1">
      <c r="A640" s="32"/>
      <c r="C640" s="32"/>
      <c r="D640" s="32"/>
      <c r="E640" s="32"/>
      <c r="F640" s="32"/>
      <c r="G640" s="32"/>
    </row>
    <row r="641" ht="15.75" customHeight="1">
      <c r="A641" s="32"/>
      <c r="C641" s="32"/>
      <c r="D641" s="32"/>
      <c r="E641" s="32"/>
      <c r="F641" s="32"/>
      <c r="G641" s="32"/>
    </row>
    <row r="642" ht="15.75" customHeight="1">
      <c r="A642" s="32"/>
      <c r="C642" s="32"/>
      <c r="D642" s="32"/>
      <c r="E642" s="32"/>
      <c r="F642" s="32"/>
      <c r="G642" s="32"/>
    </row>
    <row r="643" ht="15.75" customHeight="1">
      <c r="A643" s="32"/>
      <c r="C643" s="32"/>
      <c r="D643" s="32"/>
      <c r="E643" s="32"/>
      <c r="F643" s="32"/>
      <c r="G643" s="32"/>
    </row>
    <row r="644" ht="15.75" customHeight="1">
      <c r="A644" s="32"/>
      <c r="C644" s="32"/>
      <c r="D644" s="32"/>
      <c r="E644" s="32"/>
      <c r="F644" s="32"/>
      <c r="G644" s="32"/>
    </row>
    <row r="645" ht="15.75" customHeight="1">
      <c r="A645" s="32"/>
      <c r="C645" s="32"/>
      <c r="D645" s="32"/>
      <c r="E645" s="32"/>
      <c r="F645" s="32"/>
      <c r="G645" s="32"/>
    </row>
    <row r="646" ht="15.75" customHeight="1">
      <c r="A646" s="32"/>
      <c r="C646" s="32"/>
      <c r="D646" s="32"/>
      <c r="E646" s="32"/>
      <c r="F646" s="32"/>
      <c r="G646" s="32"/>
    </row>
    <row r="647" ht="15.75" customHeight="1">
      <c r="A647" s="32"/>
      <c r="C647" s="32"/>
      <c r="D647" s="32"/>
      <c r="E647" s="32"/>
      <c r="F647" s="32"/>
      <c r="G647" s="32"/>
    </row>
    <row r="648" ht="15.75" customHeight="1">
      <c r="A648" s="32"/>
      <c r="C648" s="32"/>
      <c r="D648" s="32"/>
      <c r="E648" s="32"/>
      <c r="F648" s="32"/>
      <c r="G648" s="32"/>
    </row>
    <row r="649" ht="15.75" customHeight="1">
      <c r="A649" s="32"/>
      <c r="C649" s="32"/>
      <c r="D649" s="32"/>
      <c r="E649" s="32"/>
      <c r="F649" s="32"/>
      <c r="G649" s="32"/>
    </row>
    <row r="650" ht="15.75" customHeight="1">
      <c r="A650" s="32"/>
      <c r="C650" s="32"/>
      <c r="D650" s="32"/>
      <c r="E650" s="32"/>
      <c r="F650" s="32"/>
      <c r="G650" s="32"/>
    </row>
    <row r="651" ht="15.75" customHeight="1">
      <c r="A651" s="32"/>
      <c r="C651" s="32"/>
      <c r="D651" s="32"/>
      <c r="E651" s="32"/>
      <c r="F651" s="32"/>
      <c r="G651" s="32"/>
    </row>
    <row r="652" ht="15.75" customHeight="1">
      <c r="A652" s="32"/>
      <c r="C652" s="32"/>
      <c r="D652" s="32"/>
      <c r="E652" s="32"/>
      <c r="F652" s="32"/>
      <c r="G652" s="32"/>
    </row>
    <row r="653" ht="15.75" customHeight="1">
      <c r="A653" s="32"/>
      <c r="C653" s="32"/>
      <c r="D653" s="32"/>
      <c r="E653" s="32"/>
      <c r="F653" s="32"/>
      <c r="G653" s="32"/>
    </row>
    <row r="654" ht="15.75" customHeight="1">
      <c r="A654" s="32"/>
      <c r="C654" s="32"/>
      <c r="D654" s="32"/>
      <c r="E654" s="32"/>
      <c r="F654" s="32"/>
      <c r="G654" s="32"/>
    </row>
    <row r="655" ht="15.75" customHeight="1">
      <c r="A655" s="32"/>
      <c r="C655" s="32"/>
      <c r="D655" s="32"/>
      <c r="E655" s="32"/>
      <c r="F655" s="32"/>
      <c r="G655" s="32"/>
    </row>
    <row r="656" ht="15.75" customHeight="1">
      <c r="A656" s="32"/>
      <c r="C656" s="32"/>
      <c r="D656" s="32"/>
      <c r="E656" s="32"/>
      <c r="F656" s="32"/>
      <c r="G656" s="32"/>
    </row>
    <row r="657" ht="15.75" customHeight="1">
      <c r="A657" s="32"/>
      <c r="C657" s="32"/>
      <c r="D657" s="32"/>
      <c r="E657" s="32"/>
      <c r="F657" s="32"/>
      <c r="G657" s="32"/>
    </row>
    <row r="658" ht="15.75" customHeight="1">
      <c r="A658" s="32"/>
      <c r="C658" s="32"/>
      <c r="D658" s="32"/>
      <c r="E658" s="32"/>
      <c r="F658" s="32"/>
      <c r="G658" s="32"/>
    </row>
    <row r="659" ht="15.75" customHeight="1">
      <c r="A659" s="32"/>
      <c r="C659" s="32"/>
      <c r="D659" s="32"/>
      <c r="E659" s="32"/>
      <c r="F659" s="32"/>
      <c r="G659" s="32"/>
    </row>
    <row r="660" ht="15.75" customHeight="1">
      <c r="A660" s="32"/>
      <c r="C660" s="32"/>
      <c r="D660" s="32"/>
      <c r="E660" s="32"/>
      <c r="F660" s="32"/>
      <c r="G660" s="32"/>
    </row>
    <row r="661" ht="15.75" customHeight="1">
      <c r="A661" s="32"/>
      <c r="C661" s="32"/>
      <c r="D661" s="32"/>
      <c r="E661" s="32"/>
      <c r="F661" s="32"/>
      <c r="G661" s="32"/>
    </row>
    <row r="662" ht="15.75" customHeight="1">
      <c r="A662" s="32"/>
      <c r="C662" s="32"/>
      <c r="D662" s="32"/>
      <c r="E662" s="32"/>
      <c r="F662" s="32"/>
      <c r="G662" s="32"/>
    </row>
    <row r="663" ht="15.75" customHeight="1">
      <c r="A663" s="32"/>
      <c r="C663" s="32"/>
      <c r="D663" s="32"/>
      <c r="E663" s="32"/>
      <c r="F663" s="32"/>
      <c r="G663" s="32"/>
    </row>
    <row r="664" ht="15.75" customHeight="1">
      <c r="A664" s="32"/>
      <c r="C664" s="32"/>
      <c r="D664" s="32"/>
      <c r="E664" s="32"/>
      <c r="F664" s="32"/>
      <c r="G664" s="32"/>
    </row>
    <row r="665" ht="15.75" customHeight="1">
      <c r="A665" s="32"/>
      <c r="C665" s="32"/>
      <c r="D665" s="32"/>
      <c r="E665" s="32"/>
      <c r="F665" s="32"/>
      <c r="G665" s="32"/>
    </row>
    <row r="666" ht="15.75" customHeight="1">
      <c r="A666" s="32"/>
      <c r="C666" s="32"/>
      <c r="D666" s="32"/>
      <c r="E666" s="32"/>
      <c r="F666" s="32"/>
      <c r="G666" s="32"/>
    </row>
    <row r="667" ht="15.75" customHeight="1">
      <c r="A667" s="32"/>
      <c r="C667" s="32"/>
      <c r="D667" s="32"/>
      <c r="E667" s="32"/>
      <c r="F667" s="32"/>
      <c r="G667" s="32"/>
    </row>
    <row r="668" ht="15.75" customHeight="1">
      <c r="A668" s="32"/>
      <c r="C668" s="32"/>
      <c r="D668" s="32"/>
      <c r="E668" s="32"/>
      <c r="F668" s="32"/>
      <c r="G668" s="32"/>
    </row>
    <row r="669" ht="15.75" customHeight="1">
      <c r="A669" s="32"/>
      <c r="C669" s="32"/>
      <c r="D669" s="32"/>
      <c r="E669" s="32"/>
      <c r="F669" s="32"/>
      <c r="G669" s="32"/>
    </row>
    <row r="670" ht="15.75" customHeight="1">
      <c r="A670" s="32"/>
      <c r="C670" s="32"/>
      <c r="D670" s="32"/>
      <c r="E670" s="32"/>
      <c r="F670" s="32"/>
      <c r="G670" s="32"/>
    </row>
    <row r="671" ht="15.75" customHeight="1">
      <c r="A671" s="32"/>
      <c r="C671" s="32"/>
      <c r="D671" s="32"/>
      <c r="E671" s="32"/>
      <c r="F671" s="32"/>
      <c r="G671" s="32"/>
    </row>
    <row r="672" ht="15.75" customHeight="1">
      <c r="A672" s="32"/>
      <c r="C672" s="32"/>
      <c r="D672" s="32"/>
      <c r="E672" s="32"/>
      <c r="F672" s="32"/>
      <c r="G672" s="32"/>
    </row>
    <row r="673" ht="15.75" customHeight="1">
      <c r="A673" s="32"/>
      <c r="C673" s="32"/>
      <c r="D673" s="32"/>
      <c r="E673" s="32"/>
      <c r="F673" s="32"/>
      <c r="G673" s="32"/>
    </row>
    <row r="674" ht="15.75" customHeight="1">
      <c r="A674" s="32"/>
      <c r="C674" s="32"/>
      <c r="D674" s="32"/>
      <c r="E674" s="32"/>
      <c r="F674" s="32"/>
      <c r="G674" s="32"/>
    </row>
    <row r="675" ht="15.75" customHeight="1">
      <c r="A675" s="32"/>
      <c r="C675" s="32"/>
      <c r="D675" s="32"/>
      <c r="E675" s="32"/>
      <c r="F675" s="32"/>
      <c r="G675" s="32"/>
    </row>
    <row r="676" ht="15.75" customHeight="1">
      <c r="A676" s="32"/>
      <c r="C676" s="32"/>
      <c r="D676" s="32"/>
      <c r="E676" s="32"/>
      <c r="F676" s="32"/>
      <c r="G676" s="32"/>
    </row>
    <row r="677" ht="15.75" customHeight="1">
      <c r="A677" s="32"/>
      <c r="C677" s="32"/>
      <c r="D677" s="32"/>
      <c r="E677" s="32"/>
      <c r="F677" s="32"/>
      <c r="G677" s="32"/>
    </row>
    <row r="678" ht="15.75" customHeight="1">
      <c r="A678" s="32"/>
      <c r="C678" s="32"/>
      <c r="D678" s="32"/>
      <c r="E678" s="32"/>
      <c r="F678" s="32"/>
      <c r="G678" s="32"/>
    </row>
    <row r="679" ht="15.75" customHeight="1">
      <c r="A679" s="32"/>
      <c r="C679" s="32"/>
      <c r="D679" s="32"/>
      <c r="E679" s="32"/>
      <c r="F679" s="32"/>
      <c r="G679" s="32"/>
    </row>
    <row r="680" ht="15.75" customHeight="1">
      <c r="A680" s="32"/>
      <c r="C680" s="32"/>
      <c r="D680" s="32"/>
      <c r="E680" s="32"/>
      <c r="F680" s="32"/>
      <c r="G680" s="32"/>
    </row>
    <row r="681" ht="15.75" customHeight="1">
      <c r="A681" s="32"/>
      <c r="C681" s="32"/>
      <c r="D681" s="32"/>
      <c r="E681" s="32"/>
      <c r="F681" s="32"/>
      <c r="G681" s="32"/>
    </row>
    <row r="682" ht="15.75" customHeight="1">
      <c r="A682" s="32"/>
      <c r="C682" s="32"/>
      <c r="D682" s="32"/>
      <c r="E682" s="32"/>
      <c r="F682" s="32"/>
      <c r="G682" s="32"/>
    </row>
    <row r="683" ht="15.75" customHeight="1">
      <c r="A683" s="32"/>
      <c r="C683" s="32"/>
      <c r="D683" s="32"/>
      <c r="E683" s="32"/>
      <c r="F683" s="32"/>
      <c r="G683" s="32"/>
    </row>
    <row r="684" ht="15.75" customHeight="1">
      <c r="A684" s="32"/>
      <c r="C684" s="32"/>
      <c r="D684" s="32"/>
      <c r="E684" s="32"/>
      <c r="F684" s="32"/>
      <c r="G684" s="32"/>
    </row>
    <row r="685" ht="15.75" customHeight="1">
      <c r="A685" s="32"/>
      <c r="C685" s="32"/>
      <c r="D685" s="32"/>
      <c r="E685" s="32"/>
      <c r="F685" s="32"/>
      <c r="G685" s="32"/>
    </row>
    <row r="686" ht="15.75" customHeight="1">
      <c r="A686" s="32"/>
      <c r="C686" s="32"/>
      <c r="D686" s="32"/>
      <c r="E686" s="32"/>
      <c r="F686" s="32"/>
      <c r="G686" s="32"/>
    </row>
    <row r="687" ht="15.75" customHeight="1">
      <c r="A687" s="32"/>
      <c r="C687" s="32"/>
      <c r="D687" s="32"/>
      <c r="E687" s="32"/>
      <c r="F687" s="32"/>
      <c r="G687" s="32"/>
    </row>
    <row r="688" ht="15.75" customHeight="1">
      <c r="A688" s="32"/>
      <c r="C688" s="32"/>
      <c r="D688" s="32"/>
      <c r="E688" s="32"/>
      <c r="F688" s="32"/>
      <c r="G688" s="32"/>
    </row>
    <row r="689" ht="15.75" customHeight="1">
      <c r="A689" s="32"/>
      <c r="C689" s="32"/>
      <c r="D689" s="32"/>
      <c r="E689" s="32"/>
      <c r="F689" s="32"/>
      <c r="G689" s="32"/>
    </row>
    <row r="690" ht="15.75" customHeight="1">
      <c r="A690" s="32"/>
      <c r="C690" s="32"/>
      <c r="D690" s="32"/>
      <c r="E690" s="32"/>
      <c r="F690" s="32"/>
      <c r="G690" s="32"/>
    </row>
    <row r="691" ht="15.75" customHeight="1">
      <c r="A691" s="32"/>
      <c r="C691" s="32"/>
      <c r="D691" s="32"/>
      <c r="E691" s="32"/>
      <c r="F691" s="32"/>
      <c r="G691" s="32"/>
    </row>
    <row r="692" ht="15.75" customHeight="1">
      <c r="A692" s="32"/>
      <c r="C692" s="32"/>
      <c r="D692" s="32"/>
      <c r="E692" s="32"/>
      <c r="F692" s="32"/>
      <c r="G692" s="32"/>
    </row>
    <row r="693" ht="15.75" customHeight="1">
      <c r="A693" s="32"/>
      <c r="C693" s="32"/>
      <c r="D693" s="32"/>
      <c r="E693" s="32"/>
      <c r="F693" s="32"/>
      <c r="G693" s="32"/>
    </row>
    <row r="694" ht="15.75" customHeight="1">
      <c r="A694" s="32"/>
      <c r="C694" s="32"/>
      <c r="D694" s="32"/>
      <c r="E694" s="32"/>
      <c r="F694" s="32"/>
      <c r="G694" s="32"/>
    </row>
    <row r="695" ht="15.75" customHeight="1">
      <c r="A695" s="32"/>
      <c r="C695" s="32"/>
      <c r="D695" s="32"/>
      <c r="E695" s="32"/>
      <c r="F695" s="32"/>
      <c r="G695" s="32"/>
    </row>
    <row r="696" ht="15.75" customHeight="1">
      <c r="A696" s="32"/>
      <c r="C696" s="32"/>
      <c r="D696" s="32"/>
      <c r="E696" s="32"/>
      <c r="F696" s="32"/>
      <c r="G696" s="32"/>
    </row>
    <row r="697" ht="15.75" customHeight="1">
      <c r="A697" s="32"/>
      <c r="C697" s="32"/>
      <c r="D697" s="32"/>
      <c r="E697" s="32"/>
      <c r="F697" s="32"/>
      <c r="G697" s="32"/>
    </row>
    <row r="698" ht="15.75" customHeight="1">
      <c r="A698" s="32"/>
      <c r="C698" s="32"/>
      <c r="D698" s="32"/>
      <c r="E698" s="32"/>
      <c r="F698" s="32"/>
      <c r="G698" s="32"/>
    </row>
    <row r="699" ht="15.75" customHeight="1">
      <c r="A699" s="32"/>
      <c r="C699" s="32"/>
      <c r="D699" s="32"/>
      <c r="E699" s="32"/>
      <c r="F699" s="32"/>
      <c r="G699" s="32"/>
    </row>
    <row r="700" ht="15.75" customHeight="1">
      <c r="A700" s="32"/>
      <c r="C700" s="32"/>
      <c r="D700" s="32"/>
      <c r="E700" s="32"/>
      <c r="F700" s="32"/>
      <c r="G700" s="32"/>
    </row>
    <row r="701" ht="15.75" customHeight="1">
      <c r="A701" s="32"/>
      <c r="C701" s="32"/>
      <c r="D701" s="32"/>
      <c r="E701" s="32"/>
      <c r="F701" s="32"/>
      <c r="G701" s="32"/>
    </row>
    <row r="702" ht="15.75" customHeight="1">
      <c r="A702" s="32"/>
      <c r="C702" s="32"/>
      <c r="D702" s="32"/>
      <c r="E702" s="32"/>
      <c r="F702" s="32"/>
      <c r="G702" s="32"/>
    </row>
    <row r="703" ht="15.75" customHeight="1">
      <c r="A703" s="32"/>
      <c r="C703" s="32"/>
      <c r="D703" s="32"/>
      <c r="E703" s="32"/>
      <c r="F703" s="32"/>
      <c r="G703" s="32"/>
    </row>
    <row r="704" ht="15.75" customHeight="1">
      <c r="A704" s="32"/>
      <c r="C704" s="32"/>
      <c r="D704" s="32"/>
      <c r="E704" s="32"/>
      <c r="F704" s="32"/>
      <c r="G704" s="32"/>
    </row>
    <row r="705" ht="15.75" customHeight="1">
      <c r="A705" s="32"/>
      <c r="C705" s="32"/>
      <c r="D705" s="32"/>
      <c r="E705" s="32"/>
      <c r="F705" s="32"/>
      <c r="G705" s="32"/>
    </row>
    <row r="706" ht="15.75" customHeight="1">
      <c r="A706" s="32"/>
      <c r="C706" s="32"/>
      <c r="D706" s="32"/>
      <c r="E706" s="32"/>
      <c r="F706" s="32"/>
      <c r="G706" s="32"/>
    </row>
    <row r="707" ht="15.75" customHeight="1">
      <c r="A707" s="32"/>
      <c r="C707" s="32"/>
      <c r="D707" s="32"/>
      <c r="E707" s="32"/>
      <c r="F707" s="32"/>
      <c r="G707" s="32"/>
    </row>
    <row r="708" ht="15.75" customHeight="1">
      <c r="A708" s="32"/>
      <c r="C708" s="32"/>
      <c r="D708" s="32"/>
      <c r="E708" s="32"/>
      <c r="F708" s="32"/>
      <c r="G708" s="32"/>
    </row>
    <row r="709" ht="15.75" customHeight="1">
      <c r="A709" s="32"/>
      <c r="C709" s="32"/>
      <c r="D709" s="32"/>
      <c r="E709" s="32"/>
      <c r="F709" s="32"/>
      <c r="G709" s="32"/>
    </row>
    <row r="710" ht="15.75" customHeight="1">
      <c r="A710" s="32"/>
      <c r="C710" s="32"/>
      <c r="D710" s="32"/>
      <c r="E710" s="32"/>
      <c r="F710" s="32"/>
      <c r="G710" s="32"/>
    </row>
    <row r="711" ht="15.75" customHeight="1">
      <c r="A711" s="32"/>
      <c r="C711" s="32"/>
      <c r="D711" s="32"/>
      <c r="E711" s="32"/>
      <c r="F711" s="32"/>
      <c r="G711" s="32"/>
    </row>
    <row r="712" ht="15.75" customHeight="1">
      <c r="A712" s="32"/>
      <c r="C712" s="32"/>
      <c r="D712" s="32"/>
      <c r="E712" s="32"/>
      <c r="F712" s="32"/>
      <c r="G712" s="32"/>
    </row>
    <row r="713" ht="15.75" customHeight="1">
      <c r="A713" s="32"/>
      <c r="C713" s="32"/>
      <c r="D713" s="32"/>
      <c r="E713" s="32"/>
      <c r="F713" s="32"/>
      <c r="G713" s="32"/>
    </row>
    <row r="714" ht="15.75" customHeight="1">
      <c r="A714" s="32"/>
      <c r="C714" s="32"/>
      <c r="D714" s="32"/>
      <c r="E714" s="32"/>
      <c r="F714" s="32"/>
      <c r="G714" s="32"/>
    </row>
    <row r="715" ht="15.75" customHeight="1">
      <c r="A715" s="32"/>
      <c r="C715" s="32"/>
      <c r="D715" s="32"/>
      <c r="E715" s="32"/>
      <c r="F715" s="32"/>
      <c r="G715" s="32"/>
    </row>
    <row r="716" ht="15.75" customHeight="1">
      <c r="A716" s="32"/>
      <c r="C716" s="32"/>
      <c r="D716" s="32"/>
      <c r="E716" s="32"/>
      <c r="F716" s="32"/>
      <c r="G716" s="32"/>
    </row>
    <row r="717" ht="15.75" customHeight="1">
      <c r="A717" s="32"/>
      <c r="C717" s="32"/>
      <c r="D717" s="32"/>
      <c r="E717" s="32"/>
      <c r="F717" s="32"/>
      <c r="G717" s="32"/>
    </row>
    <row r="718" ht="15.75" customHeight="1">
      <c r="A718" s="32"/>
      <c r="C718" s="32"/>
      <c r="D718" s="32"/>
      <c r="E718" s="32"/>
      <c r="F718" s="32"/>
      <c r="G718" s="32"/>
    </row>
    <row r="719" ht="15.75" customHeight="1">
      <c r="A719" s="32"/>
      <c r="C719" s="32"/>
      <c r="D719" s="32"/>
      <c r="E719" s="32"/>
      <c r="F719" s="32"/>
      <c r="G719" s="32"/>
    </row>
    <row r="720" ht="15.75" customHeight="1">
      <c r="A720" s="32"/>
      <c r="C720" s="32"/>
      <c r="D720" s="32"/>
      <c r="E720" s="32"/>
      <c r="F720" s="32"/>
      <c r="G720" s="32"/>
    </row>
    <row r="721" ht="15.75" customHeight="1">
      <c r="A721" s="32"/>
      <c r="C721" s="32"/>
      <c r="D721" s="32"/>
      <c r="E721" s="32"/>
      <c r="F721" s="32"/>
      <c r="G721" s="32"/>
    </row>
    <row r="722" ht="15.75" customHeight="1">
      <c r="A722" s="32"/>
      <c r="C722" s="32"/>
      <c r="D722" s="32"/>
      <c r="E722" s="32"/>
      <c r="F722" s="32"/>
      <c r="G722" s="32"/>
    </row>
    <row r="723" ht="15.75" customHeight="1">
      <c r="A723" s="32"/>
      <c r="C723" s="32"/>
      <c r="D723" s="32"/>
      <c r="E723" s="32"/>
      <c r="F723" s="32"/>
      <c r="G723" s="32"/>
    </row>
    <row r="724" ht="15.75" customHeight="1">
      <c r="A724" s="32"/>
      <c r="C724" s="32"/>
      <c r="D724" s="32"/>
      <c r="E724" s="32"/>
      <c r="F724" s="32"/>
      <c r="G724" s="32"/>
    </row>
    <row r="725" ht="15.75" customHeight="1">
      <c r="A725" s="32"/>
      <c r="C725" s="32"/>
      <c r="D725" s="32"/>
      <c r="E725" s="32"/>
      <c r="F725" s="32"/>
      <c r="G725" s="32"/>
    </row>
    <row r="726" ht="15.75" customHeight="1">
      <c r="A726" s="32"/>
      <c r="C726" s="32"/>
      <c r="D726" s="32"/>
      <c r="E726" s="32"/>
      <c r="F726" s="32"/>
      <c r="G726" s="32"/>
    </row>
    <row r="727" ht="15.75" customHeight="1">
      <c r="A727" s="32"/>
      <c r="C727" s="32"/>
      <c r="D727" s="32"/>
      <c r="E727" s="32"/>
      <c r="F727" s="32"/>
      <c r="G727" s="32"/>
    </row>
    <row r="728" ht="15.75" customHeight="1">
      <c r="A728" s="32"/>
      <c r="C728" s="32"/>
      <c r="D728" s="32"/>
      <c r="E728" s="32"/>
      <c r="F728" s="32"/>
      <c r="G728" s="32"/>
    </row>
    <row r="729" ht="15.75" customHeight="1">
      <c r="A729" s="32"/>
      <c r="C729" s="32"/>
      <c r="D729" s="32"/>
      <c r="E729" s="32"/>
      <c r="F729" s="32"/>
      <c r="G729" s="32"/>
    </row>
    <row r="730" ht="15.75" customHeight="1">
      <c r="A730" s="32"/>
      <c r="C730" s="32"/>
      <c r="D730" s="32"/>
      <c r="E730" s="32"/>
      <c r="F730" s="32"/>
      <c r="G730" s="32"/>
    </row>
    <row r="731" ht="15.75" customHeight="1">
      <c r="A731" s="32"/>
      <c r="C731" s="32"/>
      <c r="D731" s="32"/>
      <c r="E731" s="32"/>
      <c r="F731" s="32"/>
      <c r="G731" s="32"/>
    </row>
    <row r="732" ht="15.75" customHeight="1">
      <c r="A732" s="32"/>
      <c r="C732" s="32"/>
      <c r="D732" s="32"/>
      <c r="E732" s="32"/>
      <c r="F732" s="32"/>
      <c r="G732" s="32"/>
    </row>
    <row r="733" ht="15.75" customHeight="1">
      <c r="A733" s="32"/>
      <c r="C733" s="32"/>
      <c r="D733" s="32"/>
      <c r="E733" s="32"/>
      <c r="F733" s="32"/>
      <c r="G733" s="32"/>
    </row>
    <row r="734" ht="15.75" customHeight="1">
      <c r="A734" s="32"/>
      <c r="C734" s="32"/>
      <c r="D734" s="32"/>
      <c r="E734" s="32"/>
      <c r="F734" s="32"/>
      <c r="G734" s="32"/>
    </row>
    <row r="735" ht="15.75" customHeight="1">
      <c r="A735" s="32"/>
      <c r="C735" s="32"/>
      <c r="D735" s="32"/>
      <c r="E735" s="32"/>
      <c r="F735" s="32"/>
      <c r="G735" s="32"/>
    </row>
    <row r="736" ht="15.75" customHeight="1">
      <c r="A736" s="32"/>
      <c r="C736" s="32"/>
      <c r="D736" s="32"/>
      <c r="E736" s="32"/>
      <c r="F736" s="32"/>
      <c r="G736" s="32"/>
    </row>
    <row r="737" ht="15.75" customHeight="1">
      <c r="A737" s="32"/>
      <c r="C737" s="32"/>
      <c r="D737" s="32"/>
      <c r="E737" s="32"/>
      <c r="F737" s="32"/>
      <c r="G737" s="32"/>
    </row>
    <row r="738" ht="15.75" customHeight="1">
      <c r="A738" s="32"/>
      <c r="C738" s="32"/>
      <c r="D738" s="32"/>
      <c r="E738" s="32"/>
      <c r="F738" s="32"/>
      <c r="G738" s="32"/>
    </row>
    <row r="739" ht="15.75" customHeight="1">
      <c r="A739" s="32"/>
      <c r="C739" s="32"/>
      <c r="D739" s="32"/>
      <c r="E739" s="32"/>
      <c r="F739" s="32"/>
      <c r="G739" s="32"/>
    </row>
    <row r="740" ht="15.75" customHeight="1">
      <c r="A740" s="32"/>
      <c r="C740" s="32"/>
      <c r="D740" s="32"/>
      <c r="E740" s="32"/>
      <c r="F740" s="32"/>
      <c r="G740" s="32"/>
    </row>
    <row r="741" ht="15.75" customHeight="1">
      <c r="A741" s="32"/>
      <c r="C741" s="32"/>
      <c r="D741" s="32"/>
      <c r="E741" s="32"/>
      <c r="F741" s="32"/>
      <c r="G741" s="32"/>
    </row>
    <row r="742" ht="15.75" customHeight="1">
      <c r="A742" s="32"/>
      <c r="C742" s="32"/>
      <c r="D742" s="32"/>
      <c r="E742" s="32"/>
      <c r="F742" s="32"/>
      <c r="G742" s="32"/>
    </row>
    <row r="743" ht="15.75" customHeight="1">
      <c r="A743" s="32"/>
      <c r="C743" s="32"/>
      <c r="D743" s="32"/>
      <c r="E743" s="32"/>
      <c r="F743" s="32"/>
      <c r="G743" s="32"/>
    </row>
    <row r="744" ht="15.75" customHeight="1">
      <c r="A744" s="32"/>
      <c r="C744" s="32"/>
      <c r="D744" s="32"/>
      <c r="E744" s="32"/>
      <c r="F744" s="32"/>
      <c r="G744" s="32"/>
    </row>
    <row r="745" ht="15.75" customHeight="1">
      <c r="A745" s="32"/>
      <c r="C745" s="32"/>
      <c r="D745" s="32"/>
      <c r="E745" s="32"/>
      <c r="F745" s="32"/>
      <c r="G745" s="32"/>
    </row>
    <row r="746" ht="15.75" customHeight="1">
      <c r="A746" s="32"/>
      <c r="C746" s="32"/>
      <c r="D746" s="32"/>
      <c r="E746" s="32"/>
      <c r="F746" s="32"/>
      <c r="G746" s="32"/>
    </row>
    <row r="747" ht="15.75" customHeight="1">
      <c r="A747" s="32"/>
      <c r="C747" s="32"/>
      <c r="D747" s="32"/>
      <c r="E747" s="32"/>
      <c r="F747" s="32"/>
      <c r="G747" s="32"/>
    </row>
    <row r="748" ht="15.75" customHeight="1">
      <c r="A748" s="32"/>
      <c r="C748" s="32"/>
      <c r="D748" s="32"/>
      <c r="E748" s="32"/>
      <c r="F748" s="32"/>
      <c r="G748" s="32"/>
    </row>
    <row r="749" ht="15.75" customHeight="1">
      <c r="A749" s="32"/>
      <c r="C749" s="32"/>
      <c r="D749" s="32"/>
      <c r="E749" s="32"/>
      <c r="F749" s="32"/>
      <c r="G749" s="32"/>
    </row>
    <row r="750" ht="15.75" customHeight="1">
      <c r="A750" s="32"/>
      <c r="C750" s="32"/>
      <c r="D750" s="32"/>
      <c r="E750" s="32"/>
      <c r="F750" s="32"/>
      <c r="G750" s="32"/>
    </row>
    <row r="751" ht="15.75" customHeight="1">
      <c r="A751" s="32"/>
      <c r="C751" s="32"/>
      <c r="D751" s="32"/>
      <c r="E751" s="32"/>
      <c r="F751" s="32"/>
      <c r="G751" s="32"/>
    </row>
    <row r="752" ht="15.75" customHeight="1">
      <c r="A752" s="32"/>
      <c r="C752" s="32"/>
      <c r="D752" s="32"/>
      <c r="E752" s="32"/>
      <c r="F752" s="32"/>
      <c r="G752" s="32"/>
    </row>
    <row r="753" ht="15.75" customHeight="1">
      <c r="A753" s="32"/>
      <c r="C753" s="32"/>
      <c r="D753" s="32"/>
      <c r="E753" s="32"/>
      <c r="F753" s="32"/>
      <c r="G753" s="32"/>
    </row>
    <row r="754" ht="15.75" customHeight="1">
      <c r="A754" s="32"/>
      <c r="C754" s="32"/>
      <c r="D754" s="32"/>
      <c r="E754" s="32"/>
      <c r="F754" s="32"/>
      <c r="G754" s="32"/>
    </row>
    <row r="755" ht="15.75" customHeight="1">
      <c r="A755" s="32"/>
      <c r="C755" s="32"/>
      <c r="D755" s="32"/>
      <c r="E755" s="32"/>
      <c r="F755" s="32"/>
      <c r="G755" s="32"/>
    </row>
    <row r="756" ht="15.75" customHeight="1">
      <c r="A756" s="32"/>
      <c r="C756" s="32"/>
      <c r="D756" s="32"/>
      <c r="E756" s="32"/>
      <c r="F756" s="32"/>
      <c r="G756" s="32"/>
    </row>
    <row r="757" ht="15.75" customHeight="1">
      <c r="A757" s="32"/>
      <c r="C757" s="32"/>
      <c r="D757" s="32"/>
      <c r="E757" s="32"/>
      <c r="F757" s="32"/>
      <c r="G757" s="32"/>
    </row>
    <row r="758" ht="15.75" customHeight="1">
      <c r="A758" s="32"/>
      <c r="C758" s="32"/>
      <c r="D758" s="32"/>
      <c r="E758" s="32"/>
      <c r="F758" s="32"/>
      <c r="G758" s="32"/>
    </row>
    <row r="759" ht="15.75" customHeight="1">
      <c r="A759" s="32"/>
      <c r="C759" s="32"/>
      <c r="D759" s="32"/>
      <c r="E759" s="32"/>
      <c r="F759" s="32"/>
      <c r="G759" s="32"/>
    </row>
    <row r="760" ht="15.75" customHeight="1">
      <c r="A760" s="32"/>
      <c r="C760" s="32"/>
      <c r="D760" s="32"/>
      <c r="E760" s="32"/>
      <c r="F760" s="32"/>
      <c r="G760" s="32"/>
    </row>
    <row r="761" ht="15.75" customHeight="1">
      <c r="A761" s="32"/>
      <c r="C761" s="32"/>
      <c r="D761" s="32"/>
      <c r="E761" s="32"/>
      <c r="F761" s="32"/>
      <c r="G761" s="32"/>
    </row>
    <row r="762" ht="15.75" customHeight="1">
      <c r="A762" s="32"/>
      <c r="C762" s="32"/>
      <c r="D762" s="32"/>
      <c r="E762" s="32"/>
      <c r="F762" s="32"/>
      <c r="G762" s="32"/>
    </row>
    <row r="763" ht="15.75" customHeight="1">
      <c r="A763" s="32"/>
      <c r="C763" s="32"/>
      <c r="D763" s="32"/>
      <c r="E763" s="32"/>
      <c r="F763" s="32"/>
      <c r="G763" s="32"/>
    </row>
    <row r="764" ht="15.75" customHeight="1">
      <c r="A764" s="32"/>
      <c r="C764" s="32"/>
      <c r="D764" s="32"/>
      <c r="E764" s="32"/>
      <c r="F764" s="32"/>
      <c r="G764" s="32"/>
    </row>
    <row r="765" ht="15.75" customHeight="1">
      <c r="A765" s="32"/>
      <c r="C765" s="32"/>
      <c r="D765" s="32"/>
      <c r="E765" s="32"/>
      <c r="F765" s="32"/>
      <c r="G765" s="32"/>
    </row>
    <row r="766" ht="15.75" customHeight="1">
      <c r="A766" s="32"/>
      <c r="C766" s="32"/>
      <c r="D766" s="32"/>
      <c r="E766" s="32"/>
      <c r="F766" s="32"/>
      <c r="G766" s="32"/>
    </row>
    <row r="767" ht="15.75" customHeight="1">
      <c r="A767" s="32"/>
      <c r="C767" s="32"/>
      <c r="D767" s="32"/>
      <c r="E767" s="32"/>
      <c r="F767" s="32"/>
      <c r="G767" s="32"/>
    </row>
    <row r="768" ht="15.75" customHeight="1">
      <c r="A768" s="32"/>
      <c r="C768" s="32"/>
      <c r="D768" s="32"/>
      <c r="E768" s="32"/>
      <c r="F768" s="32"/>
      <c r="G768" s="32"/>
    </row>
    <row r="769" ht="15.75" customHeight="1">
      <c r="A769" s="32"/>
      <c r="C769" s="32"/>
      <c r="D769" s="32"/>
      <c r="E769" s="32"/>
      <c r="F769" s="32"/>
      <c r="G769" s="32"/>
    </row>
    <row r="770" ht="15.75" customHeight="1">
      <c r="A770" s="32"/>
      <c r="C770" s="32"/>
      <c r="D770" s="32"/>
      <c r="E770" s="32"/>
      <c r="F770" s="32"/>
      <c r="G770" s="32"/>
    </row>
    <row r="771" ht="15.75" customHeight="1">
      <c r="A771" s="32"/>
      <c r="C771" s="32"/>
      <c r="D771" s="32"/>
      <c r="E771" s="32"/>
      <c r="F771" s="32"/>
      <c r="G771" s="32"/>
    </row>
    <row r="772" ht="15.75" customHeight="1">
      <c r="A772" s="32"/>
      <c r="C772" s="32"/>
      <c r="D772" s="32"/>
      <c r="E772" s="32"/>
      <c r="F772" s="32"/>
      <c r="G772" s="32"/>
    </row>
    <row r="773" ht="15.75" customHeight="1">
      <c r="A773" s="32"/>
      <c r="C773" s="32"/>
      <c r="D773" s="32"/>
      <c r="E773" s="32"/>
      <c r="F773" s="32"/>
      <c r="G773" s="32"/>
    </row>
    <row r="774" ht="15.75" customHeight="1">
      <c r="A774" s="32"/>
      <c r="C774" s="32"/>
      <c r="D774" s="32"/>
      <c r="E774" s="32"/>
      <c r="F774" s="32"/>
      <c r="G774" s="32"/>
    </row>
    <row r="775" ht="15.75" customHeight="1">
      <c r="A775" s="32"/>
      <c r="C775" s="32"/>
      <c r="D775" s="32"/>
      <c r="E775" s="32"/>
      <c r="F775" s="32"/>
      <c r="G775" s="32"/>
    </row>
    <row r="776" ht="15.75" customHeight="1">
      <c r="A776" s="32"/>
      <c r="C776" s="32"/>
      <c r="D776" s="32"/>
      <c r="E776" s="32"/>
      <c r="F776" s="32"/>
      <c r="G776" s="32"/>
    </row>
    <row r="777" ht="15.75" customHeight="1">
      <c r="A777" s="32"/>
      <c r="C777" s="32"/>
      <c r="D777" s="32"/>
      <c r="E777" s="32"/>
      <c r="F777" s="32"/>
      <c r="G777" s="32"/>
    </row>
    <row r="778" ht="15.75" customHeight="1">
      <c r="A778" s="32"/>
      <c r="C778" s="32"/>
      <c r="D778" s="32"/>
      <c r="E778" s="32"/>
      <c r="F778" s="32"/>
      <c r="G778" s="32"/>
    </row>
    <row r="779" ht="15.75" customHeight="1">
      <c r="A779" s="32"/>
      <c r="C779" s="32"/>
      <c r="D779" s="32"/>
      <c r="E779" s="32"/>
      <c r="F779" s="32"/>
      <c r="G779" s="32"/>
    </row>
    <row r="780" ht="15.75" customHeight="1">
      <c r="A780" s="32"/>
      <c r="C780" s="32"/>
      <c r="D780" s="32"/>
      <c r="E780" s="32"/>
      <c r="F780" s="32"/>
      <c r="G780" s="32"/>
    </row>
    <row r="781" ht="15.75" customHeight="1">
      <c r="A781" s="32"/>
      <c r="C781" s="32"/>
      <c r="D781" s="32"/>
      <c r="E781" s="32"/>
      <c r="F781" s="32"/>
      <c r="G781" s="32"/>
    </row>
    <row r="782" ht="15.75" customHeight="1">
      <c r="A782" s="32"/>
      <c r="C782" s="32"/>
      <c r="D782" s="32"/>
      <c r="E782" s="32"/>
      <c r="F782" s="32"/>
      <c r="G782" s="32"/>
    </row>
    <row r="783" ht="15.75" customHeight="1">
      <c r="A783" s="32"/>
      <c r="C783" s="32"/>
      <c r="D783" s="32"/>
      <c r="E783" s="32"/>
      <c r="F783" s="32"/>
      <c r="G783" s="32"/>
    </row>
    <row r="784" ht="15.75" customHeight="1">
      <c r="A784" s="32"/>
      <c r="C784" s="32"/>
      <c r="D784" s="32"/>
      <c r="E784" s="32"/>
      <c r="F784" s="32"/>
      <c r="G784" s="32"/>
    </row>
    <row r="785" ht="15.75" customHeight="1">
      <c r="A785" s="32"/>
      <c r="C785" s="32"/>
      <c r="D785" s="32"/>
      <c r="E785" s="32"/>
      <c r="F785" s="32"/>
      <c r="G785" s="32"/>
    </row>
    <row r="786" ht="15.75" customHeight="1">
      <c r="A786" s="32"/>
      <c r="C786" s="32"/>
      <c r="D786" s="32"/>
      <c r="E786" s="32"/>
      <c r="F786" s="32"/>
      <c r="G786" s="32"/>
    </row>
    <row r="787" ht="15.75" customHeight="1">
      <c r="A787" s="32"/>
      <c r="C787" s="32"/>
      <c r="D787" s="32"/>
      <c r="E787" s="32"/>
      <c r="F787" s="32"/>
      <c r="G787" s="32"/>
    </row>
    <row r="788" ht="15.75" customHeight="1">
      <c r="A788" s="32"/>
      <c r="C788" s="32"/>
      <c r="D788" s="32"/>
      <c r="E788" s="32"/>
      <c r="F788" s="32"/>
      <c r="G788" s="32"/>
    </row>
    <row r="789" ht="15.75" customHeight="1">
      <c r="A789" s="32"/>
      <c r="C789" s="32"/>
      <c r="D789" s="32"/>
      <c r="E789" s="32"/>
      <c r="F789" s="32"/>
      <c r="G789" s="32"/>
    </row>
    <row r="790" ht="15.75" customHeight="1">
      <c r="A790" s="32"/>
      <c r="C790" s="32"/>
      <c r="D790" s="32"/>
      <c r="E790" s="32"/>
      <c r="F790" s="32"/>
      <c r="G790" s="32"/>
    </row>
    <row r="791" ht="15.75" customHeight="1">
      <c r="A791" s="32"/>
      <c r="C791" s="32"/>
      <c r="D791" s="32"/>
      <c r="E791" s="32"/>
      <c r="F791" s="32"/>
      <c r="G791" s="32"/>
    </row>
    <row r="792" ht="15.75" customHeight="1">
      <c r="A792" s="32"/>
      <c r="C792" s="32"/>
      <c r="D792" s="32"/>
      <c r="E792" s="32"/>
      <c r="F792" s="32"/>
      <c r="G792" s="32"/>
    </row>
    <row r="793" ht="15.75" customHeight="1">
      <c r="A793" s="32"/>
      <c r="C793" s="32"/>
      <c r="D793" s="32"/>
      <c r="E793" s="32"/>
      <c r="F793" s="32"/>
      <c r="G793" s="32"/>
    </row>
    <row r="794" ht="15.75" customHeight="1">
      <c r="A794" s="32"/>
      <c r="C794" s="32"/>
      <c r="D794" s="32"/>
      <c r="E794" s="32"/>
      <c r="F794" s="32"/>
      <c r="G794" s="32"/>
    </row>
    <row r="795" ht="15.75" customHeight="1">
      <c r="A795" s="32"/>
      <c r="C795" s="32"/>
      <c r="D795" s="32"/>
      <c r="E795" s="32"/>
      <c r="F795" s="32"/>
      <c r="G795" s="32"/>
    </row>
    <row r="796" ht="15.75" customHeight="1">
      <c r="A796" s="32"/>
      <c r="C796" s="32"/>
      <c r="D796" s="32"/>
      <c r="E796" s="32"/>
      <c r="F796" s="32"/>
      <c r="G796" s="32"/>
    </row>
    <row r="797" ht="15.75" customHeight="1">
      <c r="A797" s="32"/>
      <c r="C797" s="32"/>
      <c r="D797" s="32"/>
      <c r="E797" s="32"/>
      <c r="F797" s="32"/>
      <c r="G797" s="32"/>
    </row>
    <row r="798" ht="15.75" customHeight="1">
      <c r="A798" s="32"/>
      <c r="C798" s="32"/>
      <c r="D798" s="32"/>
      <c r="E798" s="32"/>
      <c r="F798" s="32"/>
      <c r="G798" s="32"/>
    </row>
    <row r="799" ht="15.75" customHeight="1">
      <c r="A799" s="32"/>
      <c r="C799" s="32"/>
      <c r="D799" s="32"/>
      <c r="E799" s="32"/>
      <c r="F799" s="32"/>
      <c r="G799" s="32"/>
    </row>
    <row r="800" ht="15.75" customHeight="1">
      <c r="A800" s="32"/>
      <c r="C800" s="32"/>
      <c r="D800" s="32"/>
      <c r="E800" s="32"/>
      <c r="F800" s="32"/>
      <c r="G800" s="32"/>
    </row>
    <row r="801" ht="15.75" customHeight="1">
      <c r="A801" s="32"/>
      <c r="C801" s="32"/>
      <c r="D801" s="32"/>
      <c r="E801" s="32"/>
      <c r="F801" s="32"/>
      <c r="G801" s="32"/>
    </row>
    <row r="802" ht="15.75" customHeight="1">
      <c r="A802" s="32"/>
      <c r="C802" s="32"/>
      <c r="D802" s="32"/>
      <c r="E802" s="32"/>
      <c r="F802" s="32"/>
      <c r="G802" s="32"/>
    </row>
    <row r="803" ht="15.75" customHeight="1">
      <c r="A803" s="32"/>
      <c r="C803" s="32"/>
      <c r="D803" s="32"/>
      <c r="E803" s="32"/>
      <c r="F803" s="32"/>
      <c r="G803" s="32"/>
    </row>
    <row r="804" ht="15.75" customHeight="1">
      <c r="A804" s="32"/>
      <c r="C804" s="32"/>
      <c r="D804" s="32"/>
      <c r="E804" s="32"/>
      <c r="F804" s="32"/>
      <c r="G804" s="32"/>
    </row>
    <row r="805" ht="15.75" customHeight="1">
      <c r="A805" s="32"/>
      <c r="C805" s="32"/>
      <c r="D805" s="32"/>
      <c r="E805" s="32"/>
      <c r="F805" s="32"/>
      <c r="G805" s="32"/>
    </row>
    <row r="806" ht="15.75" customHeight="1">
      <c r="A806" s="32"/>
      <c r="C806" s="32"/>
      <c r="D806" s="32"/>
      <c r="E806" s="32"/>
      <c r="F806" s="32"/>
      <c r="G806" s="32"/>
    </row>
    <row r="807" ht="15.75" customHeight="1">
      <c r="A807" s="32"/>
      <c r="C807" s="32"/>
      <c r="D807" s="32"/>
      <c r="E807" s="32"/>
      <c r="F807" s="32"/>
      <c r="G807" s="32"/>
    </row>
    <row r="808" ht="15.75" customHeight="1">
      <c r="A808" s="32"/>
      <c r="C808" s="32"/>
      <c r="D808" s="32"/>
      <c r="E808" s="32"/>
      <c r="F808" s="32"/>
      <c r="G808" s="32"/>
    </row>
    <row r="809" ht="15.75" customHeight="1">
      <c r="A809" s="32"/>
      <c r="C809" s="32"/>
      <c r="D809" s="32"/>
      <c r="E809" s="32"/>
      <c r="F809" s="32"/>
      <c r="G809" s="32"/>
    </row>
    <row r="810" ht="15.75" customHeight="1">
      <c r="A810" s="32"/>
      <c r="C810" s="32"/>
      <c r="D810" s="32"/>
      <c r="E810" s="32"/>
      <c r="F810" s="32"/>
      <c r="G810" s="32"/>
    </row>
    <row r="811" ht="15.75" customHeight="1">
      <c r="A811" s="32"/>
      <c r="C811" s="32"/>
      <c r="D811" s="32"/>
      <c r="E811" s="32"/>
      <c r="F811" s="32"/>
      <c r="G811" s="32"/>
    </row>
    <row r="812" ht="15.75" customHeight="1">
      <c r="A812" s="32"/>
      <c r="C812" s="32"/>
      <c r="D812" s="32"/>
      <c r="E812" s="32"/>
      <c r="F812" s="32"/>
      <c r="G812" s="32"/>
    </row>
    <row r="813" ht="15.75" customHeight="1">
      <c r="A813" s="32"/>
      <c r="C813" s="32"/>
      <c r="D813" s="32"/>
      <c r="E813" s="32"/>
      <c r="F813" s="32"/>
      <c r="G813" s="32"/>
    </row>
    <row r="814" ht="15.75" customHeight="1">
      <c r="A814" s="32"/>
      <c r="C814" s="32"/>
      <c r="D814" s="32"/>
      <c r="E814" s="32"/>
      <c r="F814" s="32"/>
      <c r="G814" s="32"/>
    </row>
    <row r="815" ht="15.75" customHeight="1">
      <c r="A815" s="32"/>
      <c r="C815" s="32"/>
      <c r="D815" s="32"/>
      <c r="E815" s="32"/>
      <c r="F815" s="32"/>
      <c r="G815" s="32"/>
    </row>
    <row r="816" ht="15.75" customHeight="1">
      <c r="A816" s="32"/>
      <c r="C816" s="32"/>
      <c r="D816" s="32"/>
      <c r="E816" s="32"/>
      <c r="F816" s="32"/>
      <c r="G816" s="32"/>
    </row>
    <row r="817" ht="15.75" customHeight="1">
      <c r="A817" s="32"/>
      <c r="C817" s="32"/>
      <c r="D817" s="32"/>
      <c r="E817" s="32"/>
      <c r="F817" s="32"/>
      <c r="G817" s="32"/>
    </row>
    <row r="818" ht="15.75" customHeight="1">
      <c r="A818" s="32"/>
      <c r="C818" s="32"/>
      <c r="D818" s="32"/>
      <c r="E818" s="32"/>
      <c r="F818" s="32"/>
      <c r="G818" s="32"/>
    </row>
    <row r="819" ht="15.75" customHeight="1">
      <c r="A819" s="32"/>
      <c r="C819" s="32"/>
      <c r="D819" s="32"/>
      <c r="E819" s="32"/>
      <c r="F819" s="32"/>
      <c r="G819" s="32"/>
    </row>
    <row r="820" ht="15.75" customHeight="1">
      <c r="A820" s="32"/>
      <c r="C820" s="32"/>
      <c r="D820" s="32"/>
      <c r="E820" s="32"/>
      <c r="F820" s="32"/>
      <c r="G820" s="32"/>
    </row>
    <row r="821" ht="15.75" customHeight="1">
      <c r="A821" s="32"/>
      <c r="C821" s="32"/>
      <c r="D821" s="32"/>
      <c r="E821" s="32"/>
      <c r="F821" s="32"/>
      <c r="G821" s="32"/>
    </row>
    <row r="822" ht="15.75" customHeight="1">
      <c r="A822" s="32"/>
      <c r="C822" s="32"/>
      <c r="D822" s="32"/>
      <c r="E822" s="32"/>
      <c r="F822" s="32"/>
      <c r="G822" s="32"/>
    </row>
    <row r="823" ht="15.75" customHeight="1">
      <c r="A823" s="32"/>
      <c r="C823" s="32"/>
      <c r="D823" s="32"/>
      <c r="E823" s="32"/>
      <c r="F823" s="32"/>
      <c r="G823" s="32"/>
    </row>
    <row r="824" ht="15.75" customHeight="1">
      <c r="A824" s="32"/>
      <c r="C824" s="32"/>
      <c r="D824" s="32"/>
      <c r="E824" s="32"/>
      <c r="F824" s="32"/>
      <c r="G824" s="32"/>
    </row>
    <row r="825" ht="15.75" customHeight="1">
      <c r="A825" s="32"/>
      <c r="C825" s="32"/>
      <c r="D825" s="32"/>
      <c r="E825" s="32"/>
      <c r="F825" s="32"/>
      <c r="G825" s="32"/>
    </row>
    <row r="826" ht="15.75" customHeight="1">
      <c r="A826" s="32"/>
      <c r="C826" s="32"/>
      <c r="D826" s="32"/>
      <c r="E826" s="32"/>
      <c r="F826" s="32"/>
      <c r="G826" s="32"/>
    </row>
    <row r="827" ht="15.75" customHeight="1">
      <c r="A827" s="32"/>
      <c r="C827" s="32"/>
      <c r="D827" s="32"/>
      <c r="E827" s="32"/>
      <c r="F827" s="32"/>
      <c r="G827" s="32"/>
    </row>
    <row r="828" ht="15.75" customHeight="1">
      <c r="A828" s="32"/>
      <c r="C828" s="32"/>
      <c r="D828" s="32"/>
      <c r="E828" s="32"/>
      <c r="F828" s="32"/>
      <c r="G828" s="32"/>
    </row>
    <row r="829" ht="15.75" customHeight="1">
      <c r="A829" s="32"/>
      <c r="C829" s="32"/>
      <c r="D829" s="32"/>
      <c r="E829" s="32"/>
      <c r="F829" s="32"/>
      <c r="G829" s="32"/>
    </row>
    <row r="830" ht="15.75" customHeight="1">
      <c r="A830" s="32"/>
      <c r="C830" s="32"/>
      <c r="D830" s="32"/>
      <c r="E830" s="32"/>
      <c r="F830" s="32"/>
      <c r="G830" s="32"/>
    </row>
    <row r="831" ht="15.75" customHeight="1">
      <c r="A831" s="32"/>
      <c r="C831" s="32"/>
      <c r="D831" s="32"/>
      <c r="E831" s="32"/>
      <c r="F831" s="32"/>
      <c r="G831" s="32"/>
    </row>
    <row r="832" ht="15.75" customHeight="1">
      <c r="A832" s="32"/>
      <c r="C832" s="32"/>
      <c r="D832" s="32"/>
      <c r="E832" s="32"/>
      <c r="F832" s="32"/>
      <c r="G832" s="32"/>
    </row>
    <row r="833" ht="15.75" customHeight="1">
      <c r="A833" s="32"/>
      <c r="C833" s="32"/>
      <c r="D833" s="32"/>
      <c r="E833" s="32"/>
      <c r="F833" s="32"/>
      <c r="G833" s="32"/>
    </row>
    <row r="834" ht="15.75" customHeight="1">
      <c r="A834" s="32"/>
      <c r="C834" s="32"/>
      <c r="D834" s="32"/>
      <c r="E834" s="32"/>
      <c r="F834" s="32"/>
      <c r="G834" s="32"/>
    </row>
    <row r="835" ht="15.75" customHeight="1">
      <c r="A835" s="32"/>
      <c r="C835" s="32"/>
      <c r="D835" s="32"/>
      <c r="E835" s="32"/>
      <c r="F835" s="32"/>
      <c r="G835" s="32"/>
    </row>
    <row r="836" ht="15.75" customHeight="1">
      <c r="A836" s="32"/>
      <c r="C836" s="32"/>
      <c r="D836" s="32"/>
      <c r="E836" s="32"/>
      <c r="F836" s="32"/>
      <c r="G836" s="32"/>
    </row>
    <row r="837" ht="15.75" customHeight="1">
      <c r="A837" s="32"/>
      <c r="C837" s="32"/>
      <c r="D837" s="32"/>
      <c r="E837" s="32"/>
      <c r="F837" s="32"/>
      <c r="G837" s="32"/>
    </row>
    <row r="838" ht="15.75" customHeight="1">
      <c r="A838" s="32"/>
      <c r="C838" s="32"/>
      <c r="D838" s="32"/>
      <c r="E838" s="32"/>
      <c r="F838" s="32"/>
      <c r="G838" s="32"/>
    </row>
    <row r="839" ht="15.75" customHeight="1">
      <c r="A839" s="32"/>
      <c r="C839" s="32"/>
      <c r="D839" s="32"/>
      <c r="E839" s="32"/>
      <c r="F839" s="32"/>
      <c r="G839" s="32"/>
    </row>
    <row r="840" ht="15.75" customHeight="1">
      <c r="A840" s="32"/>
      <c r="C840" s="32"/>
      <c r="D840" s="32"/>
      <c r="E840" s="32"/>
      <c r="F840" s="32"/>
      <c r="G840" s="32"/>
    </row>
    <row r="841" ht="15.75" customHeight="1">
      <c r="A841" s="32"/>
      <c r="C841" s="32"/>
      <c r="D841" s="32"/>
      <c r="E841" s="32"/>
      <c r="F841" s="32"/>
      <c r="G841" s="32"/>
    </row>
    <row r="842" ht="15.75" customHeight="1">
      <c r="A842" s="32"/>
      <c r="C842" s="32"/>
      <c r="D842" s="32"/>
      <c r="E842" s="32"/>
      <c r="F842" s="32"/>
      <c r="G842" s="32"/>
    </row>
    <row r="843" ht="15.75" customHeight="1">
      <c r="A843" s="32"/>
      <c r="C843" s="32"/>
      <c r="D843" s="32"/>
      <c r="E843" s="32"/>
      <c r="F843" s="32"/>
      <c r="G843" s="32"/>
    </row>
    <row r="844" ht="15.75" customHeight="1">
      <c r="A844" s="32"/>
      <c r="C844" s="32"/>
      <c r="D844" s="32"/>
      <c r="E844" s="32"/>
      <c r="F844" s="32"/>
      <c r="G844" s="32"/>
    </row>
    <row r="845" ht="15.75" customHeight="1">
      <c r="A845" s="32"/>
      <c r="C845" s="32"/>
      <c r="D845" s="32"/>
      <c r="E845" s="32"/>
      <c r="F845" s="32"/>
      <c r="G845" s="32"/>
    </row>
    <row r="846" ht="15.75" customHeight="1">
      <c r="A846" s="32"/>
      <c r="C846" s="32"/>
      <c r="D846" s="32"/>
      <c r="E846" s="32"/>
      <c r="F846" s="32"/>
      <c r="G846" s="32"/>
    </row>
    <row r="847" ht="15.75" customHeight="1">
      <c r="A847" s="32"/>
      <c r="C847" s="32"/>
      <c r="D847" s="32"/>
      <c r="E847" s="32"/>
      <c r="F847" s="32"/>
      <c r="G847" s="32"/>
    </row>
    <row r="848" ht="15.75" customHeight="1">
      <c r="A848" s="32"/>
      <c r="C848" s="32"/>
      <c r="D848" s="32"/>
      <c r="E848" s="32"/>
      <c r="F848" s="32"/>
      <c r="G848" s="32"/>
    </row>
    <row r="849" ht="15.75" customHeight="1">
      <c r="A849" s="32"/>
      <c r="C849" s="32"/>
      <c r="D849" s="32"/>
      <c r="E849" s="32"/>
      <c r="F849" s="32"/>
      <c r="G849" s="32"/>
    </row>
    <row r="850" ht="15.75" customHeight="1">
      <c r="A850" s="32"/>
      <c r="C850" s="32"/>
      <c r="D850" s="32"/>
      <c r="E850" s="32"/>
      <c r="F850" s="32"/>
      <c r="G850" s="32"/>
    </row>
    <row r="851" ht="15.75" customHeight="1">
      <c r="A851" s="32"/>
      <c r="C851" s="32"/>
      <c r="D851" s="32"/>
      <c r="E851" s="32"/>
      <c r="F851" s="32"/>
      <c r="G851" s="32"/>
    </row>
    <row r="852" ht="15.75" customHeight="1">
      <c r="A852" s="32"/>
      <c r="C852" s="32"/>
      <c r="D852" s="32"/>
      <c r="E852" s="32"/>
      <c r="F852" s="32"/>
      <c r="G852" s="32"/>
    </row>
    <row r="853" ht="15.75" customHeight="1">
      <c r="A853" s="32"/>
      <c r="C853" s="32"/>
      <c r="D853" s="32"/>
      <c r="E853" s="32"/>
      <c r="F853" s="32"/>
      <c r="G853" s="32"/>
    </row>
    <row r="854" ht="15.75" customHeight="1">
      <c r="A854" s="32"/>
      <c r="C854" s="32"/>
      <c r="D854" s="32"/>
      <c r="E854" s="32"/>
      <c r="F854" s="32"/>
      <c r="G854" s="32"/>
    </row>
    <row r="855" ht="15.75" customHeight="1">
      <c r="A855" s="32"/>
      <c r="C855" s="32"/>
      <c r="D855" s="32"/>
      <c r="E855" s="32"/>
      <c r="F855" s="32"/>
      <c r="G855" s="32"/>
    </row>
    <row r="856" ht="15.75" customHeight="1">
      <c r="A856" s="32"/>
      <c r="C856" s="32"/>
      <c r="D856" s="32"/>
      <c r="E856" s="32"/>
      <c r="F856" s="32"/>
      <c r="G856" s="32"/>
    </row>
    <row r="857" ht="15.75" customHeight="1">
      <c r="A857" s="32"/>
      <c r="C857" s="32"/>
      <c r="D857" s="32"/>
      <c r="E857" s="32"/>
      <c r="F857" s="32"/>
      <c r="G857" s="32"/>
    </row>
    <row r="858" ht="15.75" customHeight="1">
      <c r="A858" s="32"/>
      <c r="C858" s="32"/>
      <c r="D858" s="32"/>
      <c r="E858" s="32"/>
      <c r="F858" s="32"/>
      <c r="G858" s="32"/>
    </row>
    <row r="859" ht="15.75" customHeight="1">
      <c r="A859" s="32"/>
      <c r="C859" s="32"/>
      <c r="D859" s="32"/>
      <c r="E859" s="32"/>
      <c r="F859" s="32"/>
      <c r="G859" s="32"/>
    </row>
    <row r="860" ht="15.75" customHeight="1">
      <c r="A860" s="32"/>
      <c r="C860" s="32"/>
      <c r="D860" s="32"/>
      <c r="E860" s="32"/>
      <c r="F860" s="32"/>
      <c r="G860" s="32"/>
    </row>
    <row r="861" ht="15.75" customHeight="1">
      <c r="A861" s="32"/>
      <c r="C861" s="32"/>
      <c r="D861" s="32"/>
      <c r="E861" s="32"/>
      <c r="F861" s="32"/>
      <c r="G861" s="32"/>
    </row>
    <row r="862" ht="15.75" customHeight="1">
      <c r="A862" s="32"/>
      <c r="C862" s="32"/>
      <c r="D862" s="32"/>
      <c r="E862" s="32"/>
      <c r="F862" s="32"/>
      <c r="G862" s="32"/>
    </row>
    <row r="863" ht="15.75" customHeight="1">
      <c r="A863" s="32"/>
      <c r="C863" s="32"/>
      <c r="D863" s="32"/>
      <c r="E863" s="32"/>
      <c r="F863" s="32"/>
      <c r="G863" s="32"/>
    </row>
    <row r="864" ht="15.75" customHeight="1">
      <c r="A864" s="32"/>
      <c r="C864" s="32"/>
      <c r="D864" s="32"/>
      <c r="E864" s="32"/>
      <c r="F864" s="32"/>
      <c r="G864" s="32"/>
    </row>
    <row r="865" ht="15.75" customHeight="1">
      <c r="A865" s="32"/>
      <c r="C865" s="32"/>
      <c r="D865" s="32"/>
      <c r="E865" s="32"/>
      <c r="F865" s="32"/>
      <c r="G865" s="32"/>
    </row>
    <row r="866" ht="15.75" customHeight="1">
      <c r="A866" s="32"/>
      <c r="C866" s="32"/>
      <c r="D866" s="32"/>
      <c r="E866" s="32"/>
      <c r="F866" s="32"/>
      <c r="G866" s="32"/>
    </row>
    <row r="867" ht="15.75" customHeight="1">
      <c r="A867" s="32"/>
      <c r="C867" s="32"/>
      <c r="D867" s="32"/>
      <c r="E867" s="32"/>
      <c r="F867" s="32"/>
      <c r="G867" s="32"/>
    </row>
    <row r="868" ht="15.75" customHeight="1">
      <c r="A868" s="32"/>
      <c r="C868" s="32"/>
      <c r="D868" s="32"/>
      <c r="E868" s="32"/>
      <c r="F868" s="32"/>
      <c r="G868" s="32"/>
    </row>
    <row r="869" ht="15.75" customHeight="1">
      <c r="A869" s="32"/>
      <c r="C869" s="32"/>
      <c r="D869" s="32"/>
      <c r="E869" s="32"/>
      <c r="F869" s="32"/>
      <c r="G869" s="32"/>
    </row>
    <row r="870" ht="15.75" customHeight="1">
      <c r="A870" s="32"/>
      <c r="C870" s="32"/>
      <c r="D870" s="32"/>
      <c r="E870" s="32"/>
      <c r="F870" s="32"/>
      <c r="G870" s="32"/>
    </row>
    <row r="871" ht="15.75" customHeight="1">
      <c r="A871" s="32"/>
      <c r="C871" s="32"/>
      <c r="D871" s="32"/>
      <c r="E871" s="32"/>
      <c r="F871" s="32"/>
      <c r="G871" s="32"/>
    </row>
    <row r="872" ht="15.75" customHeight="1">
      <c r="A872" s="32"/>
      <c r="C872" s="32"/>
      <c r="D872" s="32"/>
      <c r="E872" s="32"/>
      <c r="F872" s="32"/>
      <c r="G872" s="32"/>
    </row>
    <row r="873" ht="15.75" customHeight="1">
      <c r="A873" s="32"/>
      <c r="C873" s="32"/>
      <c r="D873" s="32"/>
      <c r="E873" s="32"/>
      <c r="F873" s="32"/>
      <c r="G873" s="32"/>
    </row>
    <row r="874" ht="15.75" customHeight="1">
      <c r="A874" s="32"/>
      <c r="C874" s="32"/>
      <c r="D874" s="32"/>
      <c r="E874" s="32"/>
      <c r="F874" s="32"/>
      <c r="G874" s="32"/>
    </row>
    <row r="875" ht="15.75" customHeight="1">
      <c r="A875" s="32"/>
      <c r="C875" s="32"/>
      <c r="D875" s="32"/>
      <c r="E875" s="32"/>
      <c r="F875" s="32"/>
      <c r="G875" s="32"/>
    </row>
    <row r="876" ht="15.75" customHeight="1">
      <c r="A876" s="32"/>
      <c r="C876" s="32"/>
      <c r="D876" s="32"/>
      <c r="E876" s="32"/>
      <c r="F876" s="32"/>
      <c r="G876" s="32"/>
    </row>
    <row r="877" ht="15.75" customHeight="1">
      <c r="A877" s="32"/>
      <c r="C877" s="32"/>
      <c r="D877" s="32"/>
      <c r="E877" s="32"/>
      <c r="F877" s="32"/>
      <c r="G877" s="32"/>
    </row>
    <row r="878" ht="15.75" customHeight="1">
      <c r="A878" s="32"/>
      <c r="C878" s="32"/>
      <c r="D878" s="32"/>
      <c r="E878" s="32"/>
      <c r="F878" s="32"/>
      <c r="G878" s="32"/>
    </row>
    <row r="879" ht="15.75" customHeight="1">
      <c r="A879" s="32"/>
      <c r="C879" s="32"/>
      <c r="D879" s="32"/>
      <c r="E879" s="32"/>
      <c r="F879" s="32"/>
      <c r="G879" s="32"/>
    </row>
    <row r="880" ht="15.75" customHeight="1">
      <c r="A880" s="32"/>
      <c r="C880" s="32"/>
      <c r="D880" s="32"/>
      <c r="E880" s="32"/>
      <c r="F880" s="32"/>
      <c r="G880" s="32"/>
    </row>
    <row r="881" ht="15.75" customHeight="1">
      <c r="A881" s="32"/>
      <c r="C881" s="32"/>
      <c r="D881" s="32"/>
      <c r="E881" s="32"/>
      <c r="F881" s="32"/>
      <c r="G881" s="32"/>
    </row>
    <row r="882" ht="15.75" customHeight="1">
      <c r="A882" s="32"/>
      <c r="C882" s="32"/>
      <c r="D882" s="32"/>
      <c r="E882" s="32"/>
      <c r="F882" s="32"/>
      <c r="G882" s="32"/>
    </row>
    <row r="883" ht="15.75" customHeight="1">
      <c r="A883" s="32"/>
      <c r="C883" s="32"/>
      <c r="D883" s="32"/>
      <c r="E883" s="32"/>
      <c r="F883" s="32"/>
      <c r="G883" s="32"/>
    </row>
    <row r="884" ht="15.75" customHeight="1">
      <c r="A884" s="32"/>
      <c r="C884" s="32"/>
      <c r="D884" s="32"/>
      <c r="E884" s="32"/>
      <c r="F884" s="32"/>
      <c r="G884" s="32"/>
    </row>
    <row r="885" ht="15.75" customHeight="1">
      <c r="A885" s="32"/>
      <c r="C885" s="32"/>
      <c r="D885" s="32"/>
      <c r="E885" s="32"/>
      <c r="F885" s="32"/>
      <c r="G885" s="32"/>
    </row>
    <row r="886" ht="15.75" customHeight="1">
      <c r="A886" s="32"/>
      <c r="C886" s="32"/>
      <c r="D886" s="32"/>
      <c r="E886" s="32"/>
      <c r="F886" s="32"/>
      <c r="G886" s="32"/>
    </row>
    <row r="887" ht="15.75" customHeight="1">
      <c r="A887" s="32"/>
      <c r="C887" s="32"/>
      <c r="D887" s="32"/>
      <c r="E887" s="32"/>
      <c r="F887" s="32"/>
      <c r="G887" s="32"/>
    </row>
    <row r="888" ht="15.75" customHeight="1">
      <c r="A888" s="32"/>
      <c r="C888" s="32"/>
      <c r="D888" s="32"/>
      <c r="E888" s="32"/>
      <c r="F888" s="32"/>
      <c r="G888" s="32"/>
    </row>
    <row r="889" ht="15.75" customHeight="1">
      <c r="A889" s="32"/>
      <c r="C889" s="32"/>
      <c r="D889" s="32"/>
      <c r="E889" s="32"/>
      <c r="F889" s="32"/>
      <c r="G889" s="32"/>
    </row>
    <row r="890" ht="15.75" customHeight="1">
      <c r="A890" s="32"/>
      <c r="C890" s="32"/>
      <c r="D890" s="32"/>
      <c r="E890" s="32"/>
      <c r="F890" s="32"/>
      <c r="G890" s="32"/>
    </row>
    <row r="891" ht="15.75" customHeight="1">
      <c r="A891" s="32"/>
      <c r="C891" s="32"/>
      <c r="D891" s="32"/>
      <c r="E891" s="32"/>
      <c r="F891" s="32"/>
      <c r="G891" s="32"/>
    </row>
    <row r="892" ht="15.75" customHeight="1">
      <c r="A892" s="32"/>
      <c r="C892" s="32"/>
      <c r="D892" s="32"/>
      <c r="E892" s="32"/>
      <c r="F892" s="32"/>
      <c r="G892" s="32"/>
    </row>
    <row r="893" ht="15.75" customHeight="1">
      <c r="A893" s="32"/>
      <c r="C893" s="32"/>
      <c r="D893" s="32"/>
      <c r="E893" s="32"/>
      <c r="F893" s="32"/>
      <c r="G893" s="32"/>
    </row>
    <row r="894" ht="15.75" customHeight="1">
      <c r="A894" s="32"/>
      <c r="C894" s="32"/>
      <c r="D894" s="32"/>
      <c r="E894" s="32"/>
      <c r="F894" s="32"/>
      <c r="G894" s="32"/>
    </row>
    <row r="895" ht="15.75" customHeight="1">
      <c r="A895" s="32"/>
      <c r="C895" s="32"/>
      <c r="D895" s="32"/>
      <c r="E895" s="32"/>
      <c r="F895" s="32"/>
      <c r="G895" s="32"/>
    </row>
    <row r="896" ht="15.75" customHeight="1">
      <c r="A896" s="32"/>
      <c r="C896" s="32"/>
      <c r="D896" s="32"/>
      <c r="E896" s="32"/>
      <c r="F896" s="32"/>
      <c r="G896" s="32"/>
    </row>
    <row r="897" ht="15.75" customHeight="1">
      <c r="A897" s="32"/>
      <c r="C897" s="32"/>
      <c r="D897" s="32"/>
      <c r="E897" s="32"/>
      <c r="F897" s="32"/>
      <c r="G897" s="32"/>
    </row>
    <row r="898" ht="15.75" customHeight="1">
      <c r="A898" s="32"/>
      <c r="C898" s="32"/>
      <c r="D898" s="32"/>
      <c r="E898" s="32"/>
      <c r="F898" s="32"/>
      <c r="G898" s="32"/>
    </row>
    <row r="899" ht="15.75" customHeight="1">
      <c r="A899" s="32"/>
      <c r="C899" s="32"/>
      <c r="D899" s="32"/>
      <c r="E899" s="32"/>
      <c r="F899" s="32"/>
      <c r="G899" s="32"/>
    </row>
    <row r="900" ht="15.75" customHeight="1">
      <c r="A900" s="32"/>
      <c r="C900" s="32"/>
      <c r="D900" s="32"/>
      <c r="E900" s="32"/>
      <c r="F900" s="32"/>
      <c r="G900" s="32"/>
    </row>
    <row r="901" ht="15.75" customHeight="1">
      <c r="A901" s="32"/>
      <c r="C901" s="32"/>
      <c r="D901" s="32"/>
      <c r="E901" s="32"/>
      <c r="F901" s="32"/>
      <c r="G901" s="32"/>
    </row>
    <row r="902" ht="15.75" customHeight="1">
      <c r="A902" s="32"/>
      <c r="C902" s="32"/>
      <c r="D902" s="32"/>
      <c r="E902" s="32"/>
      <c r="F902" s="32"/>
      <c r="G902" s="32"/>
    </row>
    <row r="903" ht="15.75" customHeight="1">
      <c r="A903" s="32"/>
      <c r="C903" s="32"/>
      <c r="D903" s="32"/>
      <c r="E903" s="32"/>
      <c r="F903" s="32"/>
      <c r="G903" s="32"/>
    </row>
    <row r="904" ht="15.75" customHeight="1">
      <c r="A904" s="32"/>
      <c r="C904" s="32"/>
      <c r="D904" s="32"/>
      <c r="E904" s="32"/>
      <c r="F904" s="32"/>
      <c r="G904" s="32"/>
    </row>
    <row r="905" ht="15.75" customHeight="1">
      <c r="A905" s="32"/>
      <c r="C905" s="32"/>
      <c r="D905" s="32"/>
      <c r="E905" s="32"/>
      <c r="F905" s="32"/>
      <c r="G905" s="32"/>
    </row>
    <row r="906" ht="15.75" customHeight="1">
      <c r="A906" s="32"/>
      <c r="C906" s="32"/>
      <c r="D906" s="32"/>
      <c r="E906" s="32"/>
      <c r="F906" s="32"/>
      <c r="G906" s="32"/>
    </row>
    <row r="907" ht="15.75" customHeight="1">
      <c r="A907" s="32"/>
      <c r="C907" s="32"/>
      <c r="D907" s="32"/>
      <c r="E907" s="32"/>
      <c r="F907" s="32"/>
      <c r="G907" s="32"/>
    </row>
    <row r="908" ht="15.75" customHeight="1">
      <c r="A908" s="32"/>
      <c r="C908" s="32"/>
      <c r="D908" s="32"/>
      <c r="E908" s="32"/>
      <c r="F908" s="32"/>
      <c r="G908" s="32"/>
    </row>
    <row r="909" ht="15.75" customHeight="1">
      <c r="A909" s="32"/>
      <c r="C909" s="32"/>
      <c r="D909" s="32"/>
      <c r="E909" s="32"/>
      <c r="F909" s="32"/>
      <c r="G909" s="32"/>
    </row>
    <row r="910" ht="15.75" customHeight="1">
      <c r="A910" s="32"/>
      <c r="C910" s="32"/>
      <c r="D910" s="32"/>
      <c r="E910" s="32"/>
      <c r="F910" s="32"/>
      <c r="G910" s="32"/>
    </row>
    <row r="911" ht="15.75" customHeight="1">
      <c r="A911" s="32"/>
      <c r="C911" s="32"/>
      <c r="D911" s="32"/>
      <c r="E911" s="32"/>
      <c r="F911" s="32"/>
      <c r="G911" s="32"/>
    </row>
    <row r="912" ht="15.75" customHeight="1">
      <c r="A912" s="32"/>
      <c r="C912" s="32"/>
      <c r="D912" s="32"/>
      <c r="E912" s="32"/>
      <c r="F912" s="32"/>
      <c r="G912" s="32"/>
    </row>
    <row r="913" ht="15.75" customHeight="1">
      <c r="A913" s="32"/>
      <c r="C913" s="32"/>
      <c r="D913" s="32"/>
      <c r="E913" s="32"/>
      <c r="F913" s="32"/>
      <c r="G913" s="32"/>
    </row>
    <row r="914" ht="15.75" customHeight="1">
      <c r="A914" s="32"/>
      <c r="C914" s="32"/>
      <c r="D914" s="32"/>
      <c r="E914" s="32"/>
      <c r="F914" s="32"/>
      <c r="G914" s="32"/>
    </row>
    <row r="915" ht="15.75" customHeight="1">
      <c r="A915" s="32"/>
      <c r="C915" s="32"/>
      <c r="D915" s="32"/>
      <c r="E915" s="32"/>
      <c r="F915" s="32"/>
      <c r="G915" s="32"/>
    </row>
    <row r="916" ht="15.75" customHeight="1">
      <c r="A916" s="32"/>
      <c r="C916" s="32"/>
      <c r="D916" s="32"/>
      <c r="E916" s="32"/>
      <c r="F916" s="32"/>
      <c r="G916" s="32"/>
    </row>
    <row r="917" ht="15.75" customHeight="1">
      <c r="A917" s="32"/>
      <c r="C917" s="32"/>
      <c r="D917" s="32"/>
      <c r="E917" s="32"/>
      <c r="F917" s="32"/>
      <c r="G917" s="32"/>
    </row>
    <row r="918" ht="15.75" customHeight="1">
      <c r="A918" s="32"/>
      <c r="C918" s="32"/>
      <c r="D918" s="32"/>
      <c r="E918" s="32"/>
      <c r="F918" s="32"/>
      <c r="G918" s="32"/>
    </row>
    <row r="919" ht="15.75" customHeight="1">
      <c r="A919" s="32"/>
      <c r="C919" s="32"/>
      <c r="D919" s="32"/>
      <c r="E919" s="32"/>
      <c r="F919" s="32"/>
      <c r="G919" s="32"/>
    </row>
    <row r="920" ht="15.75" customHeight="1">
      <c r="A920" s="32"/>
      <c r="C920" s="32"/>
      <c r="D920" s="32"/>
      <c r="E920" s="32"/>
      <c r="F920" s="32"/>
      <c r="G920" s="32"/>
    </row>
    <row r="921" ht="15.75" customHeight="1">
      <c r="A921" s="32"/>
      <c r="C921" s="32"/>
      <c r="D921" s="32"/>
      <c r="E921" s="32"/>
      <c r="F921" s="32"/>
      <c r="G921" s="32"/>
    </row>
    <row r="922" ht="15.75" customHeight="1">
      <c r="A922" s="32"/>
      <c r="C922" s="32"/>
      <c r="D922" s="32"/>
      <c r="E922" s="32"/>
      <c r="F922" s="32"/>
      <c r="G922" s="32"/>
    </row>
    <row r="923" ht="15.75" customHeight="1">
      <c r="A923" s="32"/>
      <c r="C923" s="32"/>
      <c r="D923" s="32"/>
      <c r="E923" s="32"/>
      <c r="F923" s="32"/>
      <c r="G923" s="32"/>
    </row>
    <row r="924" ht="15.75" customHeight="1">
      <c r="A924" s="32"/>
      <c r="C924" s="32"/>
      <c r="D924" s="32"/>
      <c r="E924" s="32"/>
      <c r="F924" s="32"/>
      <c r="G924" s="32"/>
    </row>
    <row r="925" ht="15.75" customHeight="1">
      <c r="A925" s="32"/>
      <c r="C925" s="32"/>
      <c r="D925" s="32"/>
      <c r="E925" s="32"/>
      <c r="F925" s="32"/>
      <c r="G925" s="32"/>
    </row>
    <row r="926" ht="15.75" customHeight="1">
      <c r="A926" s="32"/>
      <c r="C926" s="32"/>
      <c r="D926" s="32"/>
      <c r="E926" s="32"/>
      <c r="F926" s="32"/>
      <c r="G926" s="32"/>
    </row>
    <row r="927" ht="15.75" customHeight="1">
      <c r="A927" s="32"/>
      <c r="C927" s="32"/>
      <c r="D927" s="32"/>
      <c r="E927" s="32"/>
      <c r="F927" s="32"/>
      <c r="G927" s="32"/>
    </row>
    <row r="928" ht="15.75" customHeight="1">
      <c r="A928" s="32"/>
      <c r="C928" s="32"/>
      <c r="D928" s="32"/>
      <c r="E928" s="32"/>
      <c r="F928" s="32"/>
      <c r="G928" s="32"/>
    </row>
    <row r="929" ht="15.75" customHeight="1">
      <c r="A929" s="32"/>
      <c r="C929" s="32"/>
      <c r="D929" s="32"/>
      <c r="E929" s="32"/>
      <c r="F929" s="32"/>
      <c r="G929" s="32"/>
    </row>
    <row r="930" ht="15.75" customHeight="1">
      <c r="A930" s="32"/>
      <c r="C930" s="32"/>
      <c r="D930" s="32"/>
      <c r="E930" s="32"/>
      <c r="F930" s="32"/>
      <c r="G930" s="32"/>
    </row>
    <row r="931" ht="15.75" customHeight="1">
      <c r="A931" s="32"/>
      <c r="C931" s="32"/>
      <c r="D931" s="32"/>
      <c r="E931" s="32"/>
      <c r="F931" s="32"/>
      <c r="G931" s="32"/>
    </row>
    <row r="932" ht="15.75" customHeight="1">
      <c r="A932" s="32"/>
      <c r="C932" s="32"/>
      <c r="D932" s="32"/>
      <c r="E932" s="32"/>
      <c r="F932" s="32"/>
      <c r="G932" s="32"/>
    </row>
    <row r="933" ht="15.75" customHeight="1">
      <c r="A933" s="32"/>
      <c r="C933" s="32"/>
      <c r="D933" s="32"/>
      <c r="E933" s="32"/>
      <c r="F933" s="32"/>
      <c r="G933" s="32"/>
    </row>
    <row r="934" ht="15.75" customHeight="1">
      <c r="A934" s="32"/>
      <c r="C934" s="32"/>
      <c r="D934" s="32"/>
      <c r="E934" s="32"/>
      <c r="F934" s="32"/>
      <c r="G934" s="32"/>
    </row>
    <row r="935" ht="15.75" customHeight="1">
      <c r="A935" s="32"/>
      <c r="C935" s="32"/>
      <c r="D935" s="32"/>
      <c r="E935" s="32"/>
      <c r="F935" s="32"/>
      <c r="G935" s="32"/>
    </row>
    <row r="936" ht="15.75" customHeight="1">
      <c r="A936" s="32"/>
      <c r="C936" s="32"/>
      <c r="D936" s="32"/>
      <c r="E936" s="32"/>
      <c r="F936" s="32"/>
      <c r="G936" s="32"/>
    </row>
    <row r="937" ht="15.75" customHeight="1">
      <c r="A937" s="32"/>
      <c r="C937" s="32"/>
      <c r="D937" s="32"/>
      <c r="E937" s="32"/>
      <c r="F937" s="32"/>
      <c r="G937" s="32"/>
    </row>
    <row r="938" ht="15.75" customHeight="1">
      <c r="A938" s="32"/>
      <c r="C938" s="32"/>
      <c r="D938" s="32"/>
      <c r="E938" s="32"/>
      <c r="F938" s="32"/>
      <c r="G938" s="32"/>
    </row>
    <row r="939" ht="15.75" customHeight="1">
      <c r="A939" s="32"/>
      <c r="C939" s="32"/>
      <c r="D939" s="32"/>
      <c r="E939" s="32"/>
      <c r="F939" s="32"/>
      <c r="G939" s="32"/>
    </row>
    <row r="940" ht="15.75" customHeight="1">
      <c r="A940" s="32"/>
      <c r="C940" s="32"/>
      <c r="D940" s="32"/>
      <c r="E940" s="32"/>
      <c r="F940" s="32"/>
      <c r="G940" s="32"/>
    </row>
    <row r="941" ht="15.75" customHeight="1">
      <c r="A941" s="32"/>
      <c r="C941" s="32"/>
      <c r="D941" s="32"/>
      <c r="E941" s="32"/>
      <c r="F941" s="32"/>
      <c r="G941" s="32"/>
    </row>
    <row r="942" ht="15.75" customHeight="1">
      <c r="A942" s="32"/>
      <c r="C942" s="32"/>
      <c r="D942" s="32"/>
      <c r="E942" s="32"/>
      <c r="F942" s="32"/>
      <c r="G942" s="32"/>
    </row>
    <row r="943" ht="15.75" customHeight="1">
      <c r="A943" s="32"/>
      <c r="C943" s="32"/>
      <c r="D943" s="32"/>
      <c r="E943" s="32"/>
      <c r="F943" s="32"/>
      <c r="G943" s="32"/>
    </row>
    <row r="944" ht="15.75" customHeight="1">
      <c r="A944" s="32"/>
      <c r="C944" s="32"/>
      <c r="D944" s="32"/>
      <c r="E944" s="32"/>
      <c r="F944" s="32"/>
      <c r="G944" s="32"/>
    </row>
    <row r="945" ht="15.75" customHeight="1">
      <c r="A945" s="32"/>
      <c r="C945" s="32"/>
      <c r="D945" s="32"/>
      <c r="E945" s="32"/>
      <c r="F945" s="32"/>
      <c r="G945" s="32"/>
    </row>
    <row r="946" ht="15.75" customHeight="1">
      <c r="A946" s="32"/>
      <c r="C946" s="32"/>
      <c r="D946" s="32"/>
      <c r="E946" s="32"/>
      <c r="F946" s="32"/>
      <c r="G946" s="32"/>
    </row>
    <row r="947" ht="15.75" customHeight="1">
      <c r="A947" s="32"/>
      <c r="C947" s="32"/>
      <c r="D947" s="32"/>
      <c r="E947" s="32"/>
      <c r="F947" s="32"/>
      <c r="G947" s="32"/>
    </row>
    <row r="948" ht="15.75" customHeight="1">
      <c r="A948" s="32"/>
      <c r="C948" s="32"/>
      <c r="D948" s="32"/>
      <c r="E948" s="32"/>
      <c r="F948" s="32"/>
      <c r="G948" s="32"/>
    </row>
    <row r="949" ht="15.75" customHeight="1">
      <c r="A949" s="32"/>
      <c r="C949" s="32"/>
      <c r="D949" s="32"/>
      <c r="E949" s="32"/>
      <c r="F949" s="32"/>
      <c r="G949" s="32"/>
    </row>
    <row r="950" ht="15.75" customHeight="1">
      <c r="A950" s="32"/>
      <c r="C950" s="32"/>
      <c r="D950" s="32"/>
      <c r="E950" s="32"/>
      <c r="F950" s="32"/>
      <c r="G950" s="32"/>
    </row>
    <row r="951" ht="15.75" customHeight="1">
      <c r="A951" s="32"/>
      <c r="C951" s="32"/>
      <c r="D951" s="32"/>
      <c r="E951" s="32"/>
      <c r="F951" s="32"/>
      <c r="G951" s="32"/>
    </row>
    <row r="952" ht="15.75" customHeight="1">
      <c r="A952" s="32"/>
      <c r="C952" s="32"/>
      <c r="D952" s="32"/>
      <c r="E952" s="32"/>
      <c r="F952" s="32"/>
      <c r="G952" s="32"/>
    </row>
    <row r="953" ht="15.75" customHeight="1">
      <c r="A953" s="32"/>
      <c r="C953" s="32"/>
      <c r="D953" s="32"/>
      <c r="E953" s="32"/>
      <c r="F953" s="32"/>
      <c r="G953" s="32"/>
    </row>
    <row r="954" ht="15.75" customHeight="1">
      <c r="A954" s="32"/>
      <c r="C954" s="32"/>
      <c r="D954" s="32"/>
      <c r="E954" s="32"/>
      <c r="F954" s="32"/>
      <c r="G954" s="32"/>
    </row>
    <row r="955" ht="15.75" customHeight="1">
      <c r="A955" s="32"/>
      <c r="C955" s="32"/>
      <c r="D955" s="32"/>
      <c r="E955" s="32"/>
      <c r="F955" s="32"/>
      <c r="G955" s="32"/>
    </row>
    <row r="956" ht="15.75" customHeight="1">
      <c r="A956" s="32"/>
      <c r="C956" s="32"/>
      <c r="D956" s="32"/>
      <c r="E956" s="32"/>
      <c r="F956" s="32"/>
      <c r="G956" s="32"/>
    </row>
    <row r="957" ht="15.75" customHeight="1">
      <c r="A957" s="32"/>
      <c r="C957" s="32"/>
      <c r="D957" s="32"/>
      <c r="E957" s="32"/>
      <c r="F957" s="32"/>
      <c r="G957" s="32"/>
    </row>
    <row r="958" ht="15.75" customHeight="1">
      <c r="A958" s="32"/>
      <c r="C958" s="32"/>
      <c r="D958" s="32"/>
      <c r="E958" s="32"/>
      <c r="F958" s="32"/>
      <c r="G958" s="32"/>
    </row>
    <row r="959" ht="15.75" customHeight="1">
      <c r="A959" s="32"/>
      <c r="C959" s="32"/>
      <c r="D959" s="32"/>
      <c r="E959" s="32"/>
      <c r="F959" s="32"/>
      <c r="G959" s="32"/>
    </row>
    <row r="960" ht="15.75" customHeight="1">
      <c r="A960" s="32"/>
      <c r="C960" s="32"/>
      <c r="D960" s="32"/>
      <c r="E960" s="32"/>
      <c r="F960" s="32"/>
      <c r="G960" s="32"/>
    </row>
    <row r="961" ht="15.75" customHeight="1">
      <c r="A961" s="32"/>
      <c r="C961" s="32"/>
      <c r="D961" s="32"/>
      <c r="E961" s="32"/>
      <c r="F961" s="32"/>
      <c r="G961" s="32"/>
    </row>
    <row r="962" ht="15.75" customHeight="1">
      <c r="A962" s="32"/>
      <c r="C962" s="32"/>
      <c r="D962" s="32"/>
      <c r="E962" s="32"/>
      <c r="F962" s="32"/>
      <c r="G962" s="32"/>
    </row>
    <row r="963" ht="15.75" customHeight="1">
      <c r="A963" s="32"/>
      <c r="C963" s="32"/>
      <c r="D963" s="32"/>
      <c r="E963" s="32"/>
      <c r="F963" s="32"/>
      <c r="G963" s="32"/>
    </row>
    <row r="964" ht="15.75" customHeight="1">
      <c r="A964" s="32"/>
      <c r="C964" s="32"/>
      <c r="D964" s="32"/>
      <c r="E964" s="32"/>
      <c r="F964" s="32"/>
      <c r="G964" s="32"/>
    </row>
    <row r="965" ht="15.75" customHeight="1">
      <c r="A965" s="32"/>
      <c r="C965" s="32"/>
      <c r="D965" s="32"/>
      <c r="E965" s="32"/>
      <c r="F965" s="32"/>
      <c r="G965" s="32"/>
    </row>
    <row r="966" ht="15.75" customHeight="1">
      <c r="A966" s="32"/>
      <c r="C966" s="32"/>
      <c r="D966" s="32"/>
      <c r="E966" s="32"/>
      <c r="F966" s="32"/>
      <c r="G966" s="32"/>
    </row>
    <row r="967" ht="15.75" customHeight="1">
      <c r="A967" s="32"/>
      <c r="C967" s="32"/>
      <c r="D967" s="32"/>
      <c r="E967" s="32"/>
      <c r="F967" s="32"/>
      <c r="G967" s="32"/>
    </row>
    <row r="968" ht="15.75" customHeight="1">
      <c r="A968" s="32"/>
      <c r="C968" s="32"/>
      <c r="D968" s="32"/>
      <c r="E968" s="32"/>
      <c r="F968" s="32"/>
      <c r="G968" s="32"/>
    </row>
    <row r="969" ht="15.75" customHeight="1">
      <c r="A969" s="32"/>
      <c r="C969" s="32"/>
      <c r="D969" s="32"/>
      <c r="E969" s="32"/>
      <c r="F969" s="32"/>
      <c r="G969" s="32"/>
    </row>
    <row r="970" ht="15.75" customHeight="1">
      <c r="A970" s="32"/>
      <c r="C970" s="32"/>
      <c r="D970" s="32"/>
      <c r="E970" s="32"/>
      <c r="F970" s="32"/>
      <c r="G970" s="32"/>
    </row>
    <row r="971" ht="15.75" customHeight="1">
      <c r="A971" s="32"/>
      <c r="C971" s="32"/>
      <c r="D971" s="32"/>
      <c r="E971" s="32"/>
      <c r="F971" s="32"/>
      <c r="G971" s="32"/>
    </row>
    <row r="972" ht="15.75" customHeight="1">
      <c r="A972" s="32"/>
      <c r="C972" s="32"/>
      <c r="D972" s="32"/>
      <c r="E972" s="32"/>
      <c r="F972" s="32"/>
      <c r="G972" s="32"/>
    </row>
    <row r="973" ht="15.75" customHeight="1">
      <c r="A973" s="32"/>
      <c r="C973" s="32"/>
      <c r="D973" s="32"/>
      <c r="E973" s="32"/>
      <c r="F973" s="32"/>
      <c r="G973" s="32"/>
    </row>
    <row r="974" ht="15.75" customHeight="1">
      <c r="A974" s="32"/>
      <c r="C974" s="32"/>
      <c r="D974" s="32"/>
      <c r="E974" s="32"/>
      <c r="F974" s="32"/>
      <c r="G974" s="32"/>
    </row>
    <row r="975" ht="15.75" customHeight="1">
      <c r="A975" s="32"/>
      <c r="C975" s="32"/>
      <c r="D975" s="32"/>
      <c r="E975" s="32"/>
      <c r="F975" s="32"/>
      <c r="G975" s="32"/>
    </row>
    <row r="976" ht="15.75" customHeight="1">
      <c r="A976" s="32"/>
      <c r="C976" s="32"/>
      <c r="D976" s="32"/>
      <c r="E976" s="32"/>
      <c r="F976" s="32"/>
      <c r="G976" s="32"/>
    </row>
    <row r="977" ht="15.75" customHeight="1">
      <c r="A977" s="32"/>
      <c r="C977" s="32"/>
      <c r="D977" s="32"/>
      <c r="E977" s="32"/>
      <c r="F977" s="32"/>
      <c r="G977" s="32"/>
    </row>
    <row r="978" ht="15.75" customHeight="1">
      <c r="A978" s="32"/>
      <c r="C978" s="32"/>
      <c r="D978" s="32"/>
      <c r="E978" s="32"/>
      <c r="F978" s="32"/>
      <c r="G978" s="32"/>
    </row>
    <row r="979" ht="15.75" customHeight="1">
      <c r="A979" s="32"/>
      <c r="C979" s="32"/>
      <c r="D979" s="32"/>
      <c r="E979" s="32"/>
      <c r="F979" s="32"/>
      <c r="G979" s="32"/>
    </row>
    <row r="980" ht="15.75" customHeight="1">
      <c r="A980" s="32"/>
      <c r="C980" s="32"/>
      <c r="D980" s="32"/>
      <c r="E980" s="32"/>
      <c r="F980" s="32"/>
      <c r="G980" s="32"/>
    </row>
    <row r="981" ht="15.75" customHeight="1">
      <c r="A981" s="32"/>
      <c r="C981" s="32"/>
      <c r="D981" s="32"/>
      <c r="E981" s="32"/>
      <c r="F981" s="32"/>
      <c r="G981" s="32"/>
    </row>
    <row r="982" ht="15.75" customHeight="1">
      <c r="A982" s="32"/>
      <c r="C982" s="32"/>
      <c r="D982" s="32"/>
      <c r="E982" s="32"/>
      <c r="F982" s="32"/>
      <c r="G982" s="32"/>
    </row>
    <row r="983" ht="15.75" customHeight="1">
      <c r="A983" s="32"/>
      <c r="C983" s="32"/>
      <c r="D983" s="32"/>
      <c r="E983" s="32"/>
      <c r="F983" s="32"/>
      <c r="G983" s="32"/>
    </row>
    <row r="984" ht="15.75" customHeight="1">
      <c r="A984" s="32"/>
      <c r="C984" s="32"/>
      <c r="D984" s="32"/>
      <c r="E984" s="32"/>
      <c r="F984" s="32"/>
      <c r="G984" s="32"/>
    </row>
    <row r="985" ht="15.75" customHeight="1">
      <c r="A985" s="32"/>
      <c r="C985" s="32"/>
      <c r="D985" s="32"/>
      <c r="E985" s="32"/>
      <c r="F985" s="32"/>
      <c r="G985" s="32"/>
    </row>
    <row r="986" ht="15.75" customHeight="1">
      <c r="A986" s="32"/>
      <c r="C986" s="32"/>
      <c r="D986" s="32"/>
      <c r="E986" s="32"/>
      <c r="F986" s="32"/>
      <c r="G986" s="32"/>
    </row>
    <row r="987" ht="15.75" customHeight="1">
      <c r="A987" s="32"/>
      <c r="C987" s="32"/>
      <c r="D987" s="32"/>
      <c r="E987" s="32"/>
      <c r="F987" s="32"/>
      <c r="G987" s="32"/>
    </row>
    <row r="988" ht="15.75" customHeight="1">
      <c r="A988" s="32"/>
      <c r="C988" s="32"/>
      <c r="D988" s="32"/>
      <c r="E988" s="32"/>
      <c r="F988" s="32"/>
      <c r="G988" s="32"/>
    </row>
    <row r="989" ht="15.75" customHeight="1">
      <c r="A989" s="32"/>
      <c r="C989" s="32"/>
      <c r="D989" s="32"/>
      <c r="E989" s="32"/>
      <c r="F989" s="32"/>
      <c r="G989" s="32"/>
    </row>
    <row r="990" ht="15.75" customHeight="1">
      <c r="A990" s="32"/>
      <c r="C990" s="32"/>
      <c r="D990" s="32"/>
      <c r="E990" s="32"/>
      <c r="F990" s="32"/>
      <c r="G990" s="32"/>
    </row>
    <row r="991" ht="15.75" customHeight="1">
      <c r="A991" s="32"/>
      <c r="C991" s="32"/>
      <c r="D991" s="32"/>
      <c r="E991" s="32"/>
      <c r="F991" s="32"/>
      <c r="G991" s="32"/>
    </row>
    <row r="992" ht="15.75" customHeight="1">
      <c r="A992" s="32"/>
      <c r="C992" s="32"/>
      <c r="D992" s="32"/>
      <c r="E992" s="32"/>
      <c r="F992" s="32"/>
      <c r="G992" s="32"/>
    </row>
    <row r="993" ht="15.75" customHeight="1">
      <c r="A993" s="32"/>
      <c r="C993" s="32"/>
      <c r="D993" s="32"/>
      <c r="E993" s="32"/>
      <c r="F993" s="32"/>
      <c r="G993" s="32"/>
    </row>
    <row r="994" ht="15.75" customHeight="1">
      <c r="A994" s="32"/>
      <c r="C994" s="32"/>
      <c r="D994" s="32"/>
      <c r="E994" s="32"/>
      <c r="F994" s="32"/>
      <c r="G994" s="32"/>
    </row>
    <row r="995" ht="15.75" customHeight="1">
      <c r="A995" s="32"/>
      <c r="C995" s="32"/>
      <c r="D995" s="32"/>
      <c r="E995" s="32"/>
      <c r="F995" s="32"/>
      <c r="G995" s="32"/>
    </row>
    <row r="996" ht="15.75" customHeight="1">
      <c r="A996" s="32"/>
      <c r="C996" s="32"/>
      <c r="D996" s="32"/>
      <c r="E996" s="32"/>
      <c r="F996" s="32"/>
      <c r="G996" s="32"/>
    </row>
    <row r="997" ht="15.75" customHeight="1">
      <c r="A997" s="32"/>
      <c r="C997" s="32"/>
      <c r="D997" s="32"/>
      <c r="E997" s="32"/>
      <c r="F997" s="32"/>
      <c r="G997" s="32"/>
    </row>
    <row r="998" ht="15.75" customHeight="1">
      <c r="A998" s="32"/>
      <c r="C998" s="32"/>
      <c r="D998" s="32"/>
      <c r="E998" s="32"/>
      <c r="F998" s="32"/>
      <c r="G998" s="32"/>
    </row>
    <row r="999" ht="15.75" customHeight="1">
      <c r="A999" s="32"/>
      <c r="C999" s="32"/>
      <c r="D999" s="32"/>
      <c r="E999" s="32"/>
      <c r="F999" s="32"/>
      <c r="G999" s="32"/>
    </row>
    <row r="1000" ht="15.75" customHeight="1">
      <c r="A1000" s="32"/>
      <c r="C1000" s="32"/>
      <c r="D1000" s="32"/>
      <c r="E1000" s="32"/>
      <c r="F1000" s="32"/>
      <c r="G1000" s="32"/>
    </row>
  </sheetData>
  <mergeCells count="6">
    <mergeCell ref="D1:G1"/>
    <mergeCell ref="A3:A8"/>
    <mergeCell ref="A10:A15"/>
    <mergeCell ref="A17:A22"/>
    <mergeCell ref="A24:A29"/>
    <mergeCell ref="A31:A3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2.63"/>
    <col customWidth="1" min="3" max="3" width="2.13"/>
    <col customWidth="1" min="4" max="7" width="28.88"/>
  </cols>
  <sheetData>
    <row r="1" ht="15.75" customHeight="1">
      <c r="A1" s="129"/>
      <c r="B1" s="130"/>
      <c r="C1" s="131"/>
      <c r="D1" s="149" t="s">
        <v>19</v>
      </c>
      <c r="E1" s="8"/>
      <c r="F1" s="8"/>
      <c r="G1" s="10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5.75" customHeight="1">
      <c r="A2" s="99" t="s">
        <v>20</v>
      </c>
      <c r="B2" s="140" t="s">
        <v>23</v>
      </c>
      <c r="C2" s="131"/>
      <c r="D2" s="6" t="s">
        <v>66</v>
      </c>
      <c r="E2" s="6" t="s">
        <v>67</v>
      </c>
      <c r="F2" s="6" t="s">
        <v>68</v>
      </c>
      <c r="G2" s="6" t="s">
        <v>69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5.75" customHeight="1">
      <c r="A3" s="134" t="s">
        <v>770</v>
      </c>
      <c r="B3" s="140" t="s">
        <v>164</v>
      </c>
      <c r="C3" s="131"/>
      <c r="D3" s="75" t="str">
        <f>'Horário - Graduação'!AJ17</f>
        <v/>
      </c>
      <c r="E3" s="80" t="str">
        <f>'Horário - Graduação'!AK17</f>
        <v/>
      </c>
      <c r="F3" s="80" t="str">
        <f>'Horário - Graduação'!AL17</f>
        <v/>
      </c>
      <c r="G3" s="80" t="str">
        <f>'Horário - Graduação'!AM17</f>
        <v>Estágio Supervisionado IV (Lucas Diego)</v>
      </c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ht="15.75" customHeight="1">
      <c r="A4" s="36"/>
      <c r="B4" s="140" t="s">
        <v>174</v>
      </c>
      <c r="C4" s="131"/>
      <c r="D4" s="150" t="str">
        <f>'Horário - Graduação'!AJ18</f>
        <v/>
      </c>
      <c r="E4" s="150" t="str">
        <f>'Horário - Graduação'!AK18</f>
        <v>Tendências em Educação Matemática (Lucas Diego) (LEM)</v>
      </c>
      <c r="F4" s="150" t="str">
        <f>'Horário - Graduação'!AL18</f>
        <v/>
      </c>
      <c r="G4" s="150" t="str">
        <f>'Horário - Graduação'!AM18</f>
        <v>Funções de uma variável complexa (Viviane) (1/16)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ht="15.75" customHeight="1">
      <c r="A5" s="36"/>
      <c r="B5" s="140" t="s">
        <v>193</v>
      </c>
      <c r="C5" s="131"/>
      <c r="D5" s="150" t="str">
        <f>'Horário - Graduação'!AJ19</f>
        <v/>
      </c>
      <c r="E5" s="150" t="str">
        <f>'Horário - Graduação'!AK19</f>
        <v>Tendências em Educação Matemática (Lucas Diego) (LEM)</v>
      </c>
      <c r="F5" s="150" t="str">
        <f>'Horário - Graduação'!AL19</f>
        <v/>
      </c>
      <c r="G5" s="150" t="str">
        <f>'Horário - Graduação'!AM19</f>
        <v>Funções de uma variável complexa (Viviane) (1/16)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ht="15.75" customHeight="1">
      <c r="A6" s="36"/>
      <c r="B6" s="147" t="s">
        <v>111</v>
      </c>
      <c r="C6" s="131"/>
      <c r="D6" s="143" t="str">
        <f>'Horário - Graduação'!AJ20</f>
        <v/>
      </c>
      <c r="E6" s="147" t="str">
        <f>'Horário - Graduação'!AK20</f>
        <v/>
      </c>
      <c r="F6" s="147" t="str">
        <f>'Horário - Graduação'!AL20</f>
        <v/>
      </c>
      <c r="G6" s="147" t="str">
        <f>'Horário - Graduação'!AM20</f>
        <v/>
      </c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5.75" customHeight="1">
      <c r="A7" s="36"/>
      <c r="B7" s="140" t="s">
        <v>198</v>
      </c>
      <c r="C7" s="131"/>
      <c r="D7" s="150" t="str">
        <f>'Horário - Graduação'!AJ21</f>
        <v/>
      </c>
      <c r="E7" s="150" t="str">
        <f>'Horário - Graduação'!AK21</f>
        <v>Física Geral I (Diego Carvalho / Poliana) (1/14)</v>
      </c>
      <c r="F7" s="150" t="str">
        <f>'Horário - Graduação'!AL21</f>
        <v>UCE 04 - Projeto Formação de Professores de Matemática (Lucas Diego) (LEM)</v>
      </c>
      <c r="G7" s="150" t="str">
        <f>'Horário - Graduação'!AM21</f>
        <v>Estatística Básica (Arilson e Agnaldo) (1/16)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5.75" customHeight="1">
      <c r="A8" s="66"/>
      <c r="B8" s="140" t="s">
        <v>210</v>
      </c>
      <c r="C8" s="131"/>
      <c r="D8" s="150" t="str">
        <f>'Horário - Graduação'!AJ22</f>
        <v/>
      </c>
      <c r="E8" s="150" t="str">
        <f>'Horário - Graduação'!AK22</f>
        <v>Física Geral I (Diego Carvalho / Poliana) (1/14)</v>
      </c>
      <c r="F8" s="150" t="str">
        <f>'Horário - Graduação'!AL22</f>
        <v>UCE 04 - Projeto Formação de Professores de Matemática (Lucas Diego) (LEM)</v>
      </c>
      <c r="G8" s="150" t="str">
        <f>'Horário - Graduação'!AM22</f>
        <v>Estatística Básica (Arilson e Agnaldo) (1/16)</v>
      </c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5.75" customHeight="1">
      <c r="A9" s="99" t="s">
        <v>20</v>
      </c>
      <c r="B9" s="140" t="s">
        <v>23</v>
      </c>
      <c r="C9" s="131"/>
      <c r="D9" s="6" t="s">
        <v>66</v>
      </c>
      <c r="E9" s="6" t="s">
        <v>67</v>
      </c>
      <c r="F9" s="6" t="s">
        <v>68</v>
      </c>
      <c r="G9" s="6" t="s">
        <v>69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5.75" customHeight="1">
      <c r="A10" s="134" t="s">
        <v>11</v>
      </c>
      <c r="B10" s="140" t="s">
        <v>164</v>
      </c>
      <c r="C10" s="131"/>
      <c r="D10" s="75" t="str">
        <f>'Horário - Graduação'!AJ38</f>
        <v/>
      </c>
      <c r="E10" s="80" t="str">
        <f>'Horário - Graduação'!AK38</f>
        <v>UCE 02 - Projeto Tecnologias na Educação (Viviane)  (1/14)</v>
      </c>
      <c r="F10" s="80" t="str">
        <f>'Horário - Graduação'!AL38</f>
        <v>Estágio Supervisionado II (120 h/a) (Lucas Diego) (LEM)</v>
      </c>
      <c r="G10" s="80" t="str">
        <f>'Horário - Graduação'!AM38</f>
        <v/>
      </c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ht="15.75" customHeight="1">
      <c r="A11" s="36"/>
      <c r="B11" s="140" t="s">
        <v>174</v>
      </c>
      <c r="C11" s="131"/>
      <c r="D11" s="150" t="str">
        <f>'Horário - Graduação'!AJ39</f>
        <v>Geometria Euclidiana Plana (oferta especial) (Aldemi)  (1/13)</v>
      </c>
      <c r="E11" s="150" t="str">
        <f>'Horário - Graduação'!AK39</f>
        <v>UCE 02 - Projeto Tecnologias na Educação (Viviane) (LEM)</v>
      </c>
      <c r="F11" s="150" t="str">
        <f>'Horário - Graduação'!AL39</f>
        <v>Cálculo Diferencial e integral III (Eilson Santiago) (1/11)</v>
      </c>
      <c r="G11" s="150" t="str">
        <f>'Horário - Graduação'!AM39</f>
        <v>Educação Profissional (Laio) (1/16)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5.75" customHeight="1">
      <c r="A12" s="36"/>
      <c r="B12" s="140" t="s">
        <v>193</v>
      </c>
      <c r="C12" s="131"/>
      <c r="D12" s="150" t="str">
        <f>'Horário - Graduação'!AJ40</f>
        <v>Geometria Euclidiana Plana (oferta especial) (Aldemi) (1/13)</v>
      </c>
      <c r="E12" s="150" t="str">
        <f>'Horário - Graduação'!AK40</f>
        <v>UCE 02 - Projeto Tecnologias na Educação (Viviane) (1/14)</v>
      </c>
      <c r="F12" s="150" t="str">
        <f>'Horário - Graduação'!AL40</f>
        <v>Cálculo Diferencial e integral III (Eilson Santiago) (1/11)</v>
      </c>
      <c r="G12" s="150" t="str">
        <f>'Horário - Graduação'!AM40</f>
        <v>Educação Profissional (Laio)(1/16)</v>
      </c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ht="15.75" customHeight="1">
      <c r="A13" s="36"/>
      <c r="B13" s="147" t="s">
        <v>111</v>
      </c>
      <c r="C13" s="131"/>
      <c r="D13" s="143" t="str">
        <f>'Horário - Graduação'!AJ41</f>
        <v/>
      </c>
      <c r="E13" s="147" t="str">
        <f>'Horário - Graduação'!AK41</f>
        <v/>
      </c>
      <c r="F13" s="147" t="str">
        <f>'Horário - Graduação'!AL41</f>
        <v/>
      </c>
      <c r="G13" s="147" t="str">
        <f>'Horário - Graduação'!AM41</f>
        <v/>
      </c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ht="15.75" customHeight="1">
      <c r="A14" s="36"/>
      <c r="B14" s="140" t="s">
        <v>198</v>
      </c>
      <c r="C14" s="131"/>
      <c r="D14" s="150" t="str">
        <f>'Horário - Graduação'!AJ42</f>
        <v/>
      </c>
      <c r="E14" s="150" t="str">
        <f>'Horário - Graduação'!AK42</f>
        <v>Educação, Sociedade e Trabalho (Márlio) (1/6)</v>
      </c>
      <c r="F14" s="150" t="str">
        <f>'Horário - Graduação'!AL42</f>
        <v>UCE 04 - Projeto Formação de Professores de Matemática (Lucas Diego) (LEM)</v>
      </c>
      <c r="G14" s="150" t="str">
        <f>'Horário - Graduação'!AM42</f>
        <v>Estatística Básica (Arilson e Agnaldo) (1/16)</v>
      </c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ht="15.75" customHeight="1">
      <c r="A15" s="66"/>
      <c r="B15" s="140" t="s">
        <v>210</v>
      </c>
      <c r="C15" s="131"/>
      <c r="D15" s="150" t="str">
        <f>'Horário - Graduação'!AJ43</f>
        <v/>
      </c>
      <c r="E15" s="150" t="str">
        <f>'Horário - Graduação'!AK43</f>
        <v>Educação, Sociedade e Trabalho (Márlio) (1/6)</v>
      </c>
      <c r="F15" s="150" t="str">
        <f>'Horário - Graduação'!AL43</f>
        <v>UCE 04 - Projeto Formação de Professores de Matemática (Lucas Diego) (LEM)</v>
      </c>
      <c r="G15" s="150" t="str">
        <f>'Horário - Graduação'!AM43</f>
        <v>Estatística Básica (Arilson e Agnaldo) (1/16)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15.75" customHeight="1">
      <c r="A16" s="99" t="s">
        <v>20</v>
      </c>
      <c r="B16" s="140" t="s">
        <v>23</v>
      </c>
      <c r="C16" s="131"/>
      <c r="D16" s="6" t="s">
        <v>66</v>
      </c>
      <c r="E16" s="6" t="s">
        <v>67</v>
      </c>
      <c r="F16" s="6" t="s">
        <v>68</v>
      </c>
      <c r="G16" s="6" t="s">
        <v>69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15.75" customHeight="1">
      <c r="A17" s="154"/>
      <c r="B17" s="140" t="s">
        <v>781</v>
      </c>
      <c r="C17" s="131"/>
      <c r="D17" s="75" t="str">
        <f>'Horário - Graduação'!AJ58</f>
        <v/>
      </c>
      <c r="E17" s="80" t="str">
        <f>'Horário - Graduação'!AK58</f>
        <v/>
      </c>
      <c r="F17" s="80"/>
      <c r="G17" s="80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15.75" customHeight="1">
      <c r="A18" s="134" t="s">
        <v>12</v>
      </c>
      <c r="B18" s="140" t="s">
        <v>164</v>
      </c>
      <c r="C18" s="131"/>
      <c r="D18" s="75" t="str">
        <f>'Horário - Graduação'!AJ59</f>
        <v/>
      </c>
      <c r="E18" s="80" t="str">
        <f>'Horário - Graduação'!AK59</f>
        <v/>
      </c>
      <c r="F18" s="80" t="str">
        <f>'Horário - Graduação'!AL59</f>
        <v>Física Geral III (Rodrigo Freitas) (Lab. Física - Rec. Didáticos)</v>
      </c>
      <c r="G18" s="80" t="str">
        <f>'Horário - Graduação'!AM59</f>
        <v>Trabalho de Conclusão de Curso – TCC II (Lucas Diego) (LEM)</v>
      </c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15.75" customHeight="1">
      <c r="A19" s="36"/>
      <c r="B19" s="140" t="s">
        <v>174</v>
      </c>
      <c r="C19" s="131"/>
      <c r="D19" s="150" t="str">
        <f>'Horário - Graduação'!AJ60</f>
        <v/>
      </c>
      <c r="E19" s="150" t="str">
        <f>'Horário - Graduação'!AK60</f>
        <v>Didática I (Gerson)(1/6)</v>
      </c>
      <c r="F19" s="150" t="str">
        <f>'Horário - Graduação'!AL60</f>
        <v>Física Geral III (Rodrigo Freitas) (Lab. Física - Rec. Didáticos)</v>
      </c>
      <c r="G19" s="150" t="str">
        <f>'Horário - Graduação'!AM60</f>
        <v>Trabalho de Conclusão de Curso – TCC II (Lucas Diego) (LEM)</v>
      </c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ht="15.75" customHeight="1">
      <c r="A20" s="36"/>
      <c r="B20" s="140" t="s">
        <v>193</v>
      </c>
      <c r="C20" s="131"/>
      <c r="D20" s="150" t="str">
        <f>'Horário - Graduação'!AJ61</f>
        <v/>
      </c>
      <c r="E20" s="150" t="str">
        <f>'Horário - Graduação'!AK61</f>
        <v>Didática I (Gerson) (1/6)</v>
      </c>
      <c r="F20" s="150" t="str">
        <f>'Horário - Graduação'!AL61</f>
        <v>Física Geral III (Rodrigo Freitas) (Lab. Física - Rec. Didáticos)</v>
      </c>
      <c r="G20" s="150" t="str">
        <f>'Horário - Graduação'!AM61</f>
        <v>Introdução à Análise Real (Nilmar) (1/16)</v>
      </c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5.75" customHeight="1">
      <c r="A21" s="36"/>
      <c r="B21" s="147" t="s">
        <v>111</v>
      </c>
      <c r="C21" s="131"/>
      <c r="D21" s="143" t="str">
        <f>'Horário - Graduação'!AJ62</f>
        <v/>
      </c>
      <c r="E21" s="147" t="str">
        <f>'Horário - Graduação'!AK62</f>
        <v/>
      </c>
      <c r="F21" s="147" t="str">
        <f>'Horário - Graduação'!AL62</f>
        <v/>
      </c>
      <c r="G21" s="147" t="str">
        <f>'Horário - Graduação'!AM62</f>
        <v/>
      </c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36"/>
      <c r="B22" s="140" t="s">
        <v>198</v>
      </c>
      <c r="C22" s="131"/>
      <c r="D22" s="150" t="str">
        <f>'Horário - Graduação'!AJ63</f>
        <v/>
      </c>
      <c r="E22" s="150" t="str">
        <f>'Horário - Graduação'!AK63</f>
        <v>Cálculo II (oferta especial) (Nilmar) (1/14)</v>
      </c>
      <c r="F22" s="150" t="str">
        <f>'Horário - Graduação'!AL63</f>
        <v>Leitura e Produção de Textos Acadêmicos (Evelyn) (1/15)</v>
      </c>
      <c r="G22" s="150" t="str">
        <f>'Horário - Graduação'!AM63</f>
        <v>Educação e Diversidade (Emille) (1/12)</v>
      </c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66"/>
      <c r="B23" s="140" t="s">
        <v>210</v>
      </c>
      <c r="C23" s="131"/>
      <c r="D23" s="150" t="str">
        <f>'Horário - Graduação'!AJ64</f>
        <v/>
      </c>
      <c r="E23" s="150" t="str">
        <f>'Horário - Graduação'!AK64</f>
        <v>Cálculo II (oferta especial) (Nilmar)(1/14)</v>
      </c>
      <c r="F23" s="150" t="str">
        <f>'Horário - Graduação'!AL64</f>
        <v>Leitura e Produção de Textos Acadêmicos (Evelyn) (1/15)</v>
      </c>
      <c r="G23" s="150" t="str">
        <f>'Horário - Graduação'!AM64</f>
        <v>Educação e Diversidade (Emille) (1/12)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99" t="s">
        <v>20</v>
      </c>
      <c r="B24" s="140" t="s">
        <v>23</v>
      </c>
      <c r="C24" s="131"/>
      <c r="D24" s="6" t="s">
        <v>66</v>
      </c>
      <c r="E24" s="6" t="s">
        <v>67</v>
      </c>
      <c r="F24" s="6" t="s">
        <v>68</v>
      </c>
      <c r="G24" s="6" t="s">
        <v>69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4" t="s">
        <v>13</v>
      </c>
      <c r="B25" s="140" t="s">
        <v>164</v>
      </c>
      <c r="C25" s="131"/>
      <c r="D25" s="75" t="str">
        <f>'Horário - Graduação'!AJ80</f>
        <v/>
      </c>
      <c r="E25" s="75" t="str">
        <f>'Horário - Graduação'!AK80</f>
        <v/>
      </c>
      <c r="F25" s="75" t="str">
        <f>'Horário - Graduação'!AL80</f>
        <v/>
      </c>
      <c r="G25" s="80" t="str">
        <f>'Horário - Graduação'!AM80</f>
        <v/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36"/>
      <c r="B26" s="140" t="s">
        <v>174</v>
      </c>
      <c r="C26" s="131"/>
      <c r="D26" s="150" t="str">
        <f>'Horário - Graduação'!AJ81</f>
        <v/>
      </c>
      <c r="E26" s="150" t="str">
        <f>'Horário - Graduação'!AK81</f>
        <v>Cálculo II (oferta especial) (Nilmar) (1/14)</v>
      </c>
      <c r="F26" s="150" t="str">
        <f>'Horário - Graduação'!AL81</f>
        <v>Cálculo Diferencial e integral III (Eilson Santiago) (1/11)</v>
      </c>
      <c r="G26" s="150" t="str">
        <f>'Horário - Graduação'!AM81</f>
        <v>Funções de uma variável complexa (Viviane)
 (1/16)</v>
      </c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36"/>
      <c r="B27" s="140" t="s">
        <v>193</v>
      </c>
      <c r="C27" s="131"/>
      <c r="D27" s="150" t="str">
        <f>'Horário - Graduação'!AJ82</f>
        <v/>
      </c>
      <c r="E27" s="150" t="str">
        <f>'Horário - Graduação'!AK82</f>
        <v>Cálculo II (oferta especial) (Nilmar) (1/14)</v>
      </c>
      <c r="F27" s="150" t="str">
        <f>'Horário - Graduação'!AL82</f>
        <v>Cálculo Diferencial e integral III (Eilson Santiago) (1/11)</v>
      </c>
      <c r="G27" s="150" t="str">
        <f>'Horário - Graduação'!AM82</f>
        <v>Funções de uma variável complexa (Viviane)
 (1/16)</v>
      </c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36"/>
      <c r="B28" s="147" t="s">
        <v>111</v>
      </c>
      <c r="C28" s="131"/>
      <c r="D28" s="143" t="str">
        <f>'Horário - Graduação'!AJ83</f>
        <v/>
      </c>
      <c r="E28" s="147" t="str">
        <f>'Horário - Graduação'!AK83</f>
        <v/>
      </c>
      <c r="F28" s="147" t="str">
        <f>'Horário - Graduação'!AL83</f>
        <v/>
      </c>
      <c r="G28" s="147" t="str">
        <f>'Horário - Graduação'!AM83</f>
        <v/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36"/>
      <c r="B29" s="140" t="s">
        <v>198</v>
      </c>
      <c r="C29" s="131"/>
      <c r="D29" s="150" t="str">
        <f>'Horário - Graduação'!AJ84</f>
        <v/>
      </c>
      <c r="E29" s="150" t="str">
        <f>'Horário - Graduação'!AK84</f>
        <v>Física Geral I (Diego Carvalho / Poliana) (1/14)</v>
      </c>
      <c r="F29" s="150" t="str">
        <f>'Horário - Graduação'!AL84</f>
        <v>PRODUÇÃO E GESTÃO DO CONHECIMENTO (Laio) (1/11)</v>
      </c>
      <c r="G29" s="150" t="str">
        <f>'Horário - Graduação'!AM84</f>
        <v>Introdução à Análise Real (Nilmar)  (1/16)</v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66"/>
      <c r="B30" s="140" t="s">
        <v>210</v>
      </c>
      <c r="C30" s="131"/>
      <c r="D30" s="150" t="str">
        <f>'Horário - Graduação'!AJ85</f>
        <v/>
      </c>
      <c r="E30" s="150" t="str">
        <f>'Horário - Graduação'!AK85</f>
        <v>Física Geral I (Diego Carvalho / Poliana) (1/14)</v>
      </c>
      <c r="F30" s="150" t="str">
        <f>'Horário - Graduação'!AL85</f>
        <v>PRODUÇÃO E GESTÃO DO CONHECIMENTO (Laio) (1/11)</v>
      </c>
      <c r="G30" s="150" t="str">
        <f>'Horário - Graduação'!AM85</f>
        <v>Introdução à Análise Real (Nilmar)  (1/16)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99" t="s">
        <v>20</v>
      </c>
      <c r="B31" s="140" t="s">
        <v>23</v>
      </c>
      <c r="C31" s="131"/>
      <c r="D31" s="6" t="s">
        <v>66</v>
      </c>
      <c r="E31" s="6" t="s">
        <v>67</v>
      </c>
      <c r="F31" s="6" t="s">
        <v>68</v>
      </c>
      <c r="G31" s="6" t="s">
        <v>69</v>
      </c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4" t="s">
        <v>14</v>
      </c>
      <c r="B32" s="140" t="s">
        <v>164</v>
      </c>
      <c r="C32" s="131"/>
      <c r="D32" s="75" t="str">
        <f>'Horário - Graduação'!AJ101</f>
        <v/>
      </c>
      <c r="E32" s="80" t="str">
        <f>'Horário - Graduação'!AK101</f>
        <v/>
      </c>
      <c r="F32" s="80" t="str">
        <f>'Horário - Graduação'!AL101</f>
        <v/>
      </c>
      <c r="G32" s="80" t="str">
        <f>'Horário - Graduação'!AM101</f>
        <v/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36"/>
      <c r="B33" s="140" t="s">
        <v>174</v>
      </c>
      <c r="C33" s="131"/>
      <c r="D33" s="150" t="str">
        <f>'Horário - Graduação'!AJ102</f>
        <v/>
      </c>
      <c r="E33" s="150" t="str">
        <f>'Horário - Graduação'!AK102</f>
        <v>Matemática Financeira (Felipe Ferres) (1/14)</v>
      </c>
      <c r="F33" s="150" t="str">
        <f>'Horário - Graduação'!AL102</f>
        <v>Estruturas Algébricas (Kélcio) (1/15)</v>
      </c>
      <c r="G33" s="150" t="str">
        <f>'Horário - Graduação'!AM102</f>
        <v/>
      </c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36"/>
      <c r="B34" s="140" t="s">
        <v>193</v>
      </c>
      <c r="C34" s="131"/>
      <c r="D34" s="150" t="str">
        <f>'Horário - Graduação'!AJ103</f>
        <v/>
      </c>
      <c r="E34" s="150" t="str">
        <f>'Horário - Graduação'!AK103</f>
        <v>Matemática Financeira (Felipe Ferres) (1/14)</v>
      </c>
      <c r="F34" s="150" t="str">
        <f>'Horário - Graduação'!AL103</f>
        <v>Estruturas Algébricas (Kélcio) (1/15)</v>
      </c>
      <c r="G34" s="150" t="str">
        <f>'Horário - Graduação'!AM103</f>
        <v/>
      </c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36"/>
      <c r="B35" s="147" t="s">
        <v>111</v>
      </c>
      <c r="C35" s="131"/>
      <c r="D35" s="143" t="str">
        <f>'Horário - Graduação'!AJ104</f>
        <v/>
      </c>
      <c r="E35" s="147" t="str">
        <f>'Horário - Graduação'!AK104</f>
        <v/>
      </c>
      <c r="F35" s="147" t="str">
        <f>'Horário - Graduação'!AL104</f>
        <v/>
      </c>
      <c r="G35" s="147" t="str">
        <f>'Horário - Graduação'!AM104</f>
        <v/>
      </c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36"/>
      <c r="B36" s="140" t="s">
        <v>198</v>
      </c>
      <c r="C36" s="131"/>
      <c r="D36" s="150" t="str">
        <f>'Horário - Graduação'!AJ105</f>
        <v/>
      </c>
      <c r="E36" s="150" t="str">
        <f>'Horário - Graduação'!AK105</f>
        <v>Didática I (Gerson) (1/6)</v>
      </c>
      <c r="F36" s="150" t="str">
        <f>'Horário - Graduação'!AL105</f>
        <v>Estruturas Algébricas (Kélcio)  (1/15)</v>
      </c>
      <c r="G36" s="150" t="str">
        <f>'Horário - Graduação'!AM105</f>
        <v/>
      </c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66"/>
      <c r="B37" s="140" t="s">
        <v>210</v>
      </c>
      <c r="C37" s="131"/>
      <c r="D37" s="150" t="str">
        <f>'Horário - Graduação'!AJ106</f>
        <v/>
      </c>
      <c r="E37" s="150" t="str">
        <f>'Horário - Graduação'!AK106</f>
        <v>Didática I (Gerson) (1/6)</v>
      </c>
      <c r="F37" s="150" t="str">
        <f>'Horário - Graduação'!AL106</f>
        <v>Estruturas Algébricas (Kélcio)  (1/15)</v>
      </c>
      <c r="G37" s="150" t="str">
        <f>'Horário - Graduação'!AM106</f>
        <v/>
      </c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42" t="s">
        <v>20</v>
      </c>
      <c r="B38" s="140" t="s">
        <v>23</v>
      </c>
      <c r="C38" s="131"/>
      <c r="D38" s="6" t="s">
        <v>66</v>
      </c>
      <c r="E38" s="6" t="s">
        <v>67</v>
      </c>
      <c r="F38" s="6" t="s">
        <v>68</v>
      </c>
      <c r="G38" s="6" t="s">
        <v>69</v>
      </c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32"/>
      <c r="C239" s="32"/>
      <c r="D239" s="32"/>
      <c r="E239" s="32"/>
      <c r="F239" s="32"/>
      <c r="G239" s="32"/>
    </row>
    <row r="240" ht="15.75" customHeight="1">
      <c r="A240" s="32"/>
      <c r="C240" s="32"/>
      <c r="D240" s="32"/>
      <c r="E240" s="32"/>
      <c r="F240" s="32"/>
      <c r="G240" s="32"/>
    </row>
    <row r="241" ht="15.75" customHeight="1">
      <c r="A241" s="32"/>
      <c r="C241" s="32"/>
      <c r="D241" s="32"/>
      <c r="E241" s="32"/>
      <c r="F241" s="32"/>
      <c r="G241" s="32"/>
    </row>
    <row r="242" ht="15.75" customHeight="1">
      <c r="A242" s="32"/>
      <c r="C242" s="32"/>
      <c r="D242" s="32"/>
      <c r="E242" s="32"/>
      <c r="F242" s="32"/>
      <c r="G242" s="32"/>
    </row>
    <row r="243" ht="15.75" customHeight="1">
      <c r="A243" s="32"/>
      <c r="C243" s="32"/>
      <c r="D243" s="32"/>
      <c r="E243" s="32"/>
      <c r="F243" s="32"/>
      <c r="G243" s="32"/>
    </row>
    <row r="244" ht="15.75" customHeight="1">
      <c r="A244" s="32"/>
      <c r="C244" s="32"/>
      <c r="D244" s="32"/>
      <c r="E244" s="32"/>
      <c r="F244" s="32"/>
      <c r="G244" s="32"/>
    </row>
    <row r="245" ht="15.75" customHeight="1">
      <c r="A245" s="32"/>
      <c r="C245" s="32"/>
      <c r="D245" s="32"/>
      <c r="E245" s="32"/>
      <c r="F245" s="32"/>
      <c r="G245" s="32"/>
    </row>
    <row r="246" ht="15.75" customHeight="1">
      <c r="A246" s="32"/>
      <c r="C246" s="32"/>
      <c r="D246" s="32"/>
      <c r="E246" s="32"/>
      <c r="F246" s="32"/>
      <c r="G246" s="32"/>
    </row>
    <row r="247" ht="15.75" customHeight="1">
      <c r="A247" s="32"/>
      <c r="C247" s="32"/>
      <c r="D247" s="32"/>
      <c r="E247" s="32"/>
      <c r="F247" s="32"/>
      <c r="G247" s="32"/>
    </row>
    <row r="248" ht="15.75" customHeight="1">
      <c r="A248" s="32"/>
      <c r="C248" s="32"/>
      <c r="D248" s="32"/>
      <c r="E248" s="32"/>
      <c r="F248" s="32"/>
      <c r="G248" s="32"/>
    </row>
    <row r="249" ht="15.75" customHeight="1">
      <c r="A249" s="32"/>
      <c r="C249" s="32"/>
      <c r="D249" s="32"/>
      <c r="E249" s="32"/>
      <c r="F249" s="32"/>
      <c r="G249" s="32"/>
    </row>
    <row r="250" ht="15.75" customHeight="1">
      <c r="A250" s="32"/>
      <c r="C250" s="32"/>
      <c r="D250" s="32"/>
      <c r="E250" s="32"/>
      <c r="F250" s="32"/>
      <c r="G250" s="32"/>
    </row>
    <row r="251" ht="15.75" customHeight="1">
      <c r="A251" s="32"/>
      <c r="C251" s="32"/>
      <c r="D251" s="32"/>
      <c r="E251" s="32"/>
      <c r="F251" s="32"/>
      <c r="G251" s="32"/>
    </row>
    <row r="252" ht="15.75" customHeight="1">
      <c r="A252" s="32"/>
      <c r="C252" s="32"/>
      <c r="D252" s="32"/>
      <c r="E252" s="32"/>
      <c r="F252" s="32"/>
      <c r="G252" s="32"/>
    </row>
    <row r="253" ht="15.75" customHeight="1">
      <c r="A253" s="32"/>
      <c r="C253" s="32"/>
      <c r="D253" s="32"/>
      <c r="E253" s="32"/>
      <c r="F253" s="32"/>
      <c r="G253" s="32"/>
    </row>
    <row r="254" ht="15.75" customHeight="1">
      <c r="A254" s="32"/>
      <c r="C254" s="32"/>
      <c r="D254" s="32"/>
      <c r="E254" s="32"/>
      <c r="F254" s="32"/>
      <c r="G254" s="32"/>
    </row>
    <row r="255" ht="15.75" customHeight="1">
      <c r="A255" s="32"/>
      <c r="C255" s="32"/>
      <c r="D255" s="32"/>
      <c r="E255" s="32"/>
      <c r="F255" s="32"/>
      <c r="G255" s="32"/>
    </row>
    <row r="256" ht="15.75" customHeight="1">
      <c r="A256" s="32"/>
      <c r="C256" s="32"/>
      <c r="D256" s="32"/>
      <c r="E256" s="32"/>
      <c r="F256" s="32"/>
      <c r="G256" s="32"/>
    </row>
    <row r="257" ht="15.75" customHeight="1">
      <c r="A257" s="32"/>
      <c r="C257" s="32"/>
      <c r="D257" s="32"/>
      <c r="E257" s="32"/>
      <c r="F257" s="32"/>
      <c r="G257" s="32"/>
    </row>
    <row r="258" ht="15.75" customHeight="1">
      <c r="A258" s="32"/>
      <c r="C258" s="32"/>
      <c r="D258" s="32"/>
      <c r="E258" s="32"/>
      <c r="F258" s="32"/>
      <c r="G258" s="32"/>
    </row>
    <row r="259" ht="15.75" customHeight="1">
      <c r="A259" s="32"/>
      <c r="C259" s="32"/>
      <c r="D259" s="32"/>
      <c r="E259" s="32"/>
      <c r="F259" s="32"/>
      <c r="G259" s="32"/>
    </row>
    <row r="260" ht="15.75" customHeight="1">
      <c r="A260" s="32"/>
      <c r="C260" s="32"/>
      <c r="D260" s="32"/>
      <c r="E260" s="32"/>
      <c r="F260" s="32"/>
      <c r="G260" s="32"/>
    </row>
    <row r="261" ht="15.75" customHeight="1">
      <c r="A261" s="32"/>
      <c r="C261" s="32"/>
      <c r="D261" s="32"/>
      <c r="E261" s="32"/>
      <c r="F261" s="32"/>
      <c r="G261" s="32"/>
    </row>
    <row r="262" ht="15.75" customHeight="1">
      <c r="A262" s="32"/>
      <c r="C262" s="32"/>
      <c r="D262" s="32"/>
      <c r="E262" s="32"/>
      <c r="F262" s="32"/>
      <c r="G262" s="32"/>
    </row>
    <row r="263" ht="15.75" customHeight="1">
      <c r="A263" s="32"/>
      <c r="C263" s="32"/>
      <c r="D263" s="32"/>
      <c r="E263" s="32"/>
      <c r="F263" s="32"/>
      <c r="G263" s="32"/>
    </row>
    <row r="264" ht="15.75" customHeight="1">
      <c r="A264" s="32"/>
      <c r="C264" s="32"/>
      <c r="D264" s="32"/>
      <c r="E264" s="32"/>
      <c r="F264" s="32"/>
      <c r="G264" s="32"/>
    </row>
    <row r="265" ht="15.75" customHeight="1">
      <c r="A265" s="32"/>
      <c r="C265" s="32"/>
      <c r="D265" s="32"/>
      <c r="E265" s="32"/>
      <c r="F265" s="32"/>
      <c r="G265" s="32"/>
    </row>
    <row r="266" ht="15.75" customHeight="1">
      <c r="A266" s="32"/>
      <c r="C266" s="32"/>
      <c r="D266" s="32"/>
      <c r="E266" s="32"/>
      <c r="F266" s="32"/>
      <c r="G266" s="32"/>
    </row>
    <row r="267" ht="15.75" customHeight="1">
      <c r="A267" s="32"/>
      <c r="C267" s="32"/>
      <c r="D267" s="32"/>
      <c r="E267" s="32"/>
      <c r="F267" s="32"/>
      <c r="G267" s="32"/>
    </row>
    <row r="268" ht="15.75" customHeight="1">
      <c r="A268" s="32"/>
      <c r="C268" s="32"/>
      <c r="D268" s="32"/>
      <c r="E268" s="32"/>
      <c r="F268" s="32"/>
      <c r="G268" s="32"/>
    </row>
    <row r="269" ht="15.75" customHeight="1">
      <c r="A269" s="32"/>
      <c r="C269" s="32"/>
      <c r="D269" s="32"/>
      <c r="E269" s="32"/>
      <c r="F269" s="32"/>
      <c r="G269" s="32"/>
    </row>
    <row r="270" ht="15.75" customHeight="1">
      <c r="A270" s="32"/>
      <c r="C270" s="32"/>
      <c r="D270" s="32"/>
      <c r="E270" s="32"/>
      <c r="F270" s="32"/>
      <c r="G270" s="32"/>
    </row>
    <row r="271" ht="15.75" customHeight="1">
      <c r="A271" s="32"/>
      <c r="C271" s="32"/>
      <c r="D271" s="32"/>
      <c r="E271" s="32"/>
      <c r="F271" s="32"/>
      <c r="G271" s="32"/>
    </row>
    <row r="272" ht="15.75" customHeight="1">
      <c r="A272" s="32"/>
      <c r="C272" s="32"/>
      <c r="D272" s="32"/>
      <c r="E272" s="32"/>
      <c r="F272" s="32"/>
      <c r="G272" s="32"/>
    </row>
    <row r="273" ht="15.75" customHeight="1">
      <c r="A273" s="32"/>
      <c r="C273" s="32"/>
      <c r="D273" s="32"/>
      <c r="E273" s="32"/>
      <c r="F273" s="32"/>
      <c r="G273" s="32"/>
    </row>
    <row r="274" ht="15.75" customHeight="1">
      <c r="A274" s="32"/>
      <c r="C274" s="32"/>
      <c r="D274" s="32"/>
      <c r="E274" s="32"/>
      <c r="F274" s="32"/>
      <c r="G274" s="32"/>
    </row>
    <row r="275" ht="15.75" customHeight="1">
      <c r="A275" s="32"/>
      <c r="C275" s="32"/>
      <c r="D275" s="32"/>
      <c r="E275" s="32"/>
      <c r="F275" s="32"/>
      <c r="G275" s="32"/>
    </row>
    <row r="276" ht="15.75" customHeight="1">
      <c r="A276" s="32"/>
      <c r="C276" s="32"/>
      <c r="D276" s="32"/>
      <c r="E276" s="32"/>
      <c r="F276" s="32"/>
      <c r="G276" s="32"/>
    </row>
    <row r="277" ht="15.75" customHeight="1">
      <c r="A277" s="32"/>
      <c r="C277" s="32"/>
      <c r="D277" s="32"/>
      <c r="E277" s="32"/>
      <c r="F277" s="32"/>
      <c r="G277" s="32"/>
    </row>
    <row r="278" ht="15.75" customHeight="1">
      <c r="A278" s="32"/>
      <c r="C278" s="32"/>
      <c r="D278" s="32"/>
      <c r="E278" s="32"/>
      <c r="F278" s="32"/>
      <c r="G278" s="32"/>
    </row>
    <row r="279" ht="15.75" customHeight="1">
      <c r="A279" s="32"/>
      <c r="C279" s="32"/>
      <c r="D279" s="32"/>
      <c r="E279" s="32"/>
      <c r="F279" s="32"/>
      <c r="G279" s="32"/>
    </row>
    <row r="280" ht="15.75" customHeight="1">
      <c r="A280" s="32"/>
      <c r="C280" s="32"/>
      <c r="D280" s="32"/>
      <c r="E280" s="32"/>
      <c r="F280" s="32"/>
      <c r="G280" s="32"/>
    </row>
    <row r="281" ht="15.75" customHeight="1">
      <c r="A281" s="32"/>
      <c r="C281" s="32"/>
      <c r="D281" s="32"/>
      <c r="E281" s="32"/>
      <c r="F281" s="32"/>
      <c r="G281" s="32"/>
    </row>
    <row r="282" ht="15.75" customHeight="1">
      <c r="A282" s="32"/>
      <c r="C282" s="32"/>
      <c r="D282" s="32"/>
      <c r="E282" s="32"/>
      <c r="F282" s="32"/>
      <c r="G282" s="32"/>
    </row>
    <row r="283" ht="15.75" customHeight="1">
      <c r="A283" s="32"/>
      <c r="C283" s="32"/>
      <c r="D283" s="32"/>
      <c r="E283" s="32"/>
      <c r="F283" s="32"/>
      <c r="G283" s="32"/>
    </row>
    <row r="284" ht="15.75" customHeight="1">
      <c r="A284" s="32"/>
      <c r="C284" s="32"/>
      <c r="D284" s="32"/>
      <c r="E284" s="32"/>
      <c r="F284" s="32"/>
      <c r="G284" s="32"/>
    </row>
    <row r="285" ht="15.75" customHeight="1">
      <c r="A285" s="32"/>
      <c r="C285" s="32"/>
      <c r="D285" s="32"/>
      <c r="E285" s="32"/>
      <c r="F285" s="32"/>
      <c r="G285" s="32"/>
    </row>
    <row r="286" ht="15.75" customHeight="1">
      <c r="A286" s="32"/>
      <c r="C286" s="32"/>
      <c r="D286" s="32"/>
      <c r="E286" s="32"/>
      <c r="F286" s="32"/>
      <c r="G286" s="32"/>
    </row>
    <row r="287" ht="15.75" customHeight="1">
      <c r="A287" s="32"/>
      <c r="C287" s="32"/>
      <c r="D287" s="32"/>
      <c r="E287" s="32"/>
      <c r="F287" s="32"/>
      <c r="G287" s="32"/>
    </row>
    <row r="288" ht="15.75" customHeight="1">
      <c r="A288" s="32"/>
      <c r="C288" s="32"/>
      <c r="D288" s="32"/>
      <c r="E288" s="32"/>
      <c r="F288" s="32"/>
      <c r="G288" s="32"/>
    </row>
    <row r="289" ht="15.75" customHeight="1">
      <c r="A289" s="32"/>
      <c r="C289" s="32"/>
      <c r="D289" s="32"/>
      <c r="E289" s="32"/>
      <c r="F289" s="32"/>
      <c r="G289" s="32"/>
    </row>
    <row r="290" ht="15.75" customHeight="1">
      <c r="A290" s="32"/>
      <c r="C290" s="32"/>
      <c r="D290" s="32"/>
      <c r="E290" s="32"/>
      <c r="F290" s="32"/>
      <c r="G290" s="32"/>
    </row>
    <row r="291" ht="15.75" customHeight="1">
      <c r="A291" s="32"/>
      <c r="C291" s="32"/>
      <c r="D291" s="32"/>
      <c r="E291" s="32"/>
      <c r="F291" s="32"/>
      <c r="G291" s="32"/>
    </row>
    <row r="292" ht="15.75" customHeight="1">
      <c r="A292" s="32"/>
      <c r="C292" s="32"/>
      <c r="D292" s="32"/>
      <c r="E292" s="32"/>
      <c r="F292" s="32"/>
      <c r="G292" s="32"/>
    </row>
    <row r="293" ht="15.75" customHeight="1">
      <c r="A293" s="32"/>
      <c r="C293" s="32"/>
      <c r="D293" s="32"/>
      <c r="E293" s="32"/>
      <c r="F293" s="32"/>
      <c r="G293" s="32"/>
    </row>
    <row r="294" ht="15.75" customHeight="1">
      <c r="A294" s="32"/>
      <c r="C294" s="32"/>
      <c r="D294" s="32"/>
      <c r="E294" s="32"/>
      <c r="F294" s="32"/>
      <c r="G294" s="32"/>
    </row>
    <row r="295" ht="15.75" customHeight="1">
      <c r="A295" s="32"/>
      <c r="C295" s="32"/>
      <c r="D295" s="32"/>
      <c r="E295" s="32"/>
      <c r="F295" s="32"/>
      <c r="G295" s="32"/>
    </row>
    <row r="296" ht="15.75" customHeight="1">
      <c r="A296" s="32"/>
      <c r="C296" s="32"/>
      <c r="D296" s="32"/>
      <c r="E296" s="32"/>
      <c r="F296" s="32"/>
      <c r="G296" s="32"/>
    </row>
    <row r="297" ht="15.75" customHeight="1">
      <c r="A297" s="32"/>
      <c r="C297" s="32"/>
      <c r="D297" s="32"/>
      <c r="E297" s="32"/>
      <c r="F297" s="32"/>
      <c r="G297" s="32"/>
    </row>
    <row r="298" ht="15.75" customHeight="1">
      <c r="A298" s="32"/>
      <c r="C298" s="32"/>
      <c r="D298" s="32"/>
      <c r="E298" s="32"/>
      <c r="F298" s="32"/>
      <c r="G298" s="32"/>
    </row>
    <row r="299" ht="15.75" customHeight="1">
      <c r="A299" s="32"/>
      <c r="C299" s="32"/>
      <c r="D299" s="32"/>
      <c r="E299" s="32"/>
      <c r="F299" s="32"/>
      <c r="G299" s="32"/>
    </row>
    <row r="300" ht="15.75" customHeight="1">
      <c r="A300" s="32"/>
      <c r="C300" s="32"/>
      <c r="D300" s="32"/>
      <c r="E300" s="32"/>
      <c r="F300" s="32"/>
      <c r="G300" s="32"/>
    </row>
    <row r="301" ht="15.75" customHeight="1">
      <c r="A301" s="32"/>
      <c r="C301" s="32"/>
      <c r="D301" s="32"/>
      <c r="E301" s="32"/>
      <c r="F301" s="32"/>
      <c r="G301" s="32"/>
    </row>
    <row r="302" ht="15.75" customHeight="1">
      <c r="A302" s="32"/>
      <c r="C302" s="32"/>
      <c r="D302" s="32"/>
      <c r="E302" s="32"/>
      <c r="F302" s="32"/>
      <c r="G302" s="32"/>
    </row>
    <row r="303" ht="15.75" customHeight="1">
      <c r="A303" s="32"/>
      <c r="C303" s="32"/>
      <c r="D303" s="32"/>
      <c r="E303" s="32"/>
      <c r="F303" s="32"/>
      <c r="G303" s="32"/>
    </row>
    <row r="304" ht="15.75" customHeight="1">
      <c r="A304" s="32"/>
      <c r="C304" s="32"/>
      <c r="D304" s="32"/>
      <c r="E304" s="32"/>
      <c r="F304" s="32"/>
      <c r="G304" s="32"/>
    </row>
    <row r="305" ht="15.75" customHeight="1">
      <c r="A305" s="32"/>
      <c r="C305" s="32"/>
      <c r="D305" s="32"/>
      <c r="E305" s="32"/>
      <c r="F305" s="32"/>
      <c r="G305" s="32"/>
    </row>
    <row r="306" ht="15.75" customHeight="1">
      <c r="A306" s="32"/>
      <c r="C306" s="32"/>
      <c r="D306" s="32"/>
      <c r="E306" s="32"/>
      <c r="F306" s="32"/>
      <c r="G306" s="32"/>
    </row>
    <row r="307" ht="15.75" customHeight="1">
      <c r="A307" s="32"/>
      <c r="C307" s="32"/>
      <c r="D307" s="32"/>
      <c r="E307" s="32"/>
      <c r="F307" s="32"/>
      <c r="G307" s="32"/>
    </row>
    <row r="308" ht="15.75" customHeight="1">
      <c r="A308" s="32"/>
      <c r="C308" s="32"/>
      <c r="D308" s="32"/>
      <c r="E308" s="32"/>
      <c r="F308" s="32"/>
      <c r="G308" s="32"/>
    </row>
    <row r="309" ht="15.75" customHeight="1">
      <c r="A309" s="32"/>
      <c r="C309" s="32"/>
      <c r="D309" s="32"/>
      <c r="E309" s="32"/>
      <c r="F309" s="32"/>
      <c r="G309" s="32"/>
    </row>
    <row r="310" ht="15.75" customHeight="1">
      <c r="A310" s="32"/>
      <c r="C310" s="32"/>
      <c r="D310" s="32"/>
      <c r="E310" s="32"/>
      <c r="F310" s="32"/>
      <c r="G310" s="32"/>
    </row>
    <row r="311" ht="15.75" customHeight="1">
      <c r="A311" s="32"/>
      <c r="C311" s="32"/>
      <c r="D311" s="32"/>
      <c r="E311" s="32"/>
      <c r="F311" s="32"/>
      <c r="G311" s="32"/>
    </row>
    <row r="312" ht="15.75" customHeight="1">
      <c r="A312" s="32"/>
      <c r="C312" s="32"/>
      <c r="D312" s="32"/>
      <c r="E312" s="32"/>
      <c r="F312" s="32"/>
      <c r="G312" s="32"/>
    </row>
    <row r="313" ht="15.75" customHeight="1">
      <c r="A313" s="32"/>
      <c r="C313" s="32"/>
      <c r="D313" s="32"/>
      <c r="E313" s="32"/>
      <c r="F313" s="32"/>
      <c r="G313" s="32"/>
    </row>
    <row r="314" ht="15.75" customHeight="1">
      <c r="A314" s="32"/>
      <c r="C314" s="32"/>
      <c r="D314" s="32"/>
      <c r="E314" s="32"/>
      <c r="F314" s="32"/>
      <c r="G314" s="32"/>
    </row>
    <row r="315" ht="15.75" customHeight="1">
      <c r="A315" s="32"/>
      <c r="C315" s="32"/>
      <c r="D315" s="32"/>
      <c r="E315" s="32"/>
      <c r="F315" s="32"/>
      <c r="G315" s="32"/>
    </row>
    <row r="316" ht="15.75" customHeight="1">
      <c r="A316" s="32"/>
      <c r="C316" s="32"/>
      <c r="D316" s="32"/>
      <c r="E316" s="32"/>
      <c r="F316" s="32"/>
      <c r="G316" s="32"/>
    </row>
    <row r="317" ht="15.75" customHeight="1">
      <c r="A317" s="32"/>
      <c r="C317" s="32"/>
      <c r="D317" s="32"/>
      <c r="E317" s="32"/>
      <c r="F317" s="32"/>
      <c r="G317" s="32"/>
    </row>
    <row r="318" ht="15.75" customHeight="1">
      <c r="A318" s="32"/>
      <c r="C318" s="32"/>
      <c r="D318" s="32"/>
      <c r="E318" s="32"/>
      <c r="F318" s="32"/>
      <c r="G318" s="32"/>
    </row>
    <row r="319" ht="15.75" customHeight="1">
      <c r="A319" s="32"/>
      <c r="C319" s="32"/>
      <c r="D319" s="32"/>
      <c r="E319" s="32"/>
      <c r="F319" s="32"/>
      <c r="G319" s="32"/>
    </row>
    <row r="320" ht="15.75" customHeight="1">
      <c r="A320" s="32"/>
      <c r="C320" s="32"/>
      <c r="D320" s="32"/>
      <c r="E320" s="32"/>
      <c r="F320" s="32"/>
      <c r="G320" s="32"/>
    </row>
    <row r="321" ht="15.75" customHeight="1">
      <c r="A321" s="32"/>
      <c r="C321" s="32"/>
      <c r="D321" s="32"/>
      <c r="E321" s="32"/>
      <c r="F321" s="32"/>
      <c r="G321" s="32"/>
    </row>
    <row r="322" ht="15.75" customHeight="1">
      <c r="A322" s="32"/>
      <c r="C322" s="32"/>
      <c r="D322" s="32"/>
      <c r="E322" s="32"/>
      <c r="F322" s="32"/>
      <c r="G322" s="32"/>
    </row>
    <row r="323" ht="15.75" customHeight="1">
      <c r="A323" s="32"/>
      <c r="C323" s="32"/>
      <c r="D323" s="32"/>
      <c r="E323" s="32"/>
      <c r="F323" s="32"/>
      <c r="G323" s="32"/>
    </row>
    <row r="324" ht="15.75" customHeight="1">
      <c r="A324" s="32"/>
      <c r="C324" s="32"/>
      <c r="D324" s="32"/>
      <c r="E324" s="32"/>
      <c r="F324" s="32"/>
      <c r="G324" s="32"/>
    </row>
    <row r="325" ht="15.75" customHeight="1">
      <c r="A325" s="32"/>
      <c r="C325" s="32"/>
      <c r="D325" s="32"/>
      <c r="E325" s="32"/>
      <c r="F325" s="32"/>
      <c r="G325" s="32"/>
    </row>
    <row r="326" ht="15.75" customHeight="1">
      <c r="A326" s="32"/>
      <c r="C326" s="32"/>
      <c r="D326" s="32"/>
      <c r="E326" s="32"/>
      <c r="F326" s="32"/>
      <c r="G326" s="32"/>
    </row>
    <row r="327" ht="15.75" customHeight="1">
      <c r="A327" s="32"/>
      <c r="C327" s="32"/>
      <c r="D327" s="32"/>
      <c r="E327" s="32"/>
      <c r="F327" s="32"/>
      <c r="G327" s="32"/>
    </row>
    <row r="328" ht="15.75" customHeight="1">
      <c r="A328" s="32"/>
      <c r="C328" s="32"/>
      <c r="D328" s="32"/>
      <c r="E328" s="32"/>
      <c r="F328" s="32"/>
      <c r="G328" s="32"/>
    </row>
    <row r="329" ht="15.75" customHeight="1">
      <c r="A329" s="32"/>
      <c r="C329" s="32"/>
      <c r="D329" s="32"/>
      <c r="E329" s="32"/>
      <c r="F329" s="32"/>
      <c r="G329" s="32"/>
    </row>
    <row r="330" ht="15.75" customHeight="1">
      <c r="A330" s="32"/>
      <c r="C330" s="32"/>
      <c r="D330" s="32"/>
      <c r="E330" s="32"/>
      <c r="F330" s="32"/>
      <c r="G330" s="32"/>
    </row>
    <row r="331" ht="15.75" customHeight="1">
      <c r="A331" s="32"/>
      <c r="C331" s="32"/>
      <c r="D331" s="32"/>
      <c r="E331" s="32"/>
      <c r="F331" s="32"/>
      <c r="G331" s="32"/>
    </row>
    <row r="332" ht="15.75" customHeight="1">
      <c r="A332" s="32"/>
      <c r="C332" s="32"/>
      <c r="D332" s="32"/>
      <c r="E332" s="32"/>
      <c r="F332" s="32"/>
      <c r="G332" s="32"/>
    </row>
    <row r="333" ht="15.75" customHeight="1">
      <c r="A333" s="32"/>
      <c r="C333" s="32"/>
      <c r="D333" s="32"/>
      <c r="E333" s="32"/>
      <c r="F333" s="32"/>
      <c r="G333" s="32"/>
    </row>
    <row r="334" ht="15.75" customHeight="1">
      <c r="A334" s="32"/>
      <c r="C334" s="32"/>
      <c r="D334" s="32"/>
      <c r="E334" s="32"/>
      <c r="F334" s="32"/>
      <c r="G334" s="32"/>
    </row>
    <row r="335" ht="15.75" customHeight="1">
      <c r="A335" s="32"/>
      <c r="C335" s="32"/>
      <c r="D335" s="32"/>
      <c r="E335" s="32"/>
      <c r="F335" s="32"/>
      <c r="G335" s="32"/>
    </row>
    <row r="336" ht="15.75" customHeight="1">
      <c r="A336" s="32"/>
      <c r="C336" s="32"/>
      <c r="D336" s="32"/>
      <c r="E336" s="32"/>
      <c r="F336" s="32"/>
      <c r="G336" s="32"/>
    </row>
    <row r="337" ht="15.75" customHeight="1">
      <c r="A337" s="32"/>
      <c r="C337" s="32"/>
      <c r="D337" s="32"/>
      <c r="E337" s="32"/>
      <c r="F337" s="32"/>
      <c r="G337" s="32"/>
    </row>
    <row r="338" ht="15.75" customHeight="1">
      <c r="A338" s="32"/>
      <c r="C338" s="32"/>
      <c r="D338" s="32"/>
      <c r="E338" s="32"/>
      <c r="F338" s="32"/>
      <c r="G338" s="32"/>
    </row>
    <row r="339" ht="15.75" customHeight="1">
      <c r="A339" s="32"/>
      <c r="C339" s="32"/>
      <c r="D339" s="32"/>
      <c r="E339" s="32"/>
      <c r="F339" s="32"/>
      <c r="G339" s="32"/>
    </row>
    <row r="340" ht="15.75" customHeight="1">
      <c r="A340" s="32"/>
      <c r="C340" s="32"/>
      <c r="D340" s="32"/>
      <c r="E340" s="32"/>
      <c r="F340" s="32"/>
      <c r="G340" s="32"/>
    </row>
    <row r="341" ht="15.75" customHeight="1">
      <c r="A341" s="32"/>
      <c r="C341" s="32"/>
      <c r="D341" s="32"/>
      <c r="E341" s="32"/>
      <c r="F341" s="32"/>
      <c r="G341" s="32"/>
    </row>
    <row r="342" ht="15.75" customHeight="1">
      <c r="A342" s="32"/>
      <c r="C342" s="32"/>
      <c r="D342" s="32"/>
      <c r="E342" s="32"/>
      <c r="F342" s="32"/>
      <c r="G342" s="32"/>
    </row>
    <row r="343" ht="15.75" customHeight="1">
      <c r="A343" s="32"/>
      <c r="C343" s="32"/>
      <c r="D343" s="32"/>
      <c r="E343" s="32"/>
      <c r="F343" s="32"/>
      <c r="G343" s="32"/>
    </row>
    <row r="344" ht="15.75" customHeight="1">
      <c r="A344" s="32"/>
      <c r="C344" s="32"/>
      <c r="D344" s="32"/>
      <c r="E344" s="32"/>
      <c r="F344" s="32"/>
      <c r="G344" s="32"/>
    </row>
    <row r="345" ht="15.75" customHeight="1">
      <c r="A345" s="32"/>
      <c r="C345" s="32"/>
      <c r="D345" s="32"/>
      <c r="E345" s="32"/>
      <c r="F345" s="32"/>
      <c r="G345" s="32"/>
    </row>
    <row r="346" ht="15.75" customHeight="1">
      <c r="A346" s="32"/>
      <c r="C346" s="32"/>
      <c r="D346" s="32"/>
      <c r="E346" s="32"/>
      <c r="F346" s="32"/>
      <c r="G346" s="32"/>
    </row>
    <row r="347" ht="15.75" customHeight="1">
      <c r="A347" s="32"/>
      <c r="C347" s="32"/>
      <c r="D347" s="32"/>
      <c r="E347" s="32"/>
      <c r="F347" s="32"/>
      <c r="G347" s="32"/>
    </row>
    <row r="348" ht="15.75" customHeight="1">
      <c r="A348" s="32"/>
      <c r="C348" s="32"/>
      <c r="D348" s="32"/>
      <c r="E348" s="32"/>
      <c r="F348" s="32"/>
      <c r="G348" s="32"/>
    </row>
    <row r="349" ht="15.75" customHeight="1">
      <c r="A349" s="32"/>
      <c r="C349" s="32"/>
      <c r="D349" s="32"/>
      <c r="E349" s="32"/>
      <c r="F349" s="32"/>
      <c r="G349" s="32"/>
    </row>
    <row r="350" ht="15.75" customHeight="1">
      <c r="A350" s="32"/>
      <c r="C350" s="32"/>
      <c r="D350" s="32"/>
      <c r="E350" s="32"/>
      <c r="F350" s="32"/>
      <c r="G350" s="32"/>
    </row>
    <row r="351" ht="15.75" customHeight="1">
      <c r="A351" s="32"/>
      <c r="C351" s="32"/>
      <c r="D351" s="32"/>
      <c r="E351" s="32"/>
      <c r="F351" s="32"/>
      <c r="G351" s="32"/>
    </row>
    <row r="352" ht="15.75" customHeight="1">
      <c r="A352" s="32"/>
      <c r="C352" s="32"/>
      <c r="D352" s="32"/>
      <c r="E352" s="32"/>
      <c r="F352" s="32"/>
      <c r="G352" s="32"/>
    </row>
    <row r="353" ht="15.75" customHeight="1">
      <c r="A353" s="32"/>
      <c r="C353" s="32"/>
      <c r="D353" s="32"/>
      <c r="E353" s="32"/>
      <c r="F353" s="32"/>
      <c r="G353" s="32"/>
    </row>
    <row r="354" ht="15.75" customHeight="1">
      <c r="A354" s="32"/>
      <c r="C354" s="32"/>
      <c r="D354" s="32"/>
      <c r="E354" s="32"/>
      <c r="F354" s="32"/>
      <c r="G354" s="32"/>
    </row>
    <row r="355" ht="15.75" customHeight="1">
      <c r="A355" s="32"/>
      <c r="C355" s="32"/>
      <c r="D355" s="32"/>
      <c r="E355" s="32"/>
      <c r="F355" s="32"/>
      <c r="G355" s="32"/>
    </row>
    <row r="356" ht="15.75" customHeight="1">
      <c r="A356" s="32"/>
      <c r="C356" s="32"/>
      <c r="D356" s="32"/>
      <c r="E356" s="32"/>
      <c r="F356" s="32"/>
      <c r="G356" s="32"/>
    </row>
    <row r="357" ht="15.75" customHeight="1">
      <c r="A357" s="32"/>
      <c r="C357" s="32"/>
      <c r="D357" s="32"/>
      <c r="E357" s="32"/>
      <c r="F357" s="32"/>
      <c r="G357" s="32"/>
    </row>
    <row r="358" ht="15.75" customHeight="1">
      <c r="A358" s="32"/>
      <c r="C358" s="32"/>
      <c r="D358" s="32"/>
      <c r="E358" s="32"/>
      <c r="F358" s="32"/>
      <c r="G358" s="32"/>
    </row>
    <row r="359" ht="15.75" customHeight="1">
      <c r="A359" s="32"/>
      <c r="C359" s="32"/>
      <c r="D359" s="32"/>
      <c r="E359" s="32"/>
      <c r="F359" s="32"/>
      <c r="G359" s="32"/>
    </row>
    <row r="360" ht="15.75" customHeight="1">
      <c r="A360" s="32"/>
      <c r="C360" s="32"/>
      <c r="D360" s="32"/>
      <c r="E360" s="32"/>
      <c r="F360" s="32"/>
      <c r="G360" s="32"/>
    </row>
    <row r="361" ht="15.75" customHeight="1">
      <c r="A361" s="32"/>
      <c r="C361" s="32"/>
      <c r="D361" s="32"/>
      <c r="E361" s="32"/>
      <c r="F361" s="32"/>
      <c r="G361" s="32"/>
    </row>
    <row r="362" ht="15.75" customHeight="1">
      <c r="A362" s="32"/>
      <c r="C362" s="32"/>
      <c r="D362" s="32"/>
      <c r="E362" s="32"/>
      <c r="F362" s="32"/>
      <c r="G362" s="32"/>
    </row>
    <row r="363" ht="15.75" customHeight="1">
      <c r="A363" s="32"/>
      <c r="C363" s="32"/>
      <c r="D363" s="32"/>
      <c r="E363" s="32"/>
      <c r="F363" s="32"/>
      <c r="G363" s="32"/>
    </row>
    <row r="364" ht="15.75" customHeight="1">
      <c r="A364" s="32"/>
      <c r="C364" s="32"/>
      <c r="D364" s="32"/>
      <c r="E364" s="32"/>
      <c r="F364" s="32"/>
      <c r="G364" s="32"/>
    </row>
    <row r="365" ht="15.75" customHeight="1">
      <c r="A365" s="32"/>
      <c r="C365" s="32"/>
      <c r="D365" s="32"/>
      <c r="E365" s="32"/>
      <c r="F365" s="32"/>
      <c r="G365" s="32"/>
    </row>
    <row r="366" ht="15.75" customHeight="1">
      <c r="A366" s="32"/>
      <c r="C366" s="32"/>
      <c r="D366" s="32"/>
      <c r="E366" s="32"/>
      <c r="F366" s="32"/>
      <c r="G366" s="32"/>
    </row>
    <row r="367" ht="15.75" customHeight="1">
      <c r="A367" s="32"/>
      <c r="C367" s="32"/>
      <c r="D367" s="32"/>
      <c r="E367" s="32"/>
      <c r="F367" s="32"/>
      <c r="G367" s="32"/>
    </row>
    <row r="368" ht="15.75" customHeight="1">
      <c r="A368" s="32"/>
      <c r="C368" s="32"/>
      <c r="D368" s="32"/>
      <c r="E368" s="32"/>
      <c r="F368" s="32"/>
      <c r="G368" s="32"/>
    </row>
    <row r="369" ht="15.75" customHeight="1">
      <c r="A369" s="32"/>
      <c r="C369" s="32"/>
      <c r="D369" s="32"/>
      <c r="E369" s="32"/>
      <c r="F369" s="32"/>
      <c r="G369" s="32"/>
    </row>
    <row r="370" ht="15.75" customHeight="1">
      <c r="A370" s="32"/>
      <c r="C370" s="32"/>
      <c r="D370" s="32"/>
      <c r="E370" s="32"/>
      <c r="F370" s="32"/>
      <c r="G370" s="32"/>
    </row>
    <row r="371" ht="15.75" customHeight="1">
      <c r="A371" s="32"/>
      <c r="C371" s="32"/>
      <c r="D371" s="32"/>
      <c r="E371" s="32"/>
      <c r="F371" s="32"/>
      <c r="G371" s="32"/>
    </row>
    <row r="372" ht="15.75" customHeight="1">
      <c r="A372" s="32"/>
      <c r="C372" s="32"/>
      <c r="D372" s="32"/>
      <c r="E372" s="32"/>
      <c r="F372" s="32"/>
      <c r="G372" s="32"/>
    </row>
    <row r="373" ht="15.75" customHeight="1">
      <c r="A373" s="32"/>
      <c r="C373" s="32"/>
      <c r="D373" s="32"/>
      <c r="E373" s="32"/>
      <c r="F373" s="32"/>
      <c r="G373" s="32"/>
    </row>
    <row r="374" ht="15.75" customHeight="1">
      <c r="A374" s="32"/>
      <c r="C374" s="32"/>
      <c r="D374" s="32"/>
      <c r="E374" s="32"/>
      <c r="F374" s="32"/>
      <c r="G374" s="32"/>
    </row>
    <row r="375" ht="15.75" customHeight="1">
      <c r="A375" s="32"/>
      <c r="C375" s="32"/>
      <c r="D375" s="32"/>
      <c r="E375" s="32"/>
      <c r="F375" s="32"/>
      <c r="G375" s="32"/>
    </row>
    <row r="376" ht="15.75" customHeight="1">
      <c r="A376" s="32"/>
      <c r="C376" s="32"/>
      <c r="D376" s="32"/>
      <c r="E376" s="32"/>
      <c r="F376" s="32"/>
      <c r="G376" s="32"/>
    </row>
    <row r="377" ht="15.75" customHeight="1">
      <c r="A377" s="32"/>
      <c r="C377" s="32"/>
      <c r="D377" s="32"/>
      <c r="E377" s="32"/>
      <c r="F377" s="32"/>
      <c r="G377" s="32"/>
    </row>
    <row r="378" ht="15.75" customHeight="1">
      <c r="A378" s="32"/>
      <c r="C378" s="32"/>
      <c r="D378" s="32"/>
      <c r="E378" s="32"/>
      <c r="F378" s="32"/>
      <c r="G378" s="32"/>
    </row>
    <row r="379" ht="15.75" customHeight="1">
      <c r="A379" s="32"/>
      <c r="C379" s="32"/>
      <c r="D379" s="32"/>
      <c r="E379" s="32"/>
      <c r="F379" s="32"/>
      <c r="G379" s="32"/>
    </row>
    <row r="380" ht="15.75" customHeight="1">
      <c r="A380" s="32"/>
      <c r="C380" s="32"/>
      <c r="D380" s="32"/>
      <c r="E380" s="32"/>
      <c r="F380" s="32"/>
      <c r="G380" s="32"/>
    </row>
    <row r="381" ht="15.75" customHeight="1">
      <c r="A381" s="32"/>
      <c r="C381" s="32"/>
      <c r="D381" s="32"/>
      <c r="E381" s="32"/>
      <c r="F381" s="32"/>
      <c r="G381" s="32"/>
    </row>
    <row r="382" ht="15.75" customHeight="1">
      <c r="A382" s="32"/>
      <c r="C382" s="32"/>
      <c r="D382" s="32"/>
      <c r="E382" s="32"/>
      <c r="F382" s="32"/>
      <c r="G382" s="32"/>
    </row>
    <row r="383" ht="15.75" customHeight="1">
      <c r="A383" s="32"/>
      <c r="C383" s="32"/>
      <c r="D383" s="32"/>
      <c r="E383" s="32"/>
      <c r="F383" s="32"/>
      <c r="G383" s="32"/>
    </row>
    <row r="384" ht="15.75" customHeight="1">
      <c r="A384" s="32"/>
      <c r="C384" s="32"/>
      <c r="D384" s="32"/>
      <c r="E384" s="32"/>
      <c r="F384" s="32"/>
      <c r="G384" s="32"/>
    </row>
    <row r="385" ht="15.75" customHeight="1">
      <c r="A385" s="32"/>
      <c r="C385" s="32"/>
      <c r="D385" s="32"/>
      <c r="E385" s="32"/>
      <c r="F385" s="32"/>
      <c r="G385" s="32"/>
    </row>
    <row r="386" ht="15.75" customHeight="1">
      <c r="A386" s="32"/>
      <c r="C386" s="32"/>
      <c r="D386" s="32"/>
      <c r="E386" s="32"/>
      <c r="F386" s="32"/>
      <c r="G386" s="32"/>
    </row>
    <row r="387" ht="15.75" customHeight="1">
      <c r="A387" s="32"/>
      <c r="C387" s="32"/>
      <c r="D387" s="32"/>
      <c r="E387" s="32"/>
      <c r="F387" s="32"/>
      <c r="G387" s="32"/>
    </row>
    <row r="388" ht="15.75" customHeight="1">
      <c r="A388" s="32"/>
      <c r="C388" s="32"/>
      <c r="D388" s="32"/>
      <c r="E388" s="32"/>
      <c r="F388" s="32"/>
      <c r="G388" s="32"/>
    </row>
    <row r="389" ht="15.75" customHeight="1">
      <c r="A389" s="32"/>
      <c r="C389" s="32"/>
      <c r="D389" s="32"/>
      <c r="E389" s="32"/>
      <c r="F389" s="32"/>
      <c r="G389" s="32"/>
    </row>
    <row r="390" ht="15.75" customHeight="1">
      <c r="A390" s="32"/>
      <c r="C390" s="32"/>
      <c r="D390" s="32"/>
      <c r="E390" s="32"/>
      <c r="F390" s="32"/>
      <c r="G390" s="32"/>
    </row>
    <row r="391" ht="15.75" customHeight="1">
      <c r="A391" s="32"/>
      <c r="C391" s="32"/>
      <c r="D391" s="32"/>
      <c r="E391" s="32"/>
      <c r="F391" s="32"/>
      <c r="G391" s="32"/>
    </row>
    <row r="392" ht="15.75" customHeight="1">
      <c r="A392" s="32"/>
      <c r="C392" s="32"/>
      <c r="D392" s="32"/>
      <c r="E392" s="32"/>
      <c r="F392" s="32"/>
      <c r="G392" s="32"/>
    </row>
    <row r="393" ht="15.75" customHeight="1">
      <c r="A393" s="32"/>
      <c r="C393" s="32"/>
      <c r="D393" s="32"/>
      <c r="E393" s="32"/>
      <c r="F393" s="32"/>
      <c r="G393" s="32"/>
    </row>
    <row r="394" ht="15.75" customHeight="1">
      <c r="A394" s="32"/>
      <c r="C394" s="32"/>
      <c r="D394" s="32"/>
      <c r="E394" s="32"/>
      <c r="F394" s="32"/>
      <c r="G394" s="32"/>
    </row>
    <row r="395" ht="15.75" customHeight="1">
      <c r="A395" s="32"/>
      <c r="C395" s="32"/>
      <c r="D395" s="32"/>
      <c r="E395" s="32"/>
      <c r="F395" s="32"/>
      <c r="G395" s="32"/>
    </row>
    <row r="396" ht="15.75" customHeight="1">
      <c r="A396" s="32"/>
      <c r="C396" s="32"/>
      <c r="D396" s="32"/>
      <c r="E396" s="32"/>
      <c r="F396" s="32"/>
      <c r="G396" s="32"/>
    </row>
    <row r="397" ht="15.75" customHeight="1">
      <c r="A397" s="32"/>
      <c r="C397" s="32"/>
      <c r="D397" s="32"/>
      <c r="E397" s="32"/>
      <c r="F397" s="32"/>
      <c r="G397" s="32"/>
    </row>
    <row r="398" ht="15.75" customHeight="1">
      <c r="A398" s="32"/>
      <c r="C398" s="32"/>
      <c r="D398" s="32"/>
      <c r="E398" s="32"/>
      <c r="F398" s="32"/>
      <c r="G398" s="32"/>
    </row>
    <row r="399" ht="15.75" customHeight="1">
      <c r="A399" s="32"/>
      <c r="C399" s="32"/>
      <c r="D399" s="32"/>
      <c r="E399" s="32"/>
      <c r="F399" s="32"/>
      <c r="G399" s="32"/>
    </row>
    <row r="400" ht="15.75" customHeight="1">
      <c r="A400" s="32"/>
      <c r="C400" s="32"/>
      <c r="D400" s="32"/>
      <c r="E400" s="32"/>
      <c r="F400" s="32"/>
      <c r="G400" s="32"/>
    </row>
    <row r="401" ht="15.75" customHeight="1">
      <c r="A401" s="32"/>
      <c r="C401" s="32"/>
      <c r="D401" s="32"/>
      <c r="E401" s="32"/>
      <c r="F401" s="32"/>
      <c r="G401" s="32"/>
    </row>
    <row r="402" ht="15.75" customHeight="1">
      <c r="A402" s="32"/>
      <c r="C402" s="32"/>
      <c r="D402" s="32"/>
      <c r="E402" s="32"/>
      <c r="F402" s="32"/>
      <c r="G402" s="32"/>
    </row>
    <row r="403" ht="15.75" customHeight="1">
      <c r="A403" s="32"/>
      <c r="C403" s="32"/>
      <c r="D403" s="32"/>
      <c r="E403" s="32"/>
      <c r="F403" s="32"/>
      <c r="G403" s="32"/>
    </row>
    <row r="404" ht="15.75" customHeight="1">
      <c r="A404" s="32"/>
      <c r="C404" s="32"/>
      <c r="D404" s="32"/>
      <c r="E404" s="32"/>
      <c r="F404" s="32"/>
      <c r="G404" s="32"/>
    </row>
    <row r="405" ht="15.75" customHeight="1">
      <c r="A405" s="32"/>
      <c r="C405" s="32"/>
      <c r="D405" s="32"/>
      <c r="E405" s="32"/>
      <c r="F405" s="32"/>
      <c r="G405" s="32"/>
    </row>
    <row r="406" ht="15.75" customHeight="1">
      <c r="A406" s="32"/>
      <c r="C406" s="32"/>
      <c r="D406" s="32"/>
      <c r="E406" s="32"/>
      <c r="F406" s="32"/>
      <c r="G406" s="32"/>
    </row>
    <row r="407" ht="15.75" customHeight="1">
      <c r="A407" s="32"/>
      <c r="C407" s="32"/>
      <c r="D407" s="32"/>
      <c r="E407" s="32"/>
      <c r="F407" s="32"/>
      <c r="G407" s="32"/>
    </row>
    <row r="408" ht="15.75" customHeight="1">
      <c r="A408" s="32"/>
      <c r="C408" s="32"/>
      <c r="D408" s="32"/>
      <c r="E408" s="32"/>
      <c r="F408" s="32"/>
      <c r="G408" s="32"/>
    </row>
    <row r="409" ht="15.75" customHeight="1">
      <c r="A409" s="32"/>
      <c r="C409" s="32"/>
      <c r="D409" s="32"/>
      <c r="E409" s="32"/>
      <c r="F409" s="32"/>
      <c r="G409" s="32"/>
    </row>
    <row r="410" ht="15.75" customHeight="1">
      <c r="A410" s="32"/>
      <c r="C410" s="32"/>
      <c r="D410" s="32"/>
      <c r="E410" s="32"/>
      <c r="F410" s="32"/>
      <c r="G410" s="32"/>
    </row>
    <row r="411" ht="15.75" customHeight="1">
      <c r="A411" s="32"/>
      <c r="C411" s="32"/>
      <c r="D411" s="32"/>
      <c r="E411" s="32"/>
      <c r="F411" s="32"/>
      <c r="G411" s="32"/>
    </row>
    <row r="412" ht="15.75" customHeight="1">
      <c r="A412" s="32"/>
      <c r="C412" s="32"/>
      <c r="D412" s="32"/>
      <c r="E412" s="32"/>
      <c r="F412" s="32"/>
      <c r="G412" s="32"/>
    </row>
    <row r="413" ht="15.75" customHeight="1">
      <c r="A413" s="32"/>
      <c r="C413" s="32"/>
      <c r="D413" s="32"/>
      <c r="E413" s="32"/>
      <c r="F413" s="32"/>
      <c r="G413" s="32"/>
    </row>
    <row r="414" ht="15.75" customHeight="1">
      <c r="A414" s="32"/>
      <c r="C414" s="32"/>
      <c r="D414" s="32"/>
      <c r="E414" s="32"/>
      <c r="F414" s="32"/>
      <c r="G414" s="32"/>
    </row>
    <row r="415" ht="15.75" customHeight="1">
      <c r="A415" s="32"/>
      <c r="C415" s="32"/>
      <c r="D415" s="32"/>
      <c r="E415" s="32"/>
      <c r="F415" s="32"/>
      <c r="G415" s="32"/>
    </row>
    <row r="416" ht="15.75" customHeight="1">
      <c r="A416" s="32"/>
      <c r="C416" s="32"/>
      <c r="D416" s="32"/>
      <c r="E416" s="32"/>
      <c r="F416" s="32"/>
      <c r="G416" s="32"/>
    </row>
    <row r="417" ht="15.75" customHeight="1">
      <c r="A417" s="32"/>
      <c r="C417" s="32"/>
      <c r="D417" s="32"/>
      <c r="E417" s="32"/>
      <c r="F417" s="32"/>
      <c r="G417" s="32"/>
    </row>
    <row r="418" ht="15.75" customHeight="1">
      <c r="A418" s="32"/>
      <c r="C418" s="32"/>
      <c r="D418" s="32"/>
      <c r="E418" s="32"/>
      <c r="F418" s="32"/>
      <c r="G418" s="32"/>
    </row>
    <row r="419" ht="15.75" customHeight="1">
      <c r="A419" s="32"/>
      <c r="C419" s="32"/>
      <c r="D419" s="32"/>
      <c r="E419" s="32"/>
      <c r="F419" s="32"/>
      <c r="G419" s="32"/>
    </row>
    <row r="420" ht="15.75" customHeight="1">
      <c r="A420" s="32"/>
      <c r="C420" s="32"/>
      <c r="D420" s="32"/>
      <c r="E420" s="32"/>
      <c r="F420" s="32"/>
      <c r="G420" s="32"/>
    </row>
    <row r="421" ht="15.75" customHeight="1">
      <c r="A421" s="32"/>
      <c r="C421" s="32"/>
      <c r="D421" s="32"/>
      <c r="E421" s="32"/>
      <c r="F421" s="32"/>
      <c r="G421" s="32"/>
    </row>
    <row r="422" ht="15.75" customHeight="1">
      <c r="A422" s="32"/>
      <c r="C422" s="32"/>
      <c r="D422" s="32"/>
      <c r="E422" s="32"/>
      <c r="F422" s="32"/>
      <c r="G422" s="32"/>
    </row>
    <row r="423" ht="15.75" customHeight="1">
      <c r="A423" s="32"/>
      <c r="C423" s="32"/>
      <c r="D423" s="32"/>
      <c r="E423" s="32"/>
      <c r="F423" s="32"/>
      <c r="G423" s="32"/>
    </row>
    <row r="424" ht="15.75" customHeight="1">
      <c r="A424" s="32"/>
      <c r="C424" s="32"/>
      <c r="D424" s="32"/>
      <c r="E424" s="32"/>
      <c r="F424" s="32"/>
      <c r="G424" s="32"/>
    </row>
    <row r="425" ht="15.75" customHeight="1">
      <c r="A425" s="32"/>
      <c r="C425" s="32"/>
      <c r="D425" s="32"/>
      <c r="E425" s="32"/>
      <c r="F425" s="32"/>
      <c r="G425" s="32"/>
    </row>
    <row r="426" ht="15.75" customHeight="1">
      <c r="A426" s="32"/>
      <c r="C426" s="32"/>
      <c r="D426" s="32"/>
      <c r="E426" s="32"/>
      <c r="F426" s="32"/>
      <c r="G426" s="32"/>
    </row>
    <row r="427" ht="15.75" customHeight="1">
      <c r="A427" s="32"/>
      <c r="C427" s="32"/>
      <c r="D427" s="32"/>
      <c r="E427" s="32"/>
      <c r="F427" s="32"/>
      <c r="G427" s="32"/>
    </row>
    <row r="428" ht="15.75" customHeight="1">
      <c r="A428" s="32"/>
      <c r="C428" s="32"/>
      <c r="D428" s="32"/>
      <c r="E428" s="32"/>
      <c r="F428" s="32"/>
      <c r="G428" s="32"/>
    </row>
    <row r="429" ht="15.75" customHeight="1">
      <c r="A429" s="32"/>
      <c r="C429" s="32"/>
      <c r="D429" s="32"/>
      <c r="E429" s="32"/>
      <c r="F429" s="32"/>
      <c r="G429" s="32"/>
    </row>
    <row r="430" ht="15.75" customHeight="1">
      <c r="A430" s="32"/>
      <c r="C430" s="32"/>
      <c r="D430" s="32"/>
      <c r="E430" s="32"/>
      <c r="F430" s="32"/>
      <c r="G430" s="32"/>
    </row>
    <row r="431" ht="15.75" customHeight="1">
      <c r="A431" s="32"/>
      <c r="C431" s="32"/>
      <c r="D431" s="32"/>
      <c r="E431" s="32"/>
      <c r="F431" s="32"/>
      <c r="G431" s="32"/>
    </row>
    <row r="432" ht="15.75" customHeight="1">
      <c r="A432" s="32"/>
      <c r="C432" s="32"/>
      <c r="D432" s="32"/>
      <c r="E432" s="32"/>
      <c r="F432" s="32"/>
      <c r="G432" s="32"/>
    </row>
    <row r="433" ht="15.75" customHeight="1">
      <c r="A433" s="32"/>
      <c r="C433" s="32"/>
      <c r="D433" s="32"/>
      <c r="E433" s="32"/>
      <c r="F433" s="32"/>
      <c r="G433" s="32"/>
    </row>
    <row r="434" ht="15.75" customHeight="1">
      <c r="A434" s="32"/>
      <c r="C434" s="32"/>
      <c r="D434" s="32"/>
      <c r="E434" s="32"/>
      <c r="F434" s="32"/>
      <c r="G434" s="32"/>
    </row>
    <row r="435" ht="15.75" customHeight="1">
      <c r="A435" s="32"/>
      <c r="C435" s="32"/>
      <c r="D435" s="32"/>
      <c r="E435" s="32"/>
      <c r="F435" s="32"/>
      <c r="G435" s="32"/>
    </row>
    <row r="436" ht="15.75" customHeight="1">
      <c r="A436" s="32"/>
      <c r="C436" s="32"/>
      <c r="D436" s="32"/>
      <c r="E436" s="32"/>
      <c r="F436" s="32"/>
      <c r="G436" s="32"/>
    </row>
    <row r="437" ht="15.75" customHeight="1">
      <c r="A437" s="32"/>
      <c r="C437" s="32"/>
      <c r="D437" s="32"/>
      <c r="E437" s="32"/>
      <c r="F437" s="32"/>
      <c r="G437" s="32"/>
    </row>
    <row r="438" ht="15.75" customHeight="1">
      <c r="A438" s="32"/>
      <c r="C438" s="32"/>
      <c r="D438" s="32"/>
      <c r="E438" s="32"/>
      <c r="F438" s="32"/>
      <c r="G438" s="32"/>
    </row>
    <row r="439" ht="15.75" customHeight="1">
      <c r="A439" s="32"/>
      <c r="C439" s="32"/>
      <c r="D439" s="32"/>
      <c r="E439" s="32"/>
      <c r="F439" s="32"/>
      <c r="G439" s="32"/>
    </row>
    <row r="440" ht="15.75" customHeight="1">
      <c r="A440" s="32"/>
      <c r="C440" s="32"/>
      <c r="D440" s="32"/>
      <c r="E440" s="32"/>
      <c r="F440" s="32"/>
      <c r="G440" s="32"/>
    </row>
    <row r="441" ht="15.75" customHeight="1">
      <c r="A441" s="32"/>
      <c r="C441" s="32"/>
      <c r="D441" s="32"/>
      <c r="E441" s="32"/>
      <c r="F441" s="32"/>
      <c r="G441" s="32"/>
    </row>
    <row r="442" ht="15.75" customHeight="1">
      <c r="A442" s="32"/>
      <c r="C442" s="32"/>
      <c r="D442" s="32"/>
      <c r="E442" s="32"/>
      <c r="F442" s="32"/>
      <c r="G442" s="32"/>
    </row>
    <row r="443" ht="15.75" customHeight="1">
      <c r="A443" s="32"/>
      <c r="C443" s="32"/>
      <c r="D443" s="32"/>
      <c r="E443" s="32"/>
      <c r="F443" s="32"/>
      <c r="G443" s="32"/>
    </row>
    <row r="444" ht="15.75" customHeight="1">
      <c r="A444" s="32"/>
      <c r="C444" s="32"/>
      <c r="D444" s="32"/>
      <c r="E444" s="32"/>
      <c r="F444" s="32"/>
      <c r="G444" s="32"/>
    </row>
    <row r="445" ht="15.75" customHeight="1">
      <c r="A445" s="32"/>
      <c r="C445" s="32"/>
      <c r="D445" s="32"/>
      <c r="E445" s="32"/>
      <c r="F445" s="32"/>
      <c r="G445" s="32"/>
    </row>
    <row r="446" ht="15.75" customHeight="1">
      <c r="A446" s="32"/>
      <c r="C446" s="32"/>
      <c r="D446" s="32"/>
      <c r="E446" s="32"/>
      <c r="F446" s="32"/>
      <c r="G446" s="32"/>
    </row>
    <row r="447" ht="15.75" customHeight="1">
      <c r="A447" s="32"/>
      <c r="C447" s="32"/>
      <c r="D447" s="32"/>
      <c r="E447" s="32"/>
      <c r="F447" s="32"/>
      <c r="G447" s="32"/>
    </row>
    <row r="448" ht="15.75" customHeight="1">
      <c r="A448" s="32"/>
      <c r="C448" s="32"/>
      <c r="D448" s="32"/>
      <c r="E448" s="32"/>
      <c r="F448" s="32"/>
      <c r="G448" s="32"/>
    </row>
    <row r="449" ht="15.75" customHeight="1">
      <c r="A449" s="32"/>
      <c r="C449" s="32"/>
      <c r="D449" s="32"/>
      <c r="E449" s="32"/>
      <c r="F449" s="32"/>
      <c r="G449" s="32"/>
    </row>
    <row r="450" ht="15.75" customHeight="1">
      <c r="A450" s="32"/>
      <c r="C450" s="32"/>
      <c r="D450" s="32"/>
      <c r="E450" s="32"/>
      <c r="F450" s="32"/>
      <c r="G450" s="32"/>
    </row>
    <row r="451" ht="15.75" customHeight="1">
      <c r="A451" s="32"/>
      <c r="C451" s="32"/>
      <c r="D451" s="32"/>
      <c r="E451" s="32"/>
      <c r="F451" s="32"/>
      <c r="G451" s="32"/>
    </row>
    <row r="452" ht="15.75" customHeight="1">
      <c r="A452" s="32"/>
      <c r="C452" s="32"/>
      <c r="D452" s="32"/>
      <c r="E452" s="32"/>
      <c r="F452" s="32"/>
      <c r="G452" s="32"/>
    </row>
    <row r="453" ht="15.75" customHeight="1">
      <c r="A453" s="32"/>
      <c r="C453" s="32"/>
      <c r="D453" s="32"/>
      <c r="E453" s="32"/>
      <c r="F453" s="32"/>
      <c r="G453" s="32"/>
    </row>
    <row r="454" ht="15.75" customHeight="1">
      <c r="A454" s="32"/>
      <c r="C454" s="32"/>
      <c r="D454" s="32"/>
      <c r="E454" s="32"/>
      <c r="F454" s="32"/>
      <c r="G454" s="32"/>
    </row>
    <row r="455" ht="15.75" customHeight="1">
      <c r="A455" s="32"/>
      <c r="C455" s="32"/>
      <c r="D455" s="32"/>
      <c r="E455" s="32"/>
      <c r="F455" s="32"/>
      <c r="G455" s="32"/>
    </row>
    <row r="456" ht="15.75" customHeight="1">
      <c r="A456" s="32"/>
      <c r="C456" s="32"/>
      <c r="D456" s="32"/>
      <c r="E456" s="32"/>
      <c r="F456" s="32"/>
      <c r="G456" s="32"/>
    </row>
    <row r="457" ht="15.75" customHeight="1">
      <c r="A457" s="32"/>
      <c r="C457" s="32"/>
      <c r="D457" s="32"/>
      <c r="E457" s="32"/>
      <c r="F457" s="32"/>
      <c r="G457" s="32"/>
    </row>
    <row r="458" ht="15.75" customHeight="1">
      <c r="A458" s="32"/>
      <c r="C458" s="32"/>
      <c r="D458" s="32"/>
      <c r="E458" s="32"/>
      <c r="F458" s="32"/>
      <c r="G458" s="32"/>
    </row>
    <row r="459" ht="15.75" customHeight="1">
      <c r="A459" s="32"/>
      <c r="C459" s="32"/>
      <c r="D459" s="32"/>
      <c r="E459" s="32"/>
      <c r="F459" s="32"/>
      <c r="G459" s="32"/>
    </row>
    <row r="460" ht="15.75" customHeight="1">
      <c r="A460" s="32"/>
      <c r="C460" s="32"/>
      <c r="D460" s="32"/>
      <c r="E460" s="32"/>
      <c r="F460" s="32"/>
      <c r="G460" s="32"/>
    </row>
    <row r="461" ht="15.75" customHeight="1">
      <c r="A461" s="32"/>
      <c r="C461" s="32"/>
      <c r="D461" s="32"/>
      <c r="E461" s="32"/>
      <c r="F461" s="32"/>
      <c r="G461" s="32"/>
    </row>
    <row r="462" ht="15.75" customHeight="1">
      <c r="A462" s="32"/>
      <c r="C462" s="32"/>
      <c r="D462" s="32"/>
      <c r="E462" s="32"/>
      <c r="F462" s="32"/>
      <c r="G462" s="32"/>
    </row>
    <row r="463" ht="15.75" customHeight="1">
      <c r="A463" s="32"/>
      <c r="C463" s="32"/>
      <c r="D463" s="32"/>
      <c r="E463" s="32"/>
      <c r="F463" s="32"/>
      <c r="G463" s="32"/>
    </row>
    <row r="464" ht="15.75" customHeight="1">
      <c r="A464" s="32"/>
      <c r="C464" s="32"/>
      <c r="D464" s="32"/>
      <c r="E464" s="32"/>
      <c r="F464" s="32"/>
      <c r="G464" s="32"/>
    </row>
    <row r="465" ht="15.75" customHeight="1">
      <c r="A465" s="32"/>
      <c r="C465" s="32"/>
      <c r="D465" s="32"/>
      <c r="E465" s="32"/>
      <c r="F465" s="32"/>
      <c r="G465" s="32"/>
    </row>
    <row r="466" ht="15.75" customHeight="1">
      <c r="A466" s="32"/>
      <c r="C466" s="32"/>
      <c r="D466" s="32"/>
      <c r="E466" s="32"/>
      <c r="F466" s="32"/>
      <c r="G466" s="32"/>
    </row>
    <row r="467" ht="15.75" customHeight="1">
      <c r="A467" s="32"/>
      <c r="C467" s="32"/>
      <c r="D467" s="32"/>
      <c r="E467" s="32"/>
      <c r="F467" s="32"/>
      <c r="G467" s="32"/>
    </row>
    <row r="468" ht="15.75" customHeight="1">
      <c r="A468" s="32"/>
      <c r="C468" s="32"/>
      <c r="D468" s="32"/>
      <c r="E468" s="32"/>
      <c r="F468" s="32"/>
      <c r="G468" s="32"/>
    </row>
    <row r="469" ht="15.75" customHeight="1">
      <c r="A469" s="32"/>
      <c r="C469" s="32"/>
      <c r="D469" s="32"/>
      <c r="E469" s="32"/>
      <c r="F469" s="32"/>
      <c r="G469" s="32"/>
    </row>
    <row r="470" ht="15.75" customHeight="1">
      <c r="A470" s="32"/>
      <c r="C470" s="32"/>
      <c r="D470" s="32"/>
      <c r="E470" s="32"/>
      <c r="F470" s="32"/>
      <c r="G470" s="32"/>
    </row>
    <row r="471" ht="15.75" customHeight="1">
      <c r="A471" s="32"/>
      <c r="C471" s="32"/>
      <c r="D471" s="32"/>
      <c r="E471" s="32"/>
      <c r="F471" s="32"/>
      <c r="G471" s="32"/>
    </row>
    <row r="472" ht="15.75" customHeight="1">
      <c r="A472" s="32"/>
      <c r="C472" s="32"/>
      <c r="D472" s="32"/>
      <c r="E472" s="32"/>
      <c r="F472" s="32"/>
      <c r="G472" s="32"/>
    </row>
    <row r="473" ht="15.75" customHeight="1">
      <c r="A473" s="32"/>
      <c r="C473" s="32"/>
      <c r="D473" s="32"/>
      <c r="E473" s="32"/>
      <c r="F473" s="32"/>
      <c r="G473" s="32"/>
    </row>
    <row r="474" ht="15.75" customHeight="1">
      <c r="A474" s="32"/>
      <c r="C474" s="32"/>
      <c r="D474" s="32"/>
      <c r="E474" s="32"/>
      <c r="F474" s="32"/>
      <c r="G474" s="32"/>
    </row>
    <row r="475" ht="15.75" customHeight="1">
      <c r="A475" s="32"/>
      <c r="C475" s="32"/>
      <c r="D475" s="32"/>
      <c r="E475" s="32"/>
      <c r="F475" s="32"/>
      <c r="G475" s="32"/>
    </row>
    <row r="476" ht="15.75" customHeight="1">
      <c r="A476" s="32"/>
      <c r="C476" s="32"/>
      <c r="D476" s="32"/>
      <c r="E476" s="32"/>
      <c r="F476" s="32"/>
      <c r="G476" s="32"/>
    </row>
    <row r="477" ht="15.75" customHeight="1">
      <c r="A477" s="32"/>
      <c r="C477" s="32"/>
      <c r="D477" s="32"/>
      <c r="E477" s="32"/>
      <c r="F477" s="32"/>
      <c r="G477" s="32"/>
    </row>
    <row r="478" ht="15.75" customHeight="1">
      <c r="A478" s="32"/>
      <c r="C478" s="32"/>
      <c r="D478" s="32"/>
      <c r="E478" s="32"/>
      <c r="F478" s="32"/>
      <c r="G478" s="32"/>
    </row>
    <row r="479" ht="15.75" customHeight="1">
      <c r="A479" s="32"/>
      <c r="C479" s="32"/>
      <c r="D479" s="32"/>
      <c r="E479" s="32"/>
      <c r="F479" s="32"/>
      <c r="G479" s="32"/>
    </row>
    <row r="480" ht="15.75" customHeight="1">
      <c r="A480" s="32"/>
      <c r="C480" s="32"/>
      <c r="D480" s="32"/>
      <c r="E480" s="32"/>
      <c r="F480" s="32"/>
      <c r="G480" s="32"/>
    </row>
    <row r="481" ht="15.75" customHeight="1">
      <c r="A481" s="32"/>
      <c r="C481" s="32"/>
      <c r="D481" s="32"/>
      <c r="E481" s="32"/>
      <c r="F481" s="32"/>
      <c r="G481" s="32"/>
    </row>
    <row r="482" ht="15.75" customHeight="1">
      <c r="A482" s="32"/>
      <c r="C482" s="32"/>
      <c r="D482" s="32"/>
      <c r="E482" s="32"/>
      <c r="F482" s="32"/>
      <c r="G482" s="32"/>
    </row>
    <row r="483" ht="15.75" customHeight="1">
      <c r="A483" s="32"/>
      <c r="C483" s="32"/>
      <c r="D483" s="32"/>
      <c r="E483" s="32"/>
      <c r="F483" s="32"/>
      <c r="G483" s="32"/>
    </row>
    <row r="484" ht="15.75" customHeight="1">
      <c r="A484" s="32"/>
      <c r="C484" s="32"/>
      <c r="D484" s="32"/>
      <c r="E484" s="32"/>
      <c r="F484" s="32"/>
      <c r="G484" s="32"/>
    </row>
    <row r="485" ht="15.75" customHeight="1">
      <c r="A485" s="32"/>
      <c r="C485" s="32"/>
      <c r="D485" s="32"/>
      <c r="E485" s="32"/>
      <c r="F485" s="32"/>
      <c r="G485" s="32"/>
    </row>
    <row r="486" ht="15.75" customHeight="1">
      <c r="A486" s="32"/>
      <c r="C486" s="32"/>
      <c r="D486" s="32"/>
      <c r="E486" s="32"/>
      <c r="F486" s="32"/>
      <c r="G486" s="32"/>
    </row>
    <row r="487" ht="15.75" customHeight="1">
      <c r="A487" s="32"/>
      <c r="C487" s="32"/>
      <c r="D487" s="32"/>
      <c r="E487" s="32"/>
      <c r="F487" s="32"/>
      <c r="G487" s="32"/>
    </row>
    <row r="488" ht="15.75" customHeight="1">
      <c r="A488" s="32"/>
      <c r="C488" s="32"/>
      <c r="D488" s="32"/>
      <c r="E488" s="32"/>
      <c r="F488" s="32"/>
      <c r="G488" s="32"/>
    </row>
    <row r="489" ht="15.75" customHeight="1">
      <c r="A489" s="32"/>
      <c r="C489" s="32"/>
      <c r="D489" s="32"/>
      <c r="E489" s="32"/>
      <c r="F489" s="32"/>
      <c r="G489" s="32"/>
    </row>
    <row r="490" ht="15.75" customHeight="1">
      <c r="A490" s="32"/>
      <c r="C490" s="32"/>
      <c r="D490" s="32"/>
      <c r="E490" s="32"/>
      <c r="F490" s="32"/>
      <c r="G490" s="32"/>
    </row>
    <row r="491" ht="15.75" customHeight="1">
      <c r="A491" s="32"/>
      <c r="C491" s="32"/>
      <c r="D491" s="32"/>
      <c r="E491" s="32"/>
      <c r="F491" s="32"/>
      <c r="G491" s="32"/>
    </row>
    <row r="492" ht="15.75" customHeight="1">
      <c r="A492" s="32"/>
      <c r="C492" s="32"/>
      <c r="D492" s="32"/>
      <c r="E492" s="32"/>
      <c r="F492" s="32"/>
      <c r="G492" s="32"/>
    </row>
    <row r="493" ht="15.75" customHeight="1">
      <c r="A493" s="32"/>
      <c r="C493" s="32"/>
      <c r="D493" s="32"/>
      <c r="E493" s="32"/>
      <c r="F493" s="32"/>
      <c r="G493" s="32"/>
    </row>
    <row r="494" ht="15.75" customHeight="1">
      <c r="A494" s="32"/>
      <c r="C494" s="32"/>
      <c r="D494" s="32"/>
      <c r="E494" s="32"/>
      <c r="F494" s="32"/>
      <c r="G494" s="32"/>
    </row>
    <row r="495" ht="15.75" customHeight="1">
      <c r="A495" s="32"/>
      <c r="C495" s="32"/>
      <c r="D495" s="32"/>
      <c r="E495" s="32"/>
      <c r="F495" s="32"/>
      <c r="G495" s="32"/>
    </row>
    <row r="496" ht="15.75" customHeight="1">
      <c r="A496" s="32"/>
      <c r="C496" s="32"/>
      <c r="D496" s="32"/>
      <c r="E496" s="32"/>
      <c r="F496" s="32"/>
      <c r="G496" s="32"/>
    </row>
    <row r="497" ht="15.75" customHeight="1">
      <c r="A497" s="32"/>
      <c r="C497" s="32"/>
      <c r="D497" s="32"/>
      <c r="E497" s="32"/>
      <c r="F497" s="32"/>
      <c r="G497" s="32"/>
    </row>
    <row r="498" ht="15.75" customHeight="1">
      <c r="A498" s="32"/>
      <c r="C498" s="32"/>
      <c r="D498" s="32"/>
      <c r="E498" s="32"/>
      <c r="F498" s="32"/>
      <c r="G498" s="32"/>
    </row>
    <row r="499" ht="15.75" customHeight="1">
      <c r="A499" s="32"/>
      <c r="C499" s="32"/>
      <c r="D499" s="32"/>
      <c r="E499" s="32"/>
      <c r="F499" s="32"/>
      <c r="G499" s="32"/>
    </row>
    <row r="500" ht="15.75" customHeight="1">
      <c r="A500" s="32"/>
      <c r="C500" s="32"/>
      <c r="D500" s="32"/>
      <c r="E500" s="32"/>
      <c r="F500" s="32"/>
      <c r="G500" s="32"/>
    </row>
    <row r="501" ht="15.75" customHeight="1">
      <c r="A501" s="32"/>
      <c r="C501" s="32"/>
      <c r="D501" s="32"/>
      <c r="E501" s="32"/>
      <c r="F501" s="32"/>
      <c r="G501" s="32"/>
    </row>
    <row r="502" ht="15.75" customHeight="1">
      <c r="A502" s="32"/>
      <c r="C502" s="32"/>
      <c r="D502" s="32"/>
      <c r="E502" s="32"/>
      <c r="F502" s="32"/>
      <c r="G502" s="32"/>
    </row>
    <row r="503" ht="15.75" customHeight="1">
      <c r="A503" s="32"/>
      <c r="C503" s="32"/>
      <c r="D503" s="32"/>
      <c r="E503" s="32"/>
      <c r="F503" s="32"/>
      <c r="G503" s="32"/>
    </row>
    <row r="504" ht="15.75" customHeight="1">
      <c r="A504" s="32"/>
      <c r="C504" s="32"/>
      <c r="D504" s="32"/>
      <c r="E504" s="32"/>
      <c r="F504" s="32"/>
      <c r="G504" s="32"/>
    </row>
    <row r="505" ht="15.75" customHeight="1">
      <c r="A505" s="32"/>
      <c r="C505" s="32"/>
      <c r="D505" s="32"/>
      <c r="E505" s="32"/>
      <c r="F505" s="32"/>
      <c r="G505" s="32"/>
    </row>
    <row r="506" ht="15.75" customHeight="1">
      <c r="A506" s="32"/>
      <c r="C506" s="32"/>
      <c r="D506" s="32"/>
      <c r="E506" s="32"/>
      <c r="F506" s="32"/>
      <c r="G506" s="32"/>
    </row>
    <row r="507" ht="15.75" customHeight="1">
      <c r="A507" s="32"/>
      <c r="C507" s="32"/>
      <c r="D507" s="32"/>
      <c r="E507" s="32"/>
      <c r="F507" s="32"/>
      <c r="G507" s="32"/>
    </row>
    <row r="508" ht="15.75" customHeight="1">
      <c r="A508" s="32"/>
      <c r="C508" s="32"/>
      <c r="D508" s="32"/>
      <c r="E508" s="32"/>
      <c r="F508" s="32"/>
      <c r="G508" s="32"/>
    </row>
    <row r="509" ht="15.75" customHeight="1">
      <c r="A509" s="32"/>
      <c r="C509" s="32"/>
      <c r="D509" s="32"/>
      <c r="E509" s="32"/>
      <c r="F509" s="32"/>
      <c r="G509" s="32"/>
    </row>
    <row r="510" ht="15.75" customHeight="1">
      <c r="A510" s="32"/>
      <c r="C510" s="32"/>
      <c r="D510" s="32"/>
      <c r="E510" s="32"/>
      <c r="F510" s="32"/>
      <c r="G510" s="32"/>
    </row>
    <row r="511" ht="15.75" customHeight="1">
      <c r="A511" s="32"/>
      <c r="C511" s="32"/>
      <c r="D511" s="32"/>
      <c r="E511" s="32"/>
      <c r="F511" s="32"/>
      <c r="G511" s="32"/>
    </row>
    <row r="512" ht="15.75" customHeight="1">
      <c r="A512" s="32"/>
      <c r="C512" s="32"/>
      <c r="D512" s="32"/>
      <c r="E512" s="32"/>
      <c r="F512" s="32"/>
      <c r="G512" s="32"/>
    </row>
    <row r="513" ht="15.75" customHeight="1">
      <c r="A513" s="32"/>
      <c r="C513" s="32"/>
      <c r="D513" s="32"/>
      <c r="E513" s="32"/>
      <c r="F513" s="32"/>
      <c r="G513" s="32"/>
    </row>
    <row r="514" ht="15.75" customHeight="1">
      <c r="A514" s="32"/>
      <c r="C514" s="32"/>
      <c r="D514" s="32"/>
      <c r="E514" s="32"/>
      <c r="F514" s="32"/>
      <c r="G514" s="32"/>
    </row>
    <row r="515" ht="15.75" customHeight="1">
      <c r="A515" s="32"/>
      <c r="C515" s="32"/>
      <c r="D515" s="32"/>
      <c r="E515" s="32"/>
      <c r="F515" s="32"/>
      <c r="G515" s="32"/>
    </row>
    <row r="516" ht="15.75" customHeight="1">
      <c r="A516" s="32"/>
      <c r="C516" s="32"/>
      <c r="D516" s="32"/>
      <c r="E516" s="32"/>
      <c r="F516" s="32"/>
      <c r="G516" s="32"/>
    </row>
    <row r="517" ht="15.75" customHeight="1">
      <c r="A517" s="32"/>
      <c r="C517" s="32"/>
      <c r="D517" s="32"/>
      <c r="E517" s="32"/>
      <c r="F517" s="32"/>
      <c r="G517" s="32"/>
    </row>
    <row r="518" ht="15.75" customHeight="1">
      <c r="A518" s="32"/>
      <c r="C518" s="32"/>
      <c r="D518" s="32"/>
      <c r="E518" s="32"/>
      <c r="F518" s="32"/>
      <c r="G518" s="32"/>
    </row>
    <row r="519" ht="15.75" customHeight="1">
      <c r="A519" s="32"/>
      <c r="C519" s="32"/>
      <c r="D519" s="32"/>
      <c r="E519" s="32"/>
      <c r="F519" s="32"/>
      <c r="G519" s="32"/>
    </row>
    <row r="520" ht="15.75" customHeight="1">
      <c r="A520" s="32"/>
      <c r="C520" s="32"/>
      <c r="D520" s="32"/>
      <c r="E520" s="32"/>
      <c r="F520" s="32"/>
      <c r="G520" s="32"/>
    </row>
    <row r="521" ht="15.75" customHeight="1">
      <c r="A521" s="32"/>
      <c r="C521" s="32"/>
      <c r="D521" s="32"/>
      <c r="E521" s="32"/>
      <c r="F521" s="32"/>
      <c r="G521" s="32"/>
    </row>
    <row r="522" ht="15.75" customHeight="1">
      <c r="A522" s="32"/>
      <c r="C522" s="32"/>
      <c r="D522" s="32"/>
      <c r="E522" s="32"/>
      <c r="F522" s="32"/>
      <c r="G522" s="32"/>
    </row>
    <row r="523" ht="15.75" customHeight="1">
      <c r="A523" s="32"/>
      <c r="C523" s="32"/>
      <c r="D523" s="32"/>
      <c r="E523" s="32"/>
      <c r="F523" s="32"/>
      <c r="G523" s="32"/>
    </row>
    <row r="524" ht="15.75" customHeight="1">
      <c r="A524" s="32"/>
      <c r="C524" s="32"/>
      <c r="D524" s="32"/>
      <c r="E524" s="32"/>
      <c r="F524" s="32"/>
      <c r="G524" s="32"/>
    </row>
    <row r="525" ht="15.75" customHeight="1">
      <c r="A525" s="32"/>
      <c r="C525" s="32"/>
      <c r="D525" s="32"/>
      <c r="E525" s="32"/>
      <c r="F525" s="32"/>
      <c r="G525" s="32"/>
    </row>
    <row r="526" ht="15.75" customHeight="1">
      <c r="A526" s="32"/>
      <c r="C526" s="32"/>
      <c r="D526" s="32"/>
      <c r="E526" s="32"/>
      <c r="F526" s="32"/>
      <c r="G526" s="32"/>
    </row>
    <row r="527" ht="15.75" customHeight="1">
      <c r="A527" s="32"/>
      <c r="C527" s="32"/>
      <c r="D527" s="32"/>
      <c r="E527" s="32"/>
      <c r="F527" s="32"/>
      <c r="G527" s="32"/>
    </row>
    <row r="528" ht="15.75" customHeight="1">
      <c r="A528" s="32"/>
      <c r="C528" s="32"/>
      <c r="D528" s="32"/>
      <c r="E528" s="32"/>
      <c r="F528" s="32"/>
      <c r="G528" s="32"/>
    </row>
    <row r="529" ht="15.75" customHeight="1">
      <c r="A529" s="32"/>
      <c r="C529" s="32"/>
      <c r="D529" s="32"/>
      <c r="E529" s="32"/>
      <c r="F529" s="32"/>
      <c r="G529" s="32"/>
    </row>
    <row r="530" ht="15.75" customHeight="1">
      <c r="A530" s="32"/>
      <c r="C530" s="32"/>
      <c r="D530" s="32"/>
      <c r="E530" s="32"/>
      <c r="F530" s="32"/>
      <c r="G530" s="32"/>
    </row>
    <row r="531" ht="15.75" customHeight="1">
      <c r="A531" s="32"/>
      <c r="C531" s="32"/>
      <c r="D531" s="32"/>
      <c r="E531" s="32"/>
      <c r="F531" s="32"/>
      <c r="G531" s="32"/>
    </row>
    <row r="532" ht="15.75" customHeight="1">
      <c r="A532" s="32"/>
      <c r="C532" s="32"/>
      <c r="D532" s="32"/>
      <c r="E532" s="32"/>
      <c r="F532" s="32"/>
      <c r="G532" s="32"/>
    </row>
    <row r="533" ht="15.75" customHeight="1">
      <c r="A533" s="32"/>
      <c r="C533" s="32"/>
      <c r="D533" s="32"/>
      <c r="E533" s="32"/>
      <c r="F533" s="32"/>
      <c r="G533" s="32"/>
    </row>
    <row r="534" ht="15.75" customHeight="1">
      <c r="A534" s="32"/>
      <c r="C534" s="32"/>
      <c r="D534" s="32"/>
      <c r="E534" s="32"/>
      <c r="F534" s="32"/>
      <c r="G534" s="32"/>
    </row>
    <row r="535" ht="15.75" customHeight="1">
      <c r="A535" s="32"/>
      <c r="C535" s="32"/>
      <c r="D535" s="32"/>
      <c r="E535" s="32"/>
      <c r="F535" s="32"/>
      <c r="G535" s="32"/>
    </row>
    <row r="536" ht="15.75" customHeight="1">
      <c r="A536" s="32"/>
      <c r="C536" s="32"/>
      <c r="D536" s="32"/>
      <c r="E536" s="32"/>
      <c r="F536" s="32"/>
      <c r="G536" s="32"/>
    </row>
    <row r="537" ht="15.75" customHeight="1">
      <c r="A537" s="32"/>
      <c r="C537" s="32"/>
      <c r="D537" s="32"/>
      <c r="E537" s="32"/>
      <c r="F537" s="32"/>
      <c r="G537" s="32"/>
    </row>
    <row r="538" ht="15.75" customHeight="1">
      <c r="A538" s="32"/>
      <c r="C538" s="32"/>
      <c r="D538" s="32"/>
      <c r="E538" s="32"/>
      <c r="F538" s="32"/>
      <c r="G538" s="32"/>
    </row>
    <row r="539" ht="15.75" customHeight="1">
      <c r="A539" s="32"/>
      <c r="C539" s="32"/>
      <c r="D539" s="32"/>
      <c r="E539" s="32"/>
      <c r="F539" s="32"/>
      <c r="G539" s="32"/>
    </row>
    <row r="540" ht="15.75" customHeight="1">
      <c r="A540" s="32"/>
      <c r="C540" s="32"/>
      <c r="D540" s="32"/>
      <c r="E540" s="32"/>
      <c r="F540" s="32"/>
      <c r="G540" s="32"/>
    </row>
    <row r="541" ht="15.75" customHeight="1">
      <c r="A541" s="32"/>
      <c r="C541" s="32"/>
      <c r="D541" s="32"/>
      <c r="E541" s="32"/>
      <c r="F541" s="32"/>
      <c r="G541" s="32"/>
    </row>
    <row r="542" ht="15.75" customHeight="1">
      <c r="A542" s="32"/>
      <c r="C542" s="32"/>
      <c r="D542" s="32"/>
      <c r="E542" s="32"/>
      <c r="F542" s="32"/>
      <c r="G542" s="32"/>
    </row>
    <row r="543" ht="15.75" customHeight="1">
      <c r="A543" s="32"/>
      <c r="C543" s="32"/>
      <c r="D543" s="32"/>
      <c r="E543" s="32"/>
      <c r="F543" s="32"/>
      <c r="G543" s="32"/>
    </row>
    <row r="544" ht="15.75" customHeight="1">
      <c r="A544" s="32"/>
      <c r="C544" s="32"/>
      <c r="D544" s="32"/>
      <c r="E544" s="32"/>
      <c r="F544" s="32"/>
      <c r="G544" s="32"/>
    </row>
    <row r="545" ht="15.75" customHeight="1">
      <c r="A545" s="32"/>
      <c r="C545" s="32"/>
      <c r="D545" s="32"/>
      <c r="E545" s="32"/>
      <c r="F545" s="32"/>
      <c r="G545" s="32"/>
    </row>
    <row r="546" ht="15.75" customHeight="1">
      <c r="A546" s="32"/>
      <c r="C546" s="32"/>
      <c r="D546" s="32"/>
      <c r="E546" s="32"/>
      <c r="F546" s="32"/>
      <c r="G546" s="32"/>
    </row>
    <row r="547" ht="15.75" customHeight="1">
      <c r="A547" s="32"/>
      <c r="C547" s="32"/>
      <c r="D547" s="32"/>
      <c r="E547" s="32"/>
      <c r="F547" s="32"/>
      <c r="G547" s="32"/>
    </row>
    <row r="548" ht="15.75" customHeight="1">
      <c r="A548" s="32"/>
      <c r="C548" s="32"/>
      <c r="D548" s="32"/>
      <c r="E548" s="32"/>
      <c r="F548" s="32"/>
      <c r="G548" s="32"/>
    </row>
    <row r="549" ht="15.75" customHeight="1">
      <c r="A549" s="32"/>
      <c r="C549" s="32"/>
      <c r="D549" s="32"/>
      <c r="E549" s="32"/>
      <c r="F549" s="32"/>
      <c r="G549" s="32"/>
    </row>
    <row r="550" ht="15.75" customHeight="1">
      <c r="A550" s="32"/>
      <c r="C550" s="32"/>
      <c r="D550" s="32"/>
      <c r="E550" s="32"/>
      <c r="F550" s="32"/>
      <c r="G550" s="32"/>
    </row>
    <row r="551" ht="15.75" customHeight="1">
      <c r="A551" s="32"/>
      <c r="C551" s="32"/>
      <c r="D551" s="32"/>
      <c r="E551" s="32"/>
      <c r="F551" s="32"/>
      <c r="G551" s="32"/>
    </row>
    <row r="552" ht="15.75" customHeight="1">
      <c r="A552" s="32"/>
      <c r="C552" s="32"/>
      <c r="D552" s="32"/>
      <c r="E552" s="32"/>
      <c r="F552" s="32"/>
      <c r="G552" s="32"/>
    </row>
    <row r="553" ht="15.75" customHeight="1">
      <c r="A553" s="32"/>
      <c r="C553" s="32"/>
      <c r="D553" s="32"/>
      <c r="E553" s="32"/>
      <c r="F553" s="32"/>
      <c r="G553" s="32"/>
    </row>
    <row r="554" ht="15.75" customHeight="1">
      <c r="A554" s="32"/>
      <c r="C554" s="32"/>
      <c r="D554" s="32"/>
      <c r="E554" s="32"/>
      <c r="F554" s="32"/>
      <c r="G554" s="32"/>
    </row>
    <row r="555" ht="15.75" customHeight="1">
      <c r="A555" s="32"/>
      <c r="C555" s="32"/>
      <c r="D555" s="32"/>
      <c r="E555" s="32"/>
      <c r="F555" s="32"/>
      <c r="G555" s="32"/>
    </row>
    <row r="556" ht="15.75" customHeight="1">
      <c r="A556" s="32"/>
      <c r="C556" s="32"/>
      <c r="D556" s="32"/>
      <c r="E556" s="32"/>
      <c r="F556" s="32"/>
      <c r="G556" s="32"/>
    </row>
    <row r="557" ht="15.75" customHeight="1">
      <c r="A557" s="32"/>
      <c r="C557" s="32"/>
      <c r="D557" s="32"/>
      <c r="E557" s="32"/>
      <c r="F557" s="32"/>
      <c r="G557" s="32"/>
    </row>
    <row r="558" ht="15.75" customHeight="1">
      <c r="A558" s="32"/>
      <c r="C558" s="32"/>
      <c r="D558" s="32"/>
      <c r="E558" s="32"/>
      <c r="F558" s="32"/>
      <c r="G558" s="32"/>
    </row>
    <row r="559" ht="15.75" customHeight="1">
      <c r="A559" s="32"/>
      <c r="C559" s="32"/>
      <c r="D559" s="32"/>
      <c r="E559" s="32"/>
      <c r="F559" s="32"/>
      <c r="G559" s="32"/>
    </row>
    <row r="560" ht="15.75" customHeight="1">
      <c r="A560" s="32"/>
      <c r="C560" s="32"/>
      <c r="D560" s="32"/>
      <c r="E560" s="32"/>
      <c r="F560" s="32"/>
      <c r="G560" s="32"/>
    </row>
    <row r="561" ht="15.75" customHeight="1">
      <c r="A561" s="32"/>
      <c r="C561" s="32"/>
      <c r="D561" s="32"/>
      <c r="E561" s="32"/>
      <c r="F561" s="32"/>
      <c r="G561" s="32"/>
    </row>
    <row r="562" ht="15.75" customHeight="1">
      <c r="A562" s="32"/>
      <c r="C562" s="32"/>
      <c r="D562" s="32"/>
      <c r="E562" s="32"/>
      <c r="F562" s="32"/>
      <c r="G562" s="32"/>
    </row>
    <row r="563" ht="15.75" customHeight="1">
      <c r="A563" s="32"/>
      <c r="C563" s="32"/>
      <c r="D563" s="32"/>
      <c r="E563" s="32"/>
      <c r="F563" s="32"/>
      <c r="G563" s="32"/>
    </row>
    <row r="564" ht="15.75" customHeight="1">
      <c r="A564" s="32"/>
      <c r="C564" s="32"/>
      <c r="D564" s="32"/>
      <c r="E564" s="32"/>
      <c r="F564" s="32"/>
      <c r="G564" s="32"/>
    </row>
    <row r="565" ht="15.75" customHeight="1">
      <c r="A565" s="32"/>
      <c r="C565" s="32"/>
      <c r="D565" s="32"/>
      <c r="E565" s="32"/>
      <c r="F565" s="32"/>
      <c r="G565" s="32"/>
    </row>
    <row r="566" ht="15.75" customHeight="1">
      <c r="A566" s="32"/>
      <c r="C566" s="32"/>
      <c r="D566" s="32"/>
      <c r="E566" s="32"/>
      <c r="F566" s="32"/>
      <c r="G566" s="32"/>
    </row>
    <row r="567" ht="15.75" customHeight="1">
      <c r="A567" s="32"/>
      <c r="C567" s="32"/>
      <c r="D567" s="32"/>
      <c r="E567" s="32"/>
      <c r="F567" s="32"/>
      <c r="G567" s="32"/>
    </row>
    <row r="568" ht="15.75" customHeight="1">
      <c r="A568" s="32"/>
      <c r="C568" s="32"/>
      <c r="D568" s="32"/>
      <c r="E568" s="32"/>
      <c r="F568" s="32"/>
      <c r="G568" s="32"/>
    </row>
    <row r="569" ht="15.75" customHeight="1">
      <c r="A569" s="32"/>
      <c r="C569" s="32"/>
      <c r="D569" s="32"/>
      <c r="E569" s="32"/>
      <c r="F569" s="32"/>
      <c r="G569" s="32"/>
    </row>
    <row r="570" ht="15.75" customHeight="1">
      <c r="A570" s="32"/>
      <c r="C570" s="32"/>
      <c r="D570" s="32"/>
      <c r="E570" s="32"/>
      <c r="F570" s="32"/>
      <c r="G570" s="32"/>
    </row>
    <row r="571" ht="15.75" customHeight="1">
      <c r="A571" s="32"/>
      <c r="C571" s="32"/>
      <c r="D571" s="32"/>
      <c r="E571" s="32"/>
      <c r="F571" s="32"/>
      <c r="G571" s="32"/>
    </row>
    <row r="572" ht="15.75" customHeight="1">
      <c r="A572" s="32"/>
      <c r="C572" s="32"/>
      <c r="D572" s="32"/>
      <c r="E572" s="32"/>
      <c r="F572" s="32"/>
      <c r="G572" s="32"/>
    </row>
    <row r="573" ht="15.75" customHeight="1">
      <c r="A573" s="32"/>
      <c r="C573" s="32"/>
      <c r="D573" s="32"/>
      <c r="E573" s="32"/>
      <c r="F573" s="32"/>
      <c r="G573" s="32"/>
    </row>
    <row r="574" ht="15.75" customHeight="1">
      <c r="A574" s="32"/>
      <c r="C574" s="32"/>
      <c r="D574" s="32"/>
      <c r="E574" s="32"/>
      <c r="F574" s="32"/>
      <c r="G574" s="32"/>
    </row>
    <row r="575" ht="15.75" customHeight="1">
      <c r="A575" s="32"/>
      <c r="C575" s="32"/>
      <c r="D575" s="32"/>
      <c r="E575" s="32"/>
      <c r="F575" s="32"/>
      <c r="G575" s="32"/>
    </row>
    <row r="576" ht="15.75" customHeight="1">
      <c r="A576" s="32"/>
      <c r="C576" s="32"/>
      <c r="D576" s="32"/>
      <c r="E576" s="32"/>
      <c r="F576" s="32"/>
      <c r="G576" s="32"/>
    </row>
    <row r="577" ht="15.75" customHeight="1">
      <c r="A577" s="32"/>
      <c r="C577" s="32"/>
      <c r="D577" s="32"/>
      <c r="E577" s="32"/>
      <c r="F577" s="32"/>
      <c r="G577" s="32"/>
    </row>
    <row r="578" ht="15.75" customHeight="1">
      <c r="A578" s="32"/>
      <c r="C578" s="32"/>
      <c r="D578" s="32"/>
      <c r="E578" s="32"/>
      <c r="F578" s="32"/>
      <c r="G578" s="32"/>
    </row>
    <row r="579" ht="15.75" customHeight="1">
      <c r="A579" s="32"/>
      <c r="C579" s="32"/>
      <c r="D579" s="32"/>
      <c r="E579" s="32"/>
      <c r="F579" s="32"/>
      <c r="G579" s="32"/>
    </row>
    <row r="580" ht="15.75" customHeight="1">
      <c r="A580" s="32"/>
      <c r="C580" s="32"/>
      <c r="D580" s="32"/>
      <c r="E580" s="32"/>
      <c r="F580" s="32"/>
      <c r="G580" s="32"/>
    </row>
    <row r="581" ht="15.75" customHeight="1">
      <c r="A581" s="32"/>
      <c r="C581" s="32"/>
      <c r="D581" s="32"/>
      <c r="E581" s="32"/>
      <c r="F581" s="32"/>
      <c r="G581" s="32"/>
    </row>
    <row r="582" ht="15.75" customHeight="1">
      <c r="A582" s="32"/>
      <c r="C582" s="32"/>
      <c r="D582" s="32"/>
      <c r="E582" s="32"/>
      <c r="F582" s="32"/>
      <c r="G582" s="32"/>
    </row>
    <row r="583" ht="15.75" customHeight="1">
      <c r="A583" s="32"/>
      <c r="C583" s="32"/>
      <c r="D583" s="32"/>
      <c r="E583" s="32"/>
      <c r="F583" s="32"/>
      <c r="G583" s="32"/>
    </row>
    <row r="584" ht="15.75" customHeight="1">
      <c r="A584" s="32"/>
      <c r="C584" s="32"/>
      <c r="D584" s="32"/>
      <c r="E584" s="32"/>
      <c r="F584" s="32"/>
      <c r="G584" s="32"/>
    </row>
    <row r="585" ht="15.75" customHeight="1">
      <c r="A585" s="32"/>
      <c r="C585" s="32"/>
      <c r="D585" s="32"/>
      <c r="E585" s="32"/>
      <c r="F585" s="32"/>
      <c r="G585" s="32"/>
    </row>
    <row r="586" ht="15.75" customHeight="1">
      <c r="A586" s="32"/>
      <c r="C586" s="32"/>
      <c r="D586" s="32"/>
      <c r="E586" s="32"/>
      <c r="F586" s="32"/>
      <c r="G586" s="32"/>
    </row>
    <row r="587" ht="15.75" customHeight="1">
      <c r="A587" s="32"/>
      <c r="C587" s="32"/>
      <c r="D587" s="32"/>
      <c r="E587" s="32"/>
      <c r="F587" s="32"/>
      <c r="G587" s="32"/>
    </row>
    <row r="588" ht="15.75" customHeight="1">
      <c r="A588" s="32"/>
      <c r="C588" s="32"/>
      <c r="D588" s="32"/>
      <c r="E588" s="32"/>
      <c r="F588" s="32"/>
      <c r="G588" s="32"/>
    </row>
    <row r="589" ht="15.75" customHeight="1">
      <c r="A589" s="32"/>
      <c r="C589" s="32"/>
      <c r="D589" s="32"/>
      <c r="E589" s="32"/>
      <c r="F589" s="32"/>
      <c r="G589" s="32"/>
    </row>
    <row r="590" ht="15.75" customHeight="1">
      <c r="A590" s="32"/>
      <c r="C590" s="32"/>
      <c r="D590" s="32"/>
      <c r="E590" s="32"/>
      <c r="F590" s="32"/>
      <c r="G590" s="32"/>
    </row>
    <row r="591" ht="15.75" customHeight="1">
      <c r="A591" s="32"/>
      <c r="C591" s="32"/>
      <c r="D591" s="32"/>
      <c r="E591" s="32"/>
      <c r="F591" s="32"/>
      <c r="G591" s="32"/>
    </row>
    <row r="592" ht="15.75" customHeight="1">
      <c r="A592" s="32"/>
      <c r="C592" s="32"/>
      <c r="D592" s="32"/>
      <c r="E592" s="32"/>
      <c r="F592" s="32"/>
      <c r="G592" s="32"/>
    </row>
    <row r="593" ht="15.75" customHeight="1">
      <c r="A593" s="32"/>
      <c r="C593" s="32"/>
      <c r="D593" s="32"/>
      <c r="E593" s="32"/>
      <c r="F593" s="32"/>
      <c r="G593" s="32"/>
    </row>
    <row r="594" ht="15.75" customHeight="1">
      <c r="A594" s="32"/>
      <c r="C594" s="32"/>
      <c r="D594" s="32"/>
      <c r="E594" s="32"/>
      <c r="F594" s="32"/>
      <c r="G594" s="32"/>
    </row>
    <row r="595" ht="15.75" customHeight="1">
      <c r="A595" s="32"/>
      <c r="C595" s="32"/>
      <c r="D595" s="32"/>
      <c r="E595" s="32"/>
      <c r="F595" s="32"/>
      <c r="G595" s="32"/>
    </row>
    <row r="596" ht="15.75" customHeight="1">
      <c r="A596" s="32"/>
      <c r="C596" s="32"/>
      <c r="D596" s="32"/>
      <c r="E596" s="32"/>
      <c r="F596" s="32"/>
      <c r="G596" s="32"/>
    </row>
    <row r="597" ht="15.75" customHeight="1">
      <c r="A597" s="32"/>
      <c r="C597" s="32"/>
      <c r="D597" s="32"/>
      <c r="E597" s="32"/>
      <c r="F597" s="32"/>
      <c r="G597" s="32"/>
    </row>
    <row r="598" ht="15.75" customHeight="1">
      <c r="A598" s="32"/>
      <c r="C598" s="32"/>
      <c r="D598" s="32"/>
      <c r="E598" s="32"/>
      <c r="F598" s="32"/>
      <c r="G598" s="32"/>
    </row>
    <row r="599" ht="15.75" customHeight="1">
      <c r="A599" s="32"/>
      <c r="C599" s="32"/>
      <c r="D599" s="32"/>
      <c r="E599" s="32"/>
      <c r="F599" s="32"/>
      <c r="G599" s="32"/>
    </row>
    <row r="600" ht="15.75" customHeight="1">
      <c r="A600" s="32"/>
      <c r="C600" s="32"/>
      <c r="D600" s="32"/>
      <c r="E600" s="32"/>
      <c r="F600" s="32"/>
      <c r="G600" s="32"/>
    </row>
    <row r="601" ht="15.75" customHeight="1">
      <c r="A601" s="32"/>
      <c r="C601" s="32"/>
      <c r="D601" s="32"/>
      <c r="E601" s="32"/>
      <c r="F601" s="32"/>
      <c r="G601" s="32"/>
    </row>
    <row r="602" ht="15.75" customHeight="1">
      <c r="A602" s="32"/>
      <c r="C602" s="32"/>
      <c r="D602" s="32"/>
      <c r="E602" s="32"/>
      <c r="F602" s="32"/>
      <c r="G602" s="32"/>
    </row>
    <row r="603" ht="15.75" customHeight="1">
      <c r="A603" s="32"/>
      <c r="C603" s="32"/>
      <c r="D603" s="32"/>
      <c r="E603" s="32"/>
      <c r="F603" s="32"/>
      <c r="G603" s="32"/>
    </row>
    <row r="604" ht="15.75" customHeight="1">
      <c r="A604" s="32"/>
      <c r="C604" s="32"/>
      <c r="D604" s="32"/>
      <c r="E604" s="32"/>
      <c r="F604" s="32"/>
      <c r="G604" s="32"/>
    </row>
    <row r="605" ht="15.75" customHeight="1">
      <c r="A605" s="32"/>
      <c r="C605" s="32"/>
      <c r="D605" s="32"/>
      <c r="E605" s="32"/>
      <c r="F605" s="32"/>
      <c r="G605" s="32"/>
    </row>
    <row r="606" ht="15.75" customHeight="1">
      <c r="A606" s="32"/>
      <c r="C606" s="32"/>
      <c r="D606" s="32"/>
      <c r="E606" s="32"/>
      <c r="F606" s="32"/>
      <c r="G606" s="32"/>
    </row>
    <row r="607" ht="15.75" customHeight="1">
      <c r="A607" s="32"/>
      <c r="C607" s="32"/>
      <c r="D607" s="32"/>
      <c r="E607" s="32"/>
      <c r="F607" s="32"/>
      <c r="G607" s="32"/>
    </row>
    <row r="608" ht="15.75" customHeight="1">
      <c r="A608" s="32"/>
      <c r="C608" s="32"/>
      <c r="D608" s="32"/>
      <c r="E608" s="32"/>
      <c r="F608" s="32"/>
      <c r="G608" s="32"/>
    </row>
    <row r="609" ht="15.75" customHeight="1">
      <c r="A609" s="32"/>
      <c r="C609" s="32"/>
      <c r="D609" s="32"/>
      <c r="E609" s="32"/>
      <c r="F609" s="32"/>
      <c r="G609" s="32"/>
    </row>
    <row r="610" ht="15.75" customHeight="1">
      <c r="A610" s="32"/>
      <c r="C610" s="32"/>
      <c r="D610" s="32"/>
      <c r="E610" s="32"/>
      <c r="F610" s="32"/>
      <c r="G610" s="32"/>
    </row>
    <row r="611" ht="15.75" customHeight="1">
      <c r="A611" s="32"/>
      <c r="C611" s="32"/>
      <c r="D611" s="32"/>
      <c r="E611" s="32"/>
      <c r="F611" s="32"/>
      <c r="G611" s="32"/>
    </row>
    <row r="612" ht="15.75" customHeight="1">
      <c r="A612" s="32"/>
      <c r="C612" s="32"/>
      <c r="D612" s="32"/>
      <c r="E612" s="32"/>
      <c r="F612" s="32"/>
      <c r="G612" s="32"/>
    </row>
    <row r="613" ht="15.75" customHeight="1">
      <c r="A613" s="32"/>
      <c r="C613" s="32"/>
      <c r="D613" s="32"/>
      <c r="E613" s="32"/>
      <c r="F613" s="32"/>
      <c r="G613" s="32"/>
    </row>
    <row r="614" ht="15.75" customHeight="1">
      <c r="A614" s="32"/>
      <c r="C614" s="32"/>
      <c r="D614" s="32"/>
      <c r="E614" s="32"/>
      <c r="F614" s="32"/>
      <c r="G614" s="32"/>
    </row>
    <row r="615" ht="15.75" customHeight="1">
      <c r="A615" s="32"/>
      <c r="C615" s="32"/>
      <c r="D615" s="32"/>
      <c r="E615" s="32"/>
      <c r="F615" s="32"/>
      <c r="G615" s="32"/>
    </row>
    <row r="616" ht="15.75" customHeight="1">
      <c r="A616" s="32"/>
      <c r="C616" s="32"/>
      <c r="D616" s="32"/>
      <c r="E616" s="32"/>
      <c r="F616" s="32"/>
      <c r="G616" s="32"/>
    </row>
    <row r="617" ht="15.75" customHeight="1">
      <c r="A617" s="32"/>
      <c r="C617" s="32"/>
      <c r="D617" s="32"/>
      <c r="E617" s="32"/>
      <c r="F617" s="32"/>
      <c r="G617" s="32"/>
    </row>
    <row r="618" ht="15.75" customHeight="1">
      <c r="A618" s="32"/>
      <c r="C618" s="32"/>
      <c r="D618" s="32"/>
      <c r="E618" s="32"/>
      <c r="F618" s="32"/>
      <c r="G618" s="32"/>
    </row>
    <row r="619" ht="15.75" customHeight="1">
      <c r="A619" s="32"/>
      <c r="C619" s="32"/>
      <c r="D619" s="32"/>
      <c r="E619" s="32"/>
      <c r="F619" s="32"/>
      <c r="G619" s="32"/>
    </row>
    <row r="620" ht="15.75" customHeight="1">
      <c r="A620" s="32"/>
      <c r="C620" s="32"/>
      <c r="D620" s="32"/>
      <c r="E620" s="32"/>
      <c r="F620" s="32"/>
      <c r="G620" s="32"/>
    </row>
    <row r="621" ht="15.75" customHeight="1">
      <c r="A621" s="32"/>
      <c r="C621" s="32"/>
      <c r="D621" s="32"/>
      <c r="E621" s="32"/>
      <c r="F621" s="32"/>
      <c r="G621" s="32"/>
    </row>
    <row r="622" ht="15.75" customHeight="1">
      <c r="A622" s="32"/>
      <c r="C622" s="32"/>
      <c r="D622" s="32"/>
      <c r="E622" s="32"/>
      <c r="F622" s="32"/>
      <c r="G622" s="32"/>
    </row>
    <row r="623" ht="15.75" customHeight="1">
      <c r="A623" s="32"/>
      <c r="C623" s="32"/>
      <c r="D623" s="32"/>
      <c r="E623" s="32"/>
      <c r="F623" s="32"/>
      <c r="G623" s="32"/>
    </row>
    <row r="624" ht="15.75" customHeight="1">
      <c r="A624" s="32"/>
      <c r="C624" s="32"/>
      <c r="D624" s="32"/>
      <c r="E624" s="32"/>
      <c r="F624" s="32"/>
      <c r="G624" s="32"/>
    </row>
    <row r="625" ht="15.75" customHeight="1">
      <c r="A625" s="32"/>
      <c r="C625" s="32"/>
      <c r="D625" s="32"/>
      <c r="E625" s="32"/>
      <c r="F625" s="32"/>
      <c r="G625" s="32"/>
    </row>
    <row r="626" ht="15.75" customHeight="1">
      <c r="A626" s="32"/>
      <c r="C626" s="32"/>
      <c r="D626" s="32"/>
      <c r="E626" s="32"/>
      <c r="F626" s="32"/>
      <c r="G626" s="32"/>
    </row>
    <row r="627" ht="15.75" customHeight="1">
      <c r="A627" s="32"/>
      <c r="C627" s="32"/>
      <c r="D627" s="32"/>
      <c r="E627" s="32"/>
      <c r="F627" s="32"/>
      <c r="G627" s="32"/>
    </row>
    <row r="628" ht="15.75" customHeight="1">
      <c r="A628" s="32"/>
      <c r="C628" s="32"/>
      <c r="D628" s="32"/>
      <c r="E628" s="32"/>
      <c r="F628" s="32"/>
      <c r="G628" s="32"/>
    </row>
    <row r="629" ht="15.75" customHeight="1">
      <c r="A629" s="32"/>
      <c r="C629" s="32"/>
      <c r="D629" s="32"/>
      <c r="E629" s="32"/>
      <c r="F629" s="32"/>
      <c r="G629" s="32"/>
    </row>
    <row r="630" ht="15.75" customHeight="1">
      <c r="A630" s="32"/>
      <c r="C630" s="32"/>
      <c r="D630" s="32"/>
      <c r="E630" s="32"/>
      <c r="F630" s="32"/>
      <c r="G630" s="32"/>
    </row>
    <row r="631" ht="15.75" customHeight="1">
      <c r="A631" s="32"/>
      <c r="C631" s="32"/>
      <c r="D631" s="32"/>
      <c r="E631" s="32"/>
      <c r="F631" s="32"/>
      <c r="G631" s="32"/>
    </row>
    <row r="632" ht="15.75" customHeight="1">
      <c r="A632" s="32"/>
      <c r="C632" s="32"/>
      <c r="D632" s="32"/>
      <c r="E632" s="32"/>
      <c r="F632" s="32"/>
      <c r="G632" s="32"/>
    </row>
    <row r="633" ht="15.75" customHeight="1">
      <c r="A633" s="32"/>
      <c r="C633" s="32"/>
      <c r="D633" s="32"/>
      <c r="E633" s="32"/>
      <c r="F633" s="32"/>
      <c r="G633" s="32"/>
    </row>
    <row r="634" ht="15.75" customHeight="1">
      <c r="A634" s="32"/>
      <c r="C634" s="32"/>
      <c r="D634" s="32"/>
      <c r="E634" s="32"/>
      <c r="F634" s="32"/>
      <c r="G634" s="32"/>
    </row>
    <row r="635" ht="15.75" customHeight="1">
      <c r="A635" s="32"/>
      <c r="C635" s="32"/>
      <c r="D635" s="32"/>
      <c r="E635" s="32"/>
      <c r="F635" s="32"/>
      <c r="G635" s="32"/>
    </row>
    <row r="636" ht="15.75" customHeight="1">
      <c r="A636" s="32"/>
      <c r="C636" s="32"/>
      <c r="D636" s="32"/>
      <c r="E636" s="32"/>
      <c r="F636" s="32"/>
      <c r="G636" s="32"/>
    </row>
    <row r="637" ht="15.75" customHeight="1">
      <c r="A637" s="32"/>
      <c r="C637" s="32"/>
      <c r="D637" s="32"/>
      <c r="E637" s="32"/>
      <c r="F637" s="32"/>
      <c r="G637" s="32"/>
    </row>
    <row r="638" ht="15.75" customHeight="1">
      <c r="A638" s="32"/>
      <c r="C638" s="32"/>
      <c r="D638" s="32"/>
      <c r="E638" s="32"/>
      <c r="F638" s="32"/>
      <c r="G638" s="32"/>
    </row>
    <row r="639" ht="15.75" customHeight="1">
      <c r="A639" s="32"/>
      <c r="C639" s="32"/>
      <c r="D639" s="32"/>
      <c r="E639" s="32"/>
      <c r="F639" s="32"/>
      <c r="G639" s="32"/>
    </row>
    <row r="640" ht="15.75" customHeight="1">
      <c r="A640" s="32"/>
      <c r="C640" s="32"/>
      <c r="D640" s="32"/>
      <c r="E640" s="32"/>
      <c r="F640" s="32"/>
      <c r="G640" s="32"/>
    </row>
    <row r="641" ht="15.75" customHeight="1">
      <c r="A641" s="32"/>
      <c r="C641" s="32"/>
      <c r="D641" s="32"/>
      <c r="E641" s="32"/>
      <c r="F641" s="32"/>
      <c r="G641" s="32"/>
    </row>
    <row r="642" ht="15.75" customHeight="1">
      <c r="A642" s="32"/>
      <c r="C642" s="32"/>
      <c r="D642" s="32"/>
      <c r="E642" s="32"/>
      <c r="F642" s="32"/>
      <c r="G642" s="32"/>
    </row>
    <row r="643" ht="15.75" customHeight="1">
      <c r="A643" s="32"/>
      <c r="C643" s="32"/>
      <c r="D643" s="32"/>
      <c r="E643" s="32"/>
      <c r="F643" s="32"/>
      <c r="G643" s="32"/>
    </row>
    <row r="644" ht="15.75" customHeight="1">
      <c r="A644" s="32"/>
      <c r="C644" s="32"/>
      <c r="D644" s="32"/>
      <c r="E644" s="32"/>
      <c r="F644" s="32"/>
      <c r="G644" s="32"/>
    </row>
    <row r="645" ht="15.75" customHeight="1">
      <c r="A645" s="32"/>
      <c r="C645" s="32"/>
      <c r="D645" s="32"/>
      <c r="E645" s="32"/>
      <c r="F645" s="32"/>
      <c r="G645" s="32"/>
    </row>
    <row r="646" ht="15.75" customHeight="1">
      <c r="A646" s="32"/>
      <c r="C646" s="32"/>
      <c r="D646" s="32"/>
      <c r="E646" s="32"/>
      <c r="F646" s="32"/>
      <c r="G646" s="32"/>
    </row>
    <row r="647" ht="15.75" customHeight="1">
      <c r="A647" s="32"/>
      <c r="C647" s="32"/>
      <c r="D647" s="32"/>
      <c r="E647" s="32"/>
      <c r="F647" s="32"/>
      <c r="G647" s="32"/>
    </row>
    <row r="648" ht="15.75" customHeight="1">
      <c r="A648" s="32"/>
      <c r="C648" s="32"/>
      <c r="D648" s="32"/>
      <c r="E648" s="32"/>
      <c r="F648" s="32"/>
      <c r="G648" s="32"/>
    </row>
    <row r="649" ht="15.75" customHeight="1">
      <c r="A649" s="32"/>
      <c r="C649" s="32"/>
      <c r="D649" s="32"/>
      <c r="E649" s="32"/>
      <c r="F649" s="32"/>
      <c r="G649" s="32"/>
    </row>
    <row r="650" ht="15.75" customHeight="1">
      <c r="A650" s="32"/>
      <c r="C650" s="32"/>
      <c r="D650" s="32"/>
      <c r="E650" s="32"/>
      <c r="F650" s="32"/>
      <c r="G650" s="32"/>
    </row>
    <row r="651" ht="15.75" customHeight="1">
      <c r="A651" s="32"/>
      <c r="C651" s="32"/>
      <c r="D651" s="32"/>
      <c r="E651" s="32"/>
      <c r="F651" s="32"/>
      <c r="G651" s="32"/>
    </row>
    <row r="652" ht="15.75" customHeight="1">
      <c r="A652" s="32"/>
      <c r="C652" s="32"/>
      <c r="D652" s="32"/>
      <c r="E652" s="32"/>
      <c r="F652" s="32"/>
      <c r="G652" s="32"/>
    </row>
    <row r="653" ht="15.75" customHeight="1">
      <c r="A653" s="32"/>
      <c r="C653" s="32"/>
      <c r="D653" s="32"/>
      <c r="E653" s="32"/>
      <c r="F653" s="32"/>
      <c r="G653" s="32"/>
    </row>
    <row r="654" ht="15.75" customHeight="1">
      <c r="A654" s="32"/>
      <c r="C654" s="32"/>
      <c r="D654" s="32"/>
      <c r="E654" s="32"/>
      <c r="F654" s="32"/>
      <c r="G654" s="32"/>
    </row>
    <row r="655" ht="15.75" customHeight="1">
      <c r="A655" s="32"/>
      <c r="C655" s="32"/>
      <c r="D655" s="32"/>
      <c r="E655" s="32"/>
      <c r="F655" s="32"/>
      <c r="G655" s="32"/>
    </row>
    <row r="656" ht="15.75" customHeight="1">
      <c r="A656" s="32"/>
      <c r="C656" s="32"/>
      <c r="D656" s="32"/>
      <c r="E656" s="32"/>
      <c r="F656" s="32"/>
      <c r="G656" s="32"/>
    </row>
    <row r="657" ht="15.75" customHeight="1">
      <c r="A657" s="32"/>
      <c r="C657" s="32"/>
      <c r="D657" s="32"/>
      <c r="E657" s="32"/>
      <c r="F657" s="32"/>
      <c r="G657" s="32"/>
    </row>
    <row r="658" ht="15.75" customHeight="1">
      <c r="A658" s="32"/>
      <c r="C658" s="32"/>
      <c r="D658" s="32"/>
      <c r="E658" s="32"/>
      <c r="F658" s="32"/>
      <c r="G658" s="32"/>
    </row>
    <row r="659" ht="15.75" customHeight="1">
      <c r="A659" s="32"/>
      <c r="C659" s="32"/>
      <c r="D659" s="32"/>
      <c r="E659" s="32"/>
      <c r="F659" s="32"/>
      <c r="G659" s="32"/>
    </row>
    <row r="660" ht="15.75" customHeight="1">
      <c r="A660" s="32"/>
      <c r="C660" s="32"/>
      <c r="D660" s="32"/>
      <c r="E660" s="32"/>
      <c r="F660" s="32"/>
      <c r="G660" s="32"/>
    </row>
    <row r="661" ht="15.75" customHeight="1">
      <c r="A661" s="32"/>
      <c r="C661" s="32"/>
      <c r="D661" s="32"/>
      <c r="E661" s="32"/>
      <c r="F661" s="32"/>
      <c r="G661" s="32"/>
    </row>
    <row r="662" ht="15.75" customHeight="1">
      <c r="A662" s="32"/>
      <c r="C662" s="32"/>
      <c r="D662" s="32"/>
      <c r="E662" s="32"/>
      <c r="F662" s="32"/>
      <c r="G662" s="32"/>
    </row>
    <row r="663" ht="15.75" customHeight="1">
      <c r="A663" s="32"/>
      <c r="C663" s="32"/>
      <c r="D663" s="32"/>
      <c r="E663" s="32"/>
      <c r="F663" s="32"/>
      <c r="G663" s="32"/>
    </row>
    <row r="664" ht="15.75" customHeight="1">
      <c r="A664" s="32"/>
      <c r="C664" s="32"/>
      <c r="D664" s="32"/>
      <c r="E664" s="32"/>
      <c r="F664" s="32"/>
      <c r="G664" s="32"/>
    </row>
    <row r="665" ht="15.75" customHeight="1">
      <c r="A665" s="32"/>
      <c r="C665" s="32"/>
      <c r="D665" s="32"/>
      <c r="E665" s="32"/>
      <c r="F665" s="32"/>
      <c r="G665" s="32"/>
    </row>
    <row r="666" ht="15.75" customHeight="1">
      <c r="A666" s="32"/>
      <c r="C666" s="32"/>
      <c r="D666" s="32"/>
      <c r="E666" s="32"/>
      <c r="F666" s="32"/>
      <c r="G666" s="32"/>
    </row>
    <row r="667" ht="15.75" customHeight="1">
      <c r="A667" s="32"/>
      <c r="C667" s="32"/>
      <c r="D667" s="32"/>
      <c r="E667" s="32"/>
      <c r="F667" s="32"/>
      <c r="G667" s="32"/>
    </row>
    <row r="668" ht="15.75" customHeight="1">
      <c r="A668" s="32"/>
      <c r="C668" s="32"/>
      <c r="D668" s="32"/>
      <c r="E668" s="32"/>
      <c r="F668" s="32"/>
      <c r="G668" s="32"/>
    </row>
    <row r="669" ht="15.75" customHeight="1">
      <c r="A669" s="32"/>
      <c r="C669" s="32"/>
      <c r="D669" s="32"/>
      <c r="E669" s="32"/>
      <c r="F669" s="32"/>
      <c r="G669" s="32"/>
    </row>
    <row r="670" ht="15.75" customHeight="1">
      <c r="A670" s="32"/>
      <c r="C670" s="32"/>
      <c r="D670" s="32"/>
      <c r="E670" s="32"/>
      <c r="F670" s="32"/>
      <c r="G670" s="32"/>
    </row>
    <row r="671" ht="15.75" customHeight="1">
      <c r="A671" s="32"/>
      <c r="C671" s="32"/>
      <c r="D671" s="32"/>
      <c r="E671" s="32"/>
      <c r="F671" s="32"/>
      <c r="G671" s="32"/>
    </row>
    <row r="672" ht="15.75" customHeight="1">
      <c r="A672" s="32"/>
      <c r="C672" s="32"/>
      <c r="D672" s="32"/>
      <c r="E672" s="32"/>
      <c r="F672" s="32"/>
      <c r="G672" s="32"/>
    </row>
    <row r="673" ht="15.75" customHeight="1">
      <c r="A673" s="32"/>
      <c r="C673" s="32"/>
      <c r="D673" s="32"/>
      <c r="E673" s="32"/>
      <c r="F673" s="32"/>
      <c r="G673" s="32"/>
    </row>
    <row r="674" ht="15.75" customHeight="1">
      <c r="A674" s="32"/>
      <c r="C674" s="32"/>
      <c r="D674" s="32"/>
      <c r="E674" s="32"/>
      <c r="F674" s="32"/>
      <c r="G674" s="32"/>
    </row>
    <row r="675" ht="15.75" customHeight="1">
      <c r="A675" s="32"/>
      <c r="C675" s="32"/>
      <c r="D675" s="32"/>
      <c r="E675" s="32"/>
      <c r="F675" s="32"/>
      <c r="G675" s="32"/>
    </row>
    <row r="676" ht="15.75" customHeight="1">
      <c r="A676" s="32"/>
      <c r="C676" s="32"/>
      <c r="D676" s="32"/>
      <c r="E676" s="32"/>
      <c r="F676" s="32"/>
      <c r="G676" s="32"/>
    </row>
    <row r="677" ht="15.75" customHeight="1">
      <c r="A677" s="32"/>
      <c r="C677" s="32"/>
      <c r="D677" s="32"/>
      <c r="E677" s="32"/>
      <c r="F677" s="32"/>
      <c r="G677" s="32"/>
    </row>
    <row r="678" ht="15.75" customHeight="1">
      <c r="A678" s="32"/>
      <c r="C678" s="32"/>
      <c r="D678" s="32"/>
      <c r="E678" s="32"/>
      <c r="F678" s="32"/>
      <c r="G678" s="32"/>
    </row>
    <row r="679" ht="15.75" customHeight="1">
      <c r="A679" s="32"/>
      <c r="C679" s="32"/>
      <c r="D679" s="32"/>
      <c r="E679" s="32"/>
      <c r="F679" s="32"/>
      <c r="G679" s="32"/>
    </row>
    <row r="680" ht="15.75" customHeight="1">
      <c r="A680" s="32"/>
      <c r="C680" s="32"/>
      <c r="D680" s="32"/>
      <c r="E680" s="32"/>
      <c r="F680" s="32"/>
      <c r="G680" s="32"/>
    </row>
    <row r="681" ht="15.75" customHeight="1">
      <c r="A681" s="32"/>
      <c r="C681" s="32"/>
      <c r="D681" s="32"/>
      <c r="E681" s="32"/>
      <c r="F681" s="32"/>
      <c r="G681" s="32"/>
    </row>
    <row r="682" ht="15.75" customHeight="1">
      <c r="A682" s="32"/>
      <c r="C682" s="32"/>
      <c r="D682" s="32"/>
      <c r="E682" s="32"/>
      <c r="F682" s="32"/>
      <c r="G682" s="32"/>
    </row>
    <row r="683" ht="15.75" customHeight="1">
      <c r="A683" s="32"/>
      <c r="C683" s="32"/>
      <c r="D683" s="32"/>
      <c r="E683" s="32"/>
      <c r="F683" s="32"/>
      <c r="G683" s="32"/>
    </row>
    <row r="684" ht="15.75" customHeight="1">
      <c r="A684" s="32"/>
      <c r="C684" s="32"/>
      <c r="D684" s="32"/>
      <c r="E684" s="32"/>
      <c r="F684" s="32"/>
      <c r="G684" s="32"/>
    </row>
    <row r="685" ht="15.75" customHeight="1">
      <c r="A685" s="32"/>
      <c r="C685" s="32"/>
      <c r="D685" s="32"/>
      <c r="E685" s="32"/>
      <c r="F685" s="32"/>
      <c r="G685" s="32"/>
    </row>
    <row r="686" ht="15.75" customHeight="1">
      <c r="A686" s="32"/>
      <c r="C686" s="32"/>
      <c r="D686" s="32"/>
      <c r="E686" s="32"/>
      <c r="F686" s="32"/>
      <c r="G686" s="32"/>
    </row>
    <row r="687" ht="15.75" customHeight="1">
      <c r="A687" s="32"/>
      <c r="C687" s="32"/>
      <c r="D687" s="32"/>
      <c r="E687" s="32"/>
      <c r="F687" s="32"/>
      <c r="G687" s="32"/>
    </row>
    <row r="688" ht="15.75" customHeight="1">
      <c r="A688" s="32"/>
      <c r="C688" s="32"/>
      <c r="D688" s="32"/>
      <c r="E688" s="32"/>
      <c r="F688" s="32"/>
      <c r="G688" s="32"/>
    </row>
    <row r="689" ht="15.75" customHeight="1">
      <c r="A689" s="32"/>
      <c r="C689" s="32"/>
      <c r="D689" s="32"/>
      <c r="E689" s="32"/>
      <c r="F689" s="32"/>
      <c r="G689" s="32"/>
    </row>
    <row r="690" ht="15.75" customHeight="1">
      <c r="A690" s="32"/>
      <c r="C690" s="32"/>
      <c r="D690" s="32"/>
      <c r="E690" s="32"/>
      <c r="F690" s="32"/>
      <c r="G690" s="32"/>
    </row>
    <row r="691" ht="15.75" customHeight="1">
      <c r="A691" s="32"/>
      <c r="C691" s="32"/>
      <c r="D691" s="32"/>
      <c r="E691" s="32"/>
      <c r="F691" s="32"/>
      <c r="G691" s="32"/>
    </row>
    <row r="692" ht="15.75" customHeight="1">
      <c r="A692" s="32"/>
      <c r="C692" s="32"/>
      <c r="D692" s="32"/>
      <c r="E692" s="32"/>
      <c r="F692" s="32"/>
      <c r="G692" s="32"/>
    </row>
    <row r="693" ht="15.75" customHeight="1">
      <c r="A693" s="32"/>
      <c r="C693" s="32"/>
      <c r="D693" s="32"/>
      <c r="E693" s="32"/>
      <c r="F693" s="32"/>
      <c r="G693" s="32"/>
    </row>
    <row r="694" ht="15.75" customHeight="1">
      <c r="A694" s="32"/>
      <c r="C694" s="32"/>
      <c r="D694" s="32"/>
      <c r="E694" s="32"/>
      <c r="F694" s="32"/>
      <c r="G694" s="32"/>
    </row>
    <row r="695" ht="15.75" customHeight="1">
      <c r="A695" s="32"/>
      <c r="C695" s="32"/>
      <c r="D695" s="32"/>
      <c r="E695" s="32"/>
      <c r="F695" s="32"/>
      <c r="G695" s="32"/>
    </row>
    <row r="696" ht="15.75" customHeight="1">
      <c r="A696" s="32"/>
      <c r="C696" s="32"/>
      <c r="D696" s="32"/>
      <c r="E696" s="32"/>
      <c r="F696" s="32"/>
      <c r="G696" s="32"/>
    </row>
    <row r="697" ht="15.75" customHeight="1">
      <c r="A697" s="32"/>
      <c r="C697" s="32"/>
      <c r="D697" s="32"/>
      <c r="E697" s="32"/>
      <c r="F697" s="32"/>
      <c r="G697" s="32"/>
    </row>
    <row r="698" ht="15.75" customHeight="1">
      <c r="A698" s="32"/>
      <c r="C698" s="32"/>
      <c r="D698" s="32"/>
      <c r="E698" s="32"/>
      <c r="F698" s="32"/>
      <c r="G698" s="32"/>
    </row>
    <row r="699" ht="15.75" customHeight="1">
      <c r="A699" s="32"/>
      <c r="C699" s="32"/>
      <c r="D699" s="32"/>
      <c r="E699" s="32"/>
      <c r="F699" s="32"/>
      <c r="G699" s="32"/>
    </row>
    <row r="700" ht="15.75" customHeight="1">
      <c r="A700" s="32"/>
      <c r="C700" s="32"/>
      <c r="D700" s="32"/>
      <c r="E700" s="32"/>
      <c r="F700" s="32"/>
      <c r="G700" s="32"/>
    </row>
    <row r="701" ht="15.75" customHeight="1">
      <c r="A701" s="32"/>
      <c r="C701" s="32"/>
      <c r="D701" s="32"/>
      <c r="E701" s="32"/>
      <c r="F701" s="32"/>
      <c r="G701" s="32"/>
    </row>
    <row r="702" ht="15.75" customHeight="1">
      <c r="A702" s="32"/>
      <c r="C702" s="32"/>
      <c r="D702" s="32"/>
      <c r="E702" s="32"/>
      <c r="F702" s="32"/>
      <c r="G702" s="32"/>
    </row>
    <row r="703" ht="15.75" customHeight="1">
      <c r="A703" s="32"/>
      <c r="C703" s="32"/>
      <c r="D703" s="32"/>
      <c r="E703" s="32"/>
      <c r="F703" s="32"/>
      <c r="G703" s="32"/>
    </row>
    <row r="704" ht="15.75" customHeight="1">
      <c r="A704" s="32"/>
      <c r="C704" s="32"/>
      <c r="D704" s="32"/>
      <c r="E704" s="32"/>
      <c r="F704" s="32"/>
      <c r="G704" s="32"/>
    </row>
    <row r="705" ht="15.75" customHeight="1">
      <c r="A705" s="32"/>
      <c r="C705" s="32"/>
      <c r="D705" s="32"/>
      <c r="E705" s="32"/>
      <c r="F705" s="32"/>
      <c r="G705" s="32"/>
    </row>
    <row r="706" ht="15.75" customHeight="1">
      <c r="A706" s="32"/>
      <c r="C706" s="32"/>
      <c r="D706" s="32"/>
      <c r="E706" s="32"/>
      <c r="F706" s="32"/>
      <c r="G706" s="32"/>
    </row>
    <row r="707" ht="15.75" customHeight="1">
      <c r="A707" s="32"/>
      <c r="C707" s="32"/>
      <c r="D707" s="32"/>
      <c r="E707" s="32"/>
      <c r="F707" s="32"/>
      <c r="G707" s="32"/>
    </row>
    <row r="708" ht="15.75" customHeight="1">
      <c r="A708" s="32"/>
      <c r="C708" s="32"/>
      <c r="D708" s="32"/>
      <c r="E708" s="32"/>
      <c r="F708" s="32"/>
      <c r="G708" s="32"/>
    </row>
    <row r="709" ht="15.75" customHeight="1">
      <c r="A709" s="32"/>
      <c r="C709" s="32"/>
      <c r="D709" s="32"/>
      <c r="E709" s="32"/>
      <c r="F709" s="32"/>
      <c r="G709" s="32"/>
    </row>
    <row r="710" ht="15.75" customHeight="1">
      <c r="A710" s="32"/>
      <c r="C710" s="32"/>
      <c r="D710" s="32"/>
      <c r="E710" s="32"/>
      <c r="F710" s="32"/>
      <c r="G710" s="32"/>
    </row>
    <row r="711" ht="15.75" customHeight="1">
      <c r="A711" s="32"/>
      <c r="C711" s="32"/>
      <c r="D711" s="32"/>
      <c r="E711" s="32"/>
      <c r="F711" s="32"/>
      <c r="G711" s="32"/>
    </row>
    <row r="712" ht="15.75" customHeight="1">
      <c r="A712" s="32"/>
      <c r="C712" s="32"/>
      <c r="D712" s="32"/>
      <c r="E712" s="32"/>
      <c r="F712" s="32"/>
      <c r="G712" s="32"/>
    </row>
    <row r="713" ht="15.75" customHeight="1">
      <c r="A713" s="32"/>
      <c r="C713" s="32"/>
      <c r="D713" s="32"/>
      <c r="E713" s="32"/>
      <c r="F713" s="32"/>
      <c r="G713" s="32"/>
    </row>
    <row r="714" ht="15.75" customHeight="1">
      <c r="A714" s="32"/>
      <c r="C714" s="32"/>
      <c r="D714" s="32"/>
      <c r="E714" s="32"/>
      <c r="F714" s="32"/>
      <c r="G714" s="32"/>
    </row>
    <row r="715" ht="15.75" customHeight="1">
      <c r="A715" s="32"/>
      <c r="C715" s="32"/>
      <c r="D715" s="32"/>
      <c r="E715" s="32"/>
      <c r="F715" s="32"/>
      <c r="G715" s="32"/>
    </row>
    <row r="716" ht="15.75" customHeight="1">
      <c r="A716" s="32"/>
      <c r="C716" s="32"/>
      <c r="D716" s="32"/>
      <c r="E716" s="32"/>
      <c r="F716" s="32"/>
      <c r="G716" s="32"/>
    </row>
    <row r="717" ht="15.75" customHeight="1">
      <c r="A717" s="32"/>
      <c r="C717" s="32"/>
      <c r="D717" s="32"/>
      <c r="E717" s="32"/>
      <c r="F717" s="32"/>
      <c r="G717" s="32"/>
    </row>
    <row r="718" ht="15.75" customHeight="1">
      <c r="A718" s="32"/>
      <c r="C718" s="32"/>
      <c r="D718" s="32"/>
      <c r="E718" s="32"/>
      <c r="F718" s="32"/>
      <c r="G718" s="32"/>
    </row>
    <row r="719" ht="15.75" customHeight="1">
      <c r="A719" s="32"/>
      <c r="C719" s="32"/>
      <c r="D719" s="32"/>
      <c r="E719" s="32"/>
      <c r="F719" s="32"/>
      <c r="G719" s="32"/>
    </row>
    <row r="720" ht="15.75" customHeight="1">
      <c r="A720" s="32"/>
      <c r="C720" s="32"/>
      <c r="D720" s="32"/>
      <c r="E720" s="32"/>
      <c r="F720" s="32"/>
      <c r="G720" s="32"/>
    </row>
    <row r="721" ht="15.75" customHeight="1">
      <c r="A721" s="32"/>
      <c r="C721" s="32"/>
      <c r="D721" s="32"/>
      <c r="E721" s="32"/>
      <c r="F721" s="32"/>
      <c r="G721" s="32"/>
    </row>
    <row r="722" ht="15.75" customHeight="1">
      <c r="A722" s="32"/>
      <c r="C722" s="32"/>
      <c r="D722" s="32"/>
      <c r="E722" s="32"/>
      <c r="F722" s="32"/>
      <c r="G722" s="32"/>
    </row>
    <row r="723" ht="15.75" customHeight="1">
      <c r="A723" s="32"/>
      <c r="C723" s="32"/>
      <c r="D723" s="32"/>
      <c r="E723" s="32"/>
      <c r="F723" s="32"/>
      <c r="G723" s="32"/>
    </row>
    <row r="724" ht="15.75" customHeight="1">
      <c r="A724" s="32"/>
      <c r="C724" s="32"/>
      <c r="D724" s="32"/>
      <c r="E724" s="32"/>
      <c r="F724" s="32"/>
      <c r="G724" s="32"/>
    </row>
    <row r="725" ht="15.75" customHeight="1">
      <c r="A725" s="32"/>
      <c r="C725" s="32"/>
      <c r="D725" s="32"/>
      <c r="E725" s="32"/>
      <c r="F725" s="32"/>
      <c r="G725" s="32"/>
    </row>
    <row r="726" ht="15.75" customHeight="1">
      <c r="A726" s="32"/>
      <c r="C726" s="32"/>
      <c r="D726" s="32"/>
      <c r="E726" s="32"/>
      <c r="F726" s="32"/>
      <c r="G726" s="32"/>
    </row>
    <row r="727" ht="15.75" customHeight="1">
      <c r="A727" s="32"/>
      <c r="C727" s="32"/>
      <c r="D727" s="32"/>
      <c r="E727" s="32"/>
      <c r="F727" s="32"/>
      <c r="G727" s="32"/>
    </row>
    <row r="728" ht="15.75" customHeight="1">
      <c r="A728" s="32"/>
      <c r="C728" s="32"/>
      <c r="D728" s="32"/>
      <c r="E728" s="32"/>
      <c r="F728" s="32"/>
      <c r="G728" s="32"/>
    </row>
    <row r="729" ht="15.75" customHeight="1">
      <c r="A729" s="32"/>
      <c r="C729" s="32"/>
      <c r="D729" s="32"/>
      <c r="E729" s="32"/>
      <c r="F729" s="32"/>
      <c r="G729" s="32"/>
    </row>
    <row r="730" ht="15.75" customHeight="1">
      <c r="A730" s="32"/>
      <c r="C730" s="32"/>
      <c r="D730" s="32"/>
      <c r="E730" s="32"/>
      <c r="F730" s="32"/>
      <c r="G730" s="32"/>
    </row>
    <row r="731" ht="15.75" customHeight="1">
      <c r="A731" s="32"/>
      <c r="C731" s="32"/>
      <c r="D731" s="32"/>
      <c r="E731" s="32"/>
      <c r="F731" s="32"/>
      <c r="G731" s="32"/>
    </row>
    <row r="732" ht="15.75" customHeight="1">
      <c r="A732" s="32"/>
      <c r="C732" s="32"/>
      <c r="D732" s="32"/>
      <c r="E732" s="32"/>
      <c r="F732" s="32"/>
      <c r="G732" s="32"/>
    </row>
    <row r="733" ht="15.75" customHeight="1">
      <c r="A733" s="32"/>
      <c r="C733" s="32"/>
      <c r="D733" s="32"/>
      <c r="E733" s="32"/>
      <c r="F733" s="32"/>
      <c r="G733" s="32"/>
    </row>
    <row r="734" ht="15.75" customHeight="1">
      <c r="A734" s="32"/>
      <c r="C734" s="32"/>
      <c r="D734" s="32"/>
      <c r="E734" s="32"/>
      <c r="F734" s="32"/>
      <c r="G734" s="32"/>
    </row>
    <row r="735" ht="15.75" customHeight="1">
      <c r="A735" s="32"/>
      <c r="C735" s="32"/>
      <c r="D735" s="32"/>
      <c r="E735" s="32"/>
      <c r="F735" s="32"/>
      <c r="G735" s="32"/>
    </row>
    <row r="736" ht="15.75" customHeight="1">
      <c r="A736" s="32"/>
      <c r="C736" s="32"/>
      <c r="D736" s="32"/>
      <c r="E736" s="32"/>
      <c r="F736" s="32"/>
      <c r="G736" s="32"/>
    </row>
    <row r="737" ht="15.75" customHeight="1">
      <c r="A737" s="32"/>
      <c r="C737" s="32"/>
      <c r="D737" s="32"/>
      <c r="E737" s="32"/>
      <c r="F737" s="32"/>
      <c r="G737" s="32"/>
    </row>
    <row r="738" ht="15.75" customHeight="1">
      <c r="A738" s="32"/>
      <c r="C738" s="32"/>
      <c r="D738" s="32"/>
      <c r="E738" s="32"/>
      <c r="F738" s="32"/>
      <c r="G738" s="32"/>
    </row>
    <row r="739" ht="15.75" customHeight="1">
      <c r="A739" s="32"/>
      <c r="C739" s="32"/>
      <c r="D739" s="32"/>
      <c r="E739" s="32"/>
      <c r="F739" s="32"/>
      <c r="G739" s="32"/>
    </row>
    <row r="740" ht="15.75" customHeight="1">
      <c r="A740" s="32"/>
      <c r="C740" s="32"/>
      <c r="D740" s="32"/>
      <c r="E740" s="32"/>
      <c r="F740" s="32"/>
      <c r="G740" s="32"/>
    </row>
    <row r="741" ht="15.75" customHeight="1">
      <c r="A741" s="32"/>
      <c r="C741" s="32"/>
      <c r="D741" s="32"/>
      <c r="E741" s="32"/>
      <c r="F741" s="32"/>
      <c r="G741" s="32"/>
    </row>
    <row r="742" ht="15.75" customHeight="1">
      <c r="A742" s="32"/>
      <c r="C742" s="32"/>
      <c r="D742" s="32"/>
      <c r="E742" s="32"/>
      <c r="F742" s="32"/>
      <c r="G742" s="32"/>
    </row>
    <row r="743" ht="15.75" customHeight="1">
      <c r="A743" s="32"/>
      <c r="C743" s="32"/>
      <c r="D743" s="32"/>
      <c r="E743" s="32"/>
      <c r="F743" s="32"/>
      <c r="G743" s="32"/>
    </row>
    <row r="744" ht="15.75" customHeight="1">
      <c r="A744" s="32"/>
      <c r="C744" s="32"/>
      <c r="D744" s="32"/>
      <c r="E744" s="32"/>
      <c r="F744" s="32"/>
      <c r="G744" s="32"/>
    </row>
    <row r="745" ht="15.75" customHeight="1">
      <c r="A745" s="32"/>
      <c r="C745" s="32"/>
      <c r="D745" s="32"/>
      <c r="E745" s="32"/>
      <c r="F745" s="32"/>
      <c r="G745" s="32"/>
    </row>
    <row r="746" ht="15.75" customHeight="1">
      <c r="A746" s="32"/>
      <c r="C746" s="32"/>
      <c r="D746" s="32"/>
      <c r="E746" s="32"/>
      <c r="F746" s="32"/>
      <c r="G746" s="32"/>
    </row>
    <row r="747" ht="15.75" customHeight="1">
      <c r="A747" s="32"/>
      <c r="C747" s="32"/>
      <c r="D747" s="32"/>
      <c r="E747" s="32"/>
      <c r="F747" s="32"/>
      <c r="G747" s="32"/>
    </row>
    <row r="748" ht="15.75" customHeight="1">
      <c r="A748" s="32"/>
      <c r="C748" s="32"/>
      <c r="D748" s="32"/>
      <c r="E748" s="32"/>
      <c r="F748" s="32"/>
      <c r="G748" s="32"/>
    </row>
    <row r="749" ht="15.75" customHeight="1">
      <c r="A749" s="32"/>
      <c r="C749" s="32"/>
      <c r="D749" s="32"/>
      <c r="E749" s="32"/>
      <c r="F749" s="32"/>
      <c r="G749" s="32"/>
    </row>
    <row r="750" ht="15.75" customHeight="1">
      <c r="A750" s="32"/>
      <c r="C750" s="32"/>
      <c r="D750" s="32"/>
      <c r="E750" s="32"/>
      <c r="F750" s="32"/>
      <c r="G750" s="32"/>
    </row>
    <row r="751" ht="15.75" customHeight="1">
      <c r="A751" s="32"/>
      <c r="C751" s="32"/>
      <c r="D751" s="32"/>
      <c r="E751" s="32"/>
      <c r="F751" s="32"/>
      <c r="G751" s="32"/>
    </row>
    <row r="752" ht="15.75" customHeight="1">
      <c r="A752" s="32"/>
      <c r="C752" s="32"/>
      <c r="D752" s="32"/>
      <c r="E752" s="32"/>
      <c r="F752" s="32"/>
      <c r="G752" s="32"/>
    </row>
    <row r="753" ht="15.75" customHeight="1">
      <c r="A753" s="32"/>
      <c r="C753" s="32"/>
      <c r="D753" s="32"/>
      <c r="E753" s="32"/>
      <c r="F753" s="32"/>
      <c r="G753" s="32"/>
    </row>
    <row r="754" ht="15.75" customHeight="1">
      <c r="A754" s="32"/>
      <c r="C754" s="32"/>
      <c r="D754" s="32"/>
      <c r="E754" s="32"/>
      <c r="F754" s="32"/>
      <c r="G754" s="32"/>
    </row>
    <row r="755" ht="15.75" customHeight="1">
      <c r="A755" s="32"/>
      <c r="C755" s="32"/>
      <c r="D755" s="32"/>
      <c r="E755" s="32"/>
      <c r="F755" s="32"/>
      <c r="G755" s="32"/>
    </row>
    <row r="756" ht="15.75" customHeight="1">
      <c r="A756" s="32"/>
      <c r="C756" s="32"/>
      <c r="D756" s="32"/>
      <c r="E756" s="32"/>
      <c r="F756" s="32"/>
      <c r="G756" s="32"/>
    </row>
    <row r="757" ht="15.75" customHeight="1">
      <c r="A757" s="32"/>
      <c r="C757" s="32"/>
      <c r="D757" s="32"/>
      <c r="E757" s="32"/>
      <c r="F757" s="32"/>
      <c r="G757" s="32"/>
    </row>
    <row r="758" ht="15.75" customHeight="1">
      <c r="A758" s="32"/>
      <c r="C758" s="32"/>
      <c r="D758" s="32"/>
      <c r="E758" s="32"/>
      <c r="F758" s="32"/>
      <c r="G758" s="32"/>
    </row>
    <row r="759" ht="15.75" customHeight="1">
      <c r="A759" s="32"/>
      <c r="C759" s="32"/>
      <c r="D759" s="32"/>
      <c r="E759" s="32"/>
      <c r="F759" s="32"/>
      <c r="G759" s="32"/>
    </row>
    <row r="760" ht="15.75" customHeight="1">
      <c r="A760" s="32"/>
      <c r="C760" s="32"/>
      <c r="D760" s="32"/>
      <c r="E760" s="32"/>
      <c r="F760" s="32"/>
      <c r="G760" s="32"/>
    </row>
    <row r="761" ht="15.75" customHeight="1">
      <c r="A761" s="32"/>
      <c r="C761" s="32"/>
      <c r="D761" s="32"/>
      <c r="E761" s="32"/>
      <c r="F761" s="32"/>
      <c r="G761" s="32"/>
    </row>
    <row r="762" ht="15.75" customHeight="1">
      <c r="A762" s="32"/>
      <c r="C762" s="32"/>
      <c r="D762" s="32"/>
      <c r="E762" s="32"/>
      <c r="F762" s="32"/>
      <c r="G762" s="32"/>
    </row>
    <row r="763" ht="15.75" customHeight="1">
      <c r="A763" s="32"/>
      <c r="C763" s="32"/>
      <c r="D763" s="32"/>
      <c r="E763" s="32"/>
      <c r="F763" s="32"/>
      <c r="G763" s="32"/>
    </row>
    <row r="764" ht="15.75" customHeight="1">
      <c r="A764" s="32"/>
      <c r="C764" s="32"/>
      <c r="D764" s="32"/>
      <c r="E764" s="32"/>
      <c r="F764" s="32"/>
      <c r="G764" s="32"/>
    </row>
    <row r="765" ht="15.75" customHeight="1">
      <c r="A765" s="32"/>
      <c r="C765" s="32"/>
      <c r="D765" s="32"/>
      <c r="E765" s="32"/>
      <c r="F765" s="32"/>
      <c r="G765" s="32"/>
    </row>
    <row r="766" ht="15.75" customHeight="1">
      <c r="A766" s="32"/>
      <c r="C766" s="32"/>
      <c r="D766" s="32"/>
      <c r="E766" s="32"/>
      <c r="F766" s="32"/>
      <c r="G766" s="32"/>
    </row>
    <row r="767" ht="15.75" customHeight="1">
      <c r="A767" s="32"/>
      <c r="C767" s="32"/>
      <c r="D767" s="32"/>
      <c r="E767" s="32"/>
      <c r="F767" s="32"/>
      <c r="G767" s="32"/>
    </row>
    <row r="768" ht="15.75" customHeight="1">
      <c r="A768" s="32"/>
      <c r="C768" s="32"/>
      <c r="D768" s="32"/>
      <c r="E768" s="32"/>
      <c r="F768" s="32"/>
      <c r="G768" s="32"/>
    </row>
    <row r="769" ht="15.75" customHeight="1">
      <c r="A769" s="32"/>
      <c r="C769" s="32"/>
      <c r="D769" s="32"/>
      <c r="E769" s="32"/>
      <c r="F769" s="32"/>
      <c r="G769" s="32"/>
    </row>
    <row r="770" ht="15.75" customHeight="1">
      <c r="A770" s="32"/>
      <c r="C770" s="32"/>
      <c r="D770" s="32"/>
      <c r="E770" s="32"/>
      <c r="F770" s="32"/>
      <c r="G770" s="32"/>
    </row>
    <row r="771" ht="15.75" customHeight="1">
      <c r="A771" s="32"/>
      <c r="C771" s="32"/>
      <c r="D771" s="32"/>
      <c r="E771" s="32"/>
      <c r="F771" s="32"/>
      <c r="G771" s="32"/>
    </row>
    <row r="772" ht="15.75" customHeight="1">
      <c r="A772" s="32"/>
      <c r="C772" s="32"/>
      <c r="D772" s="32"/>
      <c r="E772" s="32"/>
      <c r="F772" s="32"/>
      <c r="G772" s="32"/>
    </row>
    <row r="773" ht="15.75" customHeight="1">
      <c r="A773" s="32"/>
      <c r="C773" s="32"/>
      <c r="D773" s="32"/>
      <c r="E773" s="32"/>
      <c r="F773" s="32"/>
      <c r="G773" s="32"/>
    </row>
    <row r="774" ht="15.75" customHeight="1">
      <c r="A774" s="32"/>
      <c r="C774" s="32"/>
      <c r="D774" s="32"/>
      <c r="E774" s="32"/>
      <c r="F774" s="32"/>
      <c r="G774" s="32"/>
    </row>
    <row r="775" ht="15.75" customHeight="1">
      <c r="A775" s="32"/>
      <c r="C775" s="32"/>
      <c r="D775" s="32"/>
      <c r="E775" s="32"/>
      <c r="F775" s="32"/>
      <c r="G775" s="32"/>
    </row>
    <row r="776" ht="15.75" customHeight="1">
      <c r="A776" s="32"/>
      <c r="C776" s="32"/>
      <c r="D776" s="32"/>
      <c r="E776" s="32"/>
      <c r="F776" s="32"/>
      <c r="G776" s="32"/>
    </row>
    <row r="777" ht="15.75" customHeight="1">
      <c r="A777" s="32"/>
      <c r="C777" s="32"/>
      <c r="D777" s="32"/>
      <c r="E777" s="32"/>
      <c r="F777" s="32"/>
      <c r="G777" s="32"/>
    </row>
    <row r="778" ht="15.75" customHeight="1">
      <c r="A778" s="32"/>
      <c r="C778" s="32"/>
      <c r="D778" s="32"/>
      <c r="E778" s="32"/>
      <c r="F778" s="32"/>
      <c r="G778" s="32"/>
    </row>
    <row r="779" ht="15.75" customHeight="1">
      <c r="A779" s="32"/>
      <c r="C779" s="32"/>
      <c r="D779" s="32"/>
      <c r="E779" s="32"/>
      <c r="F779" s="32"/>
      <c r="G779" s="32"/>
    </row>
    <row r="780" ht="15.75" customHeight="1">
      <c r="A780" s="32"/>
      <c r="C780" s="32"/>
      <c r="D780" s="32"/>
      <c r="E780" s="32"/>
      <c r="F780" s="32"/>
      <c r="G780" s="32"/>
    </row>
    <row r="781" ht="15.75" customHeight="1">
      <c r="A781" s="32"/>
      <c r="C781" s="32"/>
      <c r="D781" s="32"/>
      <c r="E781" s="32"/>
      <c r="F781" s="32"/>
      <c r="G781" s="32"/>
    </row>
    <row r="782" ht="15.75" customHeight="1">
      <c r="A782" s="32"/>
      <c r="C782" s="32"/>
      <c r="D782" s="32"/>
      <c r="E782" s="32"/>
      <c r="F782" s="32"/>
      <c r="G782" s="32"/>
    </row>
    <row r="783" ht="15.75" customHeight="1">
      <c r="A783" s="32"/>
      <c r="C783" s="32"/>
      <c r="D783" s="32"/>
      <c r="E783" s="32"/>
      <c r="F783" s="32"/>
      <c r="G783" s="32"/>
    </row>
    <row r="784" ht="15.75" customHeight="1">
      <c r="A784" s="32"/>
      <c r="C784" s="32"/>
      <c r="D784" s="32"/>
      <c r="E784" s="32"/>
      <c r="F784" s="32"/>
      <c r="G784" s="32"/>
    </row>
    <row r="785" ht="15.75" customHeight="1">
      <c r="A785" s="32"/>
      <c r="C785" s="32"/>
      <c r="D785" s="32"/>
      <c r="E785" s="32"/>
      <c r="F785" s="32"/>
      <c r="G785" s="32"/>
    </row>
    <row r="786" ht="15.75" customHeight="1">
      <c r="A786" s="32"/>
      <c r="C786" s="32"/>
      <c r="D786" s="32"/>
      <c r="E786" s="32"/>
      <c r="F786" s="32"/>
      <c r="G786" s="32"/>
    </row>
    <row r="787" ht="15.75" customHeight="1">
      <c r="A787" s="32"/>
      <c r="C787" s="32"/>
      <c r="D787" s="32"/>
      <c r="E787" s="32"/>
      <c r="F787" s="32"/>
      <c r="G787" s="32"/>
    </row>
    <row r="788" ht="15.75" customHeight="1">
      <c r="A788" s="32"/>
      <c r="C788" s="32"/>
      <c r="D788" s="32"/>
      <c r="E788" s="32"/>
      <c r="F788" s="32"/>
      <c r="G788" s="32"/>
    </row>
    <row r="789" ht="15.75" customHeight="1">
      <c r="A789" s="32"/>
      <c r="C789" s="32"/>
      <c r="D789" s="32"/>
      <c r="E789" s="32"/>
      <c r="F789" s="32"/>
      <c r="G789" s="32"/>
    </row>
    <row r="790" ht="15.75" customHeight="1">
      <c r="A790" s="32"/>
      <c r="C790" s="32"/>
      <c r="D790" s="32"/>
      <c r="E790" s="32"/>
      <c r="F790" s="32"/>
      <c r="G790" s="32"/>
    </row>
    <row r="791" ht="15.75" customHeight="1">
      <c r="A791" s="32"/>
      <c r="C791" s="32"/>
      <c r="D791" s="32"/>
      <c r="E791" s="32"/>
      <c r="F791" s="32"/>
      <c r="G791" s="32"/>
    </row>
    <row r="792" ht="15.75" customHeight="1">
      <c r="A792" s="32"/>
      <c r="C792" s="32"/>
      <c r="D792" s="32"/>
      <c r="E792" s="32"/>
      <c r="F792" s="32"/>
      <c r="G792" s="32"/>
    </row>
    <row r="793" ht="15.75" customHeight="1">
      <c r="A793" s="32"/>
      <c r="C793" s="32"/>
      <c r="D793" s="32"/>
      <c r="E793" s="32"/>
      <c r="F793" s="32"/>
      <c r="G793" s="32"/>
    </row>
    <row r="794" ht="15.75" customHeight="1">
      <c r="A794" s="32"/>
      <c r="C794" s="32"/>
      <c r="D794" s="32"/>
      <c r="E794" s="32"/>
      <c r="F794" s="32"/>
      <c r="G794" s="32"/>
    </row>
    <row r="795" ht="15.75" customHeight="1">
      <c r="A795" s="32"/>
      <c r="C795" s="32"/>
      <c r="D795" s="32"/>
      <c r="E795" s="32"/>
      <c r="F795" s="32"/>
      <c r="G795" s="32"/>
    </row>
    <row r="796" ht="15.75" customHeight="1">
      <c r="A796" s="32"/>
      <c r="C796" s="32"/>
      <c r="D796" s="32"/>
      <c r="E796" s="32"/>
      <c r="F796" s="32"/>
      <c r="G796" s="32"/>
    </row>
    <row r="797" ht="15.75" customHeight="1">
      <c r="A797" s="32"/>
      <c r="C797" s="32"/>
      <c r="D797" s="32"/>
      <c r="E797" s="32"/>
      <c r="F797" s="32"/>
      <c r="G797" s="32"/>
    </row>
    <row r="798" ht="15.75" customHeight="1">
      <c r="A798" s="32"/>
      <c r="C798" s="32"/>
      <c r="D798" s="32"/>
      <c r="E798" s="32"/>
      <c r="F798" s="32"/>
      <c r="G798" s="32"/>
    </row>
    <row r="799" ht="15.75" customHeight="1">
      <c r="A799" s="32"/>
      <c r="C799" s="32"/>
      <c r="D799" s="32"/>
      <c r="E799" s="32"/>
      <c r="F799" s="32"/>
      <c r="G799" s="32"/>
    </row>
    <row r="800" ht="15.75" customHeight="1">
      <c r="A800" s="32"/>
      <c r="C800" s="32"/>
      <c r="D800" s="32"/>
      <c r="E800" s="32"/>
      <c r="F800" s="32"/>
      <c r="G800" s="32"/>
    </row>
    <row r="801" ht="15.75" customHeight="1">
      <c r="A801" s="32"/>
      <c r="C801" s="32"/>
      <c r="D801" s="32"/>
      <c r="E801" s="32"/>
      <c r="F801" s="32"/>
      <c r="G801" s="32"/>
    </row>
    <row r="802" ht="15.75" customHeight="1">
      <c r="A802" s="32"/>
      <c r="C802" s="32"/>
      <c r="D802" s="32"/>
      <c r="E802" s="32"/>
      <c r="F802" s="32"/>
      <c r="G802" s="32"/>
    </row>
    <row r="803" ht="15.75" customHeight="1">
      <c r="A803" s="32"/>
      <c r="C803" s="32"/>
      <c r="D803" s="32"/>
      <c r="E803" s="32"/>
      <c r="F803" s="32"/>
      <c r="G803" s="32"/>
    </row>
    <row r="804" ht="15.75" customHeight="1">
      <c r="A804" s="32"/>
      <c r="C804" s="32"/>
      <c r="D804" s="32"/>
      <c r="E804" s="32"/>
      <c r="F804" s="32"/>
      <c r="G804" s="32"/>
    </row>
    <row r="805" ht="15.75" customHeight="1">
      <c r="A805" s="32"/>
      <c r="C805" s="32"/>
      <c r="D805" s="32"/>
      <c r="E805" s="32"/>
      <c r="F805" s="32"/>
      <c r="G805" s="32"/>
    </row>
    <row r="806" ht="15.75" customHeight="1">
      <c r="A806" s="32"/>
      <c r="C806" s="32"/>
      <c r="D806" s="32"/>
      <c r="E806" s="32"/>
      <c r="F806" s="32"/>
      <c r="G806" s="32"/>
    </row>
    <row r="807" ht="15.75" customHeight="1">
      <c r="A807" s="32"/>
      <c r="C807" s="32"/>
      <c r="D807" s="32"/>
      <c r="E807" s="32"/>
      <c r="F807" s="32"/>
      <c r="G807" s="32"/>
    </row>
    <row r="808" ht="15.75" customHeight="1">
      <c r="A808" s="32"/>
      <c r="C808" s="32"/>
      <c r="D808" s="32"/>
      <c r="E808" s="32"/>
      <c r="F808" s="32"/>
      <c r="G808" s="32"/>
    </row>
    <row r="809" ht="15.75" customHeight="1">
      <c r="A809" s="32"/>
      <c r="C809" s="32"/>
      <c r="D809" s="32"/>
      <c r="E809" s="32"/>
      <c r="F809" s="32"/>
      <c r="G809" s="32"/>
    </row>
    <row r="810" ht="15.75" customHeight="1">
      <c r="A810" s="32"/>
      <c r="C810" s="32"/>
      <c r="D810" s="32"/>
      <c r="E810" s="32"/>
      <c r="F810" s="32"/>
      <c r="G810" s="32"/>
    </row>
    <row r="811" ht="15.75" customHeight="1">
      <c r="A811" s="32"/>
      <c r="C811" s="32"/>
      <c r="D811" s="32"/>
      <c r="E811" s="32"/>
      <c r="F811" s="32"/>
      <c r="G811" s="32"/>
    </row>
    <row r="812" ht="15.75" customHeight="1">
      <c r="A812" s="32"/>
      <c r="C812" s="32"/>
      <c r="D812" s="32"/>
      <c r="E812" s="32"/>
      <c r="F812" s="32"/>
      <c r="G812" s="32"/>
    </row>
    <row r="813" ht="15.75" customHeight="1">
      <c r="A813" s="32"/>
      <c r="C813" s="32"/>
      <c r="D813" s="32"/>
      <c r="E813" s="32"/>
      <c r="F813" s="32"/>
      <c r="G813" s="32"/>
    </row>
    <row r="814" ht="15.75" customHeight="1">
      <c r="A814" s="32"/>
      <c r="C814" s="32"/>
      <c r="D814" s="32"/>
      <c r="E814" s="32"/>
      <c r="F814" s="32"/>
      <c r="G814" s="32"/>
    </row>
    <row r="815" ht="15.75" customHeight="1">
      <c r="A815" s="32"/>
      <c r="C815" s="32"/>
      <c r="D815" s="32"/>
      <c r="E815" s="32"/>
      <c r="F815" s="32"/>
      <c r="G815" s="32"/>
    </row>
    <row r="816" ht="15.75" customHeight="1">
      <c r="A816" s="32"/>
      <c r="C816" s="32"/>
      <c r="D816" s="32"/>
      <c r="E816" s="32"/>
      <c r="F816" s="32"/>
      <c r="G816" s="32"/>
    </row>
    <row r="817" ht="15.75" customHeight="1">
      <c r="A817" s="32"/>
      <c r="C817" s="32"/>
      <c r="D817" s="32"/>
      <c r="E817" s="32"/>
      <c r="F817" s="32"/>
      <c r="G817" s="32"/>
    </row>
    <row r="818" ht="15.75" customHeight="1">
      <c r="A818" s="32"/>
      <c r="C818" s="32"/>
      <c r="D818" s="32"/>
      <c r="E818" s="32"/>
      <c r="F818" s="32"/>
      <c r="G818" s="32"/>
    </row>
    <row r="819" ht="15.75" customHeight="1">
      <c r="A819" s="32"/>
      <c r="C819" s="32"/>
      <c r="D819" s="32"/>
      <c r="E819" s="32"/>
      <c r="F819" s="32"/>
      <c r="G819" s="32"/>
    </row>
    <row r="820" ht="15.75" customHeight="1">
      <c r="A820" s="32"/>
      <c r="C820" s="32"/>
      <c r="D820" s="32"/>
      <c r="E820" s="32"/>
      <c r="F820" s="32"/>
      <c r="G820" s="32"/>
    </row>
    <row r="821" ht="15.75" customHeight="1">
      <c r="A821" s="32"/>
      <c r="C821" s="32"/>
      <c r="D821" s="32"/>
      <c r="E821" s="32"/>
      <c r="F821" s="32"/>
      <c r="G821" s="32"/>
    </row>
    <row r="822" ht="15.75" customHeight="1">
      <c r="A822" s="32"/>
      <c r="C822" s="32"/>
      <c r="D822" s="32"/>
      <c r="E822" s="32"/>
      <c r="F822" s="32"/>
      <c r="G822" s="32"/>
    </row>
    <row r="823" ht="15.75" customHeight="1">
      <c r="A823" s="32"/>
      <c r="C823" s="32"/>
      <c r="D823" s="32"/>
      <c r="E823" s="32"/>
      <c r="F823" s="32"/>
      <c r="G823" s="32"/>
    </row>
    <row r="824" ht="15.75" customHeight="1">
      <c r="A824" s="32"/>
      <c r="C824" s="32"/>
      <c r="D824" s="32"/>
      <c r="E824" s="32"/>
      <c r="F824" s="32"/>
      <c r="G824" s="32"/>
    </row>
    <row r="825" ht="15.75" customHeight="1">
      <c r="A825" s="32"/>
      <c r="C825" s="32"/>
      <c r="D825" s="32"/>
      <c r="E825" s="32"/>
      <c r="F825" s="32"/>
      <c r="G825" s="32"/>
    </row>
    <row r="826" ht="15.75" customHeight="1">
      <c r="A826" s="32"/>
      <c r="C826" s="32"/>
      <c r="D826" s="32"/>
      <c r="E826" s="32"/>
      <c r="F826" s="32"/>
      <c r="G826" s="32"/>
    </row>
    <row r="827" ht="15.75" customHeight="1">
      <c r="A827" s="32"/>
      <c r="C827" s="32"/>
      <c r="D827" s="32"/>
      <c r="E827" s="32"/>
      <c r="F827" s="32"/>
      <c r="G827" s="32"/>
    </row>
    <row r="828" ht="15.75" customHeight="1">
      <c r="A828" s="32"/>
      <c r="C828" s="32"/>
      <c r="D828" s="32"/>
      <c r="E828" s="32"/>
      <c r="F828" s="32"/>
      <c r="G828" s="32"/>
    </row>
    <row r="829" ht="15.75" customHeight="1">
      <c r="A829" s="32"/>
      <c r="C829" s="32"/>
      <c r="D829" s="32"/>
      <c r="E829" s="32"/>
      <c r="F829" s="32"/>
      <c r="G829" s="32"/>
    </row>
    <row r="830" ht="15.75" customHeight="1">
      <c r="A830" s="32"/>
      <c r="C830" s="32"/>
      <c r="D830" s="32"/>
      <c r="E830" s="32"/>
      <c r="F830" s="32"/>
      <c r="G830" s="32"/>
    </row>
    <row r="831" ht="15.75" customHeight="1">
      <c r="A831" s="32"/>
      <c r="C831" s="32"/>
      <c r="D831" s="32"/>
      <c r="E831" s="32"/>
      <c r="F831" s="32"/>
      <c r="G831" s="32"/>
    </row>
    <row r="832" ht="15.75" customHeight="1">
      <c r="A832" s="32"/>
      <c r="C832" s="32"/>
      <c r="D832" s="32"/>
      <c r="E832" s="32"/>
      <c r="F832" s="32"/>
      <c r="G832" s="32"/>
    </row>
    <row r="833" ht="15.75" customHeight="1">
      <c r="A833" s="32"/>
      <c r="C833" s="32"/>
      <c r="D833" s="32"/>
      <c r="E833" s="32"/>
      <c r="F833" s="32"/>
      <c r="G833" s="32"/>
    </row>
    <row r="834" ht="15.75" customHeight="1">
      <c r="A834" s="32"/>
      <c r="C834" s="32"/>
      <c r="D834" s="32"/>
      <c r="E834" s="32"/>
      <c r="F834" s="32"/>
      <c r="G834" s="32"/>
    </row>
    <row r="835" ht="15.75" customHeight="1">
      <c r="A835" s="32"/>
      <c r="C835" s="32"/>
      <c r="D835" s="32"/>
      <c r="E835" s="32"/>
      <c r="F835" s="32"/>
      <c r="G835" s="32"/>
    </row>
    <row r="836" ht="15.75" customHeight="1">
      <c r="A836" s="32"/>
      <c r="C836" s="32"/>
      <c r="D836" s="32"/>
      <c r="E836" s="32"/>
      <c r="F836" s="32"/>
      <c r="G836" s="32"/>
    </row>
    <row r="837" ht="15.75" customHeight="1">
      <c r="A837" s="32"/>
      <c r="C837" s="32"/>
      <c r="D837" s="32"/>
      <c r="E837" s="32"/>
      <c r="F837" s="32"/>
      <c r="G837" s="32"/>
    </row>
    <row r="838" ht="15.75" customHeight="1">
      <c r="A838" s="32"/>
      <c r="C838" s="32"/>
      <c r="D838" s="32"/>
      <c r="E838" s="32"/>
      <c r="F838" s="32"/>
      <c r="G838" s="32"/>
    </row>
    <row r="839" ht="15.75" customHeight="1">
      <c r="A839" s="32"/>
      <c r="C839" s="32"/>
      <c r="D839" s="32"/>
      <c r="E839" s="32"/>
      <c r="F839" s="32"/>
      <c r="G839" s="32"/>
    </row>
    <row r="840" ht="15.75" customHeight="1">
      <c r="A840" s="32"/>
      <c r="C840" s="32"/>
      <c r="D840" s="32"/>
      <c r="E840" s="32"/>
      <c r="F840" s="32"/>
      <c r="G840" s="32"/>
    </row>
    <row r="841" ht="15.75" customHeight="1">
      <c r="A841" s="32"/>
      <c r="C841" s="32"/>
      <c r="D841" s="32"/>
      <c r="E841" s="32"/>
      <c r="F841" s="32"/>
      <c r="G841" s="32"/>
    </row>
    <row r="842" ht="15.75" customHeight="1">
      <c r="A842" s="32"/>
      <c r="C842" s="32"/>
      <c r="D842" s="32"/>
      <c r="E842" s="32"/>
      <c r="F842" s="32"/>
      <c r="G842" s="32"/>
    </row>
    <row r="843" ht="15.75" customHeight="1">
      <c r="A843" s="32"/>
      <c r="C843" s="32"/>
      <c r="D843" s="32"/>
      <c r="E843" s="32"/>
      <c r="F843" s="32"/>
      <c r="G843" s="32"/>
    </row>
    <row r="844" ht="15.75" customHeight="1">
      <c r="A844" s="32"/>
      <c r="C844" s="32"/>
      <c r="D844" s="32"/>
      <c r="E844" s="32"/>
      <c r="F844" s="32"/>
      <c r="G844" s="32"/>
    </row>
    <row r="845" ht="15.75" customHeight="1">
      <c r="A845" s="32"/>
      <c r="C845" s="32"/>
      <c r="D845" s="32"/>
      <c r="E845" s="32"/>
      <c r="F845" s="32"/>
      <c r="G845" s="32"/>
    </row>
    <row r="846" ht="15.75" customHeight="1">
      <c r="A846" s="32"/>
      <c r="C846" s="32"/>
      <c r="D846" s="32"/>
      <c r="E846" s="32"/>
      <c r="F846" s="32"/>
      <c r="G846" s="32"/>
    </row>
    <row r="847" ht="15.75" customHeight="1">
      <c r="A847" s="32"/>
      <c r="C847" s="32"/>
      <c r="D847" s="32"/>
      <c r="E847" s="32"/>
      <c r="F847" s="32"/>
      <c r="G847" s="32"/>
    </row>
    <row r="848" ht="15.75" customHeight="1">
      <c r="A848" s="32"/>
      <c r="C848" s="32"/>
      <c r="D848" s="32"/>
      <c r="E848" s="32"/>
      <c r="F848" s="32"/>
      <c r="G848" s="32"/>
    </row>
    <row r="849" ht="15.75" customHeight="1">
      <c r="A849" s="32"/>
      <c r="C849" s="32"/>
      <c r="D849" s="32"/>
      <c r="E849" s="32"/>
      <c r="F849" s="32"/>
      <c r="G849" s="32"/>
    </row>
    <row r="850" ht="15.75" customHeight="1">
      <c r="A850" s="32"/>
      <c r="C850" s="32"/>
      <c r="D850" s="32"/>
      <c r="E850" s="32"/>
      <c r="F850" s="32"/>
      <c r="G850" s="32"/>
    </row>
    <row r="851" ht="15.75" customHeight="1">
      <c r="A851" s="32"/>
      <c r="C851" s="32"/>
      <c r="D851" s="32"/>
      <c r="E851" s="32"/>
      <c r="F851" s="32"/>
      <c r="G851" s="32"/>
    </row>
    <row r="852" ht="15.75" customHeight="1">
      <c r="A852" s="32"/>
      <c r="C852" s="32"/>
      <c r="D852" s="32"/>
      <c r="E852" s="32"/>
      <c r="F852" s="32"/>
      <c r="G852" s="32"/>
    </row>
    <row r="853" ht="15.75" customHeight="1">
      <c r="A853" s="32"/>
      <c r="C853" s="32"/>
      <c r="D853" s="32"/>
      <c r="E853" s="32"/>
      <c r="F853" s="32"/>
      <c r="G853" s="32"/>
    </row>
    <row r="854" ht="15.75" customHeight="1">
      <c r="A854" s="32"/>
      <c r="C854" s="32"/>
      <c r="D854" s="32"/>
      <c r="E854" s="32"/>
      <c r="F854" s="32"/>
      <c r="G854" s="32"/>
    </row>
    <row r="855" ht="15.75" customHeight="1">
      <c r="A855" s="32"/>
      <c r="C855" s="32"/>
      <c r="D855" s="32"/>
      <c r="E855" s="32"/>
      <c r="F855" s="32"/>
      <c r="G855" s="32"/>
    </row>
    <row r="856" ht="15.75" customHeight="1">
      <c r="A856" s="32"/>
      <c r="C856" s="32"/>
      <c r="D856" s="32"/>
      <c r="E856" s="32"/>
      <c r="F856" s="32"/>
      <c r="G856" s="32"/>
    </row>
    <row r="857" ht="15.75" customHeight="1">
      <c r="A857" s="32"/>
      <c r="C857" s="32"/>
      <c r="D857" s="32"/>
      <c r="E857" s="32"/>
      <c r="F857" s="32"/>
      <c r="G857" s="32"/>
    </row>
    <row r="858" ht="15.75" customHeight="1">
      <c r="A858" s="32"/>
      <c r="C858" s="32"/>
      <c r="D858" s="32"/>
      <c r="E858" s="32"/>
      <c r="F858" s="32"/>
      <c r="G858" s="32"/>
    </row>
    <row r="859" ht="15.75" customHeight="1">
      <c r="A859" s="32"/>
      <c r="C859" s="32"/>
      <c r="D859" s="32"/>
      <c r="E859" s="32"/>
      <c r="F859" s="32"/>
      <c r="G859" s="32"/>
    </row>
    <row r="860" ht="15.75" customHeight="1">
      <c r="A860" s="32"/>
      <c r="C860" s="32"/>
      <c r="D860" s="32"/>
      <c r="E860" s="32"/>
      <c r="F860" s="32"/>
      <c r="G860" s="32"/>
    </row>
    <row r="861" ht="15.75" customHeight="1">
      <c r="A861" s="32"/>
      <c r="C861" s="32"/>
      <c r="D861" s="32"/>
      <c r="E861" s="32"/>
      <c r="F861" s="32"/>
      <c r="G861" s="32"/>
    </row>
    <row r="862" ht="15.75" customHeight="1">
      <c r="A862" s="32"/>
      <c r="C862" s="32"/>
      <c r="D862" s="32"/>
      <c r="E862" s="32"/>
      <c r="F862" s="32"/>
      <c r="G862" s="32"/>
    </row>
    <row r="863" ht="15.75" customHeight="1">
      <c r="A863" s="32"/>
      <c r="C863" s="32"/>
      <c r="D863" s="32"/>
      <c r="E863" s="32"/>
      <c r="F863" s="32"/>
      <c r="G863" s="32"/>
    </row>
    <row r="864" ht="15.75" customHeight="1">
      <c r="A864" s="32"/>
      <c r="C864" s="32"/>
      <c r="D864" s="32"/>
      <c r="E864" s="32"/>
      <c r="F864" s="32"/>
      <c r="G864" s="32"/>
    </row>
    <row r="865" ht="15.75" customHeight="1">
      <c r="A865" s="32"/>
      <c r="C865" s="32"/>
      <c r="D865" s="32"/>
      <c r="E865" s="32"/>
      <c r="F865" s="32"/>
      <c r="G865" s="32"/>
    </row>
    <row r="866" ht="15.75" customHeight="1">
      <c r="A866" s="32"/>
      <c r="C866" s="32"/>
      <c r="D866" s="32"/>
      <c r="E866" s="32"/>
      <c r="F866" s="32"/>
      <c r="G866" s="32"/>
    </row>
    <row r="867" ht="15.75" customHeight="1">
      <c r="A867" s="32"/>
      <c r="C867" s="32"/>
      <c r="D867" s="32"/>
      <c r="E867" s="32"/>
      <c r="F867" s="32"/>
      <c r="G867" s="32"/>
    </row>
    <row r="868" ht="15.75" customHeight="1">
      <c r="A868" s="32"/>
      <c r="C868" s="32"/>
      <c r="D868" s="32"/>
      <c r="E868" s="32"/>
      <c r="F868" s="32"/>
      <c r="G868" s="32"/>
    </row>
    <row r="869" ht="15.75" customHeight="1">
      <c r="A869" s="32"/>
      <c r="C869" s="32"/>
      <c r="D869" s="32"/>
      <c r="E869" s="32"/>
      <c r="F869" s="32"/>
      <c r="G869" s="32"/>
    </row>
    <row r="870" ht="15.75" customHeight="1">
      <c r="A870" s="32"/>
      <c r="C870" s="32"/>
      <c r="D870" s="32"/>
      <c r="E870" s="32"/>
      <c r="F870" s="32"/>
      <c r="G870" s="32"/>
    </row>
    <row r="871" ht="15.75" customHeight="1">
      <c r="A871" s="32"/>
      <c r="C871" s="32"/>
      <c r="D871" s="32"/>
      <c r="E871" s="32"/>
      <c r="F871" s="32"/>
      <c r="G871" s="32"/>
    </row>
    <row r="872" ht="15.75" customHeight="1">
      <c r="A872" s="32"/>
      <c r="C872" s="32"/>
      <c r="D872" s="32"/>
      <c r="E872" s="32"/>
      <c r="F872" s="32"/>
      <c r="G872" s="32"/>
    </row>
    <row r="873" ht="15.75" customHeight="1">
      <c r="A873" s="32"/>
      <c r="C873" s="32"/>
      <c r="D873" s="32"/>
      <c r="E873" s="32"/>
      <c r="F873" s="32"/>
      <c r="G873" s="32"/>
    </row>
    <row r="874" ht="15.75" customHeight="1">
      <c r="A874" s="32"/>
      <c r="C874" s="32"/>
      <c r="D874" s="32"/>
      <c r="E874" s="32"/>
      <c r="F874" s="32"/>
      <c r="G874" s="32"/>
    </row>
    <row r="875" ht="15.75" customHeight="1">
      <c r="A875" s="32"/>
      <c r="C875" s="32"/>
      <c r="D875" s="32"/>
      <c r="E875" s="32"/>
      <c r="F875" s="32"/>
      <c r="G875" s="32"/>
    </row>
    <row r="876" ht="15.75" customHeight="1">
      <c r="A876" s="32"/>
      <c r="C876" s="32"/>
      <c r="D876" s="32"/>
      <c r="E876" s="32"/>
      <c r="F876" s="32"/>
      <c r="G876" s="32"/>
    </row>
    <row r="877" ht="15.75" customHeight="1">
      <c r="A877" s="32"/>
      <c r="C877" s="32"/>
      <c r="D877" s="32"/>
      <c r="E877" s="32"/>
      <c r="F877" s="32"/>
      <c r="G877" s="32"/>
    </row>
    <row r="878" ht="15.75" customHeight="1">
      <c r="A878" s="32"/>
      <c r="C878" s="32"/>
      <c r="D878" s="32"/>
      <c r="E878" s="32"/>
      <c r="F878" s="32"/>
      <c r="G878" s="32"/>
    </row>
    <row r="879" ht="15.75" customHeight="1">
      <c r="A879" s="32"/>
      <c r="C879" s="32"/>
      <c r="D879" s="32"/>
      <c r="E879" s="32"/>
      <c r="F879" s="32"/>
      <c r="G879" s="32"/>
    </row>
    <row r="880" ht="15.75" customHeight="1">
      <c r="A880" s="32"/>
      <c r="C880" s="32"/>
      <c r="D880" s="32"/>
      <c r="E880" s="32"/>
      <c r="F880" s="32"/>
      <c r="G880" s="32"/>
    </row>
    <row r="881" ht="15.75" customHeight="1">
      <c r="A881" s="32"/>
      <c r="C881" s="32"/>
      <c r="D881" s="32"/>
      <c r="E881" s="32"/>
      <c r="F881" s="32"/>
      <c r="G881" s="32"/>
    </row>
    <row r="882" ht="15.75" customHeight="1">
      <c r="A882" s="32"/>
      <c r="C882" s="32"/>
      <c r="D882" s="32"/>
      <c r="E882" s="32"/>
      <c r="F882" s="32"/>
      <c r="G882" s="32"/>
    </row>
    <row r="883" ht="15.75" customHeight="1">
      <c r="A883" s="32"/>
      <c r="C883" s="32"/>
      <c r="D883" s="32"/>
      <c r="E883" s="32"/>
      <c r="F883" s="32"/>
      <c r="G883" s="32"/>
    </row>
    <row r="884" ht="15.75" customHeight="1">
      <c r="A884" s="32"/>
      <c r="C884" s="32"/>
      <c r="D884" s="32"/>
      <c r="E884" s="32"/>
      <c r="F884" s="32"/>
      <c r="G884" s="32"/>
    </row>
    <row r="885" ht="15.75" customHeight="1">
      <c r="A885" s="32"/>
      <c r="C885" s="32"/>
      <c r="D885" s="32"/>
      <c r="E885" s="32"/>
      <c r="F885" s="32"/>
      <c r="G885" s="32"/>
    </row>
    <row r="886" ht="15.75" customHeight="1">
      <c r="A886" s="32"/>
      <c r="C886" s="32"/>
      <c r="D886" s="32"/>
      <c r="E886" s="32"/>
      <c r="F886" s="32"/>
      <c r="G886" s="32"/>
    </row>
    <row r="887" ht="15.75" customHeight="1">
      <c r="A887" s="32"/>
      <c r="C887" s="32"/>
      <c r="D887" s="32"/>
      <c r="E887" s="32"/>
      <c r="F887" s="32"/>
      <c r="G887" s="32"/>
    </row>
    <row r="888" ht="15.75" customHeight="1">
      <c r="A888" s="32"/>
      <c r="C888" s="32"/>
      <c r="D888" s="32"/>
      <c r="E888" s="32"/>
      <c r="F888" s="32"/>
      <c r="G888" s="32"/>
    </row>
    <row r="889" ht="15.75" customHeight="1">
      <c r="A889" s="32"/>
      <c r="C889" s="32"/>
      <c r="D889" s="32"/>
      <c r="E889" s="32"/>
      <c r="F889" s="32"/>
      <c r="G889" s="32"/>
    </row>
    <row r="890" ht="15.75" customHeight="1">
      <c r="A890" s="32"/>
      <c r="C890" s="32"/>
      <c r="D890" s="32"/>
      <c r="E890" s="32"/>
      <c r="F890" s="32"/>
      <c r="G890" s="32"/>
    </row>
    <row r="891" ht="15.75" customHeight="1">
      <c r="A891" s="32"/>
      <c r="C891" s="32"/>
      <c r="D891" s="32"/>
      <c r="E891" s="32"/>
      <c r="F891" s="32"/>
      <c r="G891" s="32"/>
    </row>
    <row r="892" ht="15.75" customHeight="1">
      <c r="A892" s="32"/>
      <c r="C892" s="32"/>
      <c r="D892" s="32"/>
      <c r="E892" s="32"/>
      <c r="F892" s="32"/>
      <c r="G892" s="32"/>
    </row>
    <row r="893" ht="15.75" customHeight="1">
      <c r="A893" s="32"/>
      <c r="C893" s="32"/>
      <c r="D893" s="32"/>
      <c r="E893" s="32"/>
      <c r="F893" s="32"/>
      <c r="G893" s="32"/>
    </row>
    <row r="894" ht="15.75" customHeight="1">
      <c r="A894" s="32"/>
      <c r="C894" s="32"/>
      <c r="D894" s="32"/>
      <c r="E894" s="32"/>
      <c r="F894" s="32"/>
      <c r="G894" s="32"/>
    </row>
    <row r="895" ht="15.75" customHeight="1">
      <c r="A895" s="32"/>
      <c r="C895" s="32"/>
      <c r="D895" s="32"/>
      <c r="E895" s="32"/>
      <c r="F895" s="32"/>
      <c r="G895" s="32"/>
    </row>
    <row r="896" ht="15.75" customHeight="1">
      <c r="A896" s="32"/>
      <c r="C896" s="32"/>
      <c r="D896" s="32"/>
      <c r="E896" s="32"/>
      <c r="F896" s="32"/>
      <c r="G896" s="32"/>
    </row>
    <row r="897" ht="15.75" customHeight="1">
      <c r="A897" s="32"/>
      <c r="C897" s="32"/>
      <c r="D897" s="32"/>
      <c r="E897" s="32"/>
      <c r="F897" s="32"/>
      <c r="G897" s="32"/>
    </row>
    <row r="898" ht="15.75" customHeight="1">
      <c r="A898" s="32"/>
      <c r="C898" s="32"/>
      <c r="D898" s="32"/>
      <c r="E898" s="32"/>
      <c r="F898" s="32"/>
      <c r="G898" s="32"/>
    </row>
    <row r="899" ht="15.75" customHeight="1">
      <c r="A899" s="32"/>
      <c r="C899" s="32"/>
      <c r="D899" s="32"/>
      <c r="E899" s="32"/>
      <c r="F899" s="32"/>
      <c r="G899" s="32"/>
    </row>
    <row r="900" ht="15.75" customHeight="1">
      <c r="A900" s="32"/>
      <c r="C900" s="32"/>
      <c r="D900" s="32"/>
      <c r="E900" s="32"/>
      <c r="F900" s="32"/>
      <c r="G900" s="32"/>
    </row>
    <row r="901" ht="15.75" customHeight="1">
      <c r="A901" s="32"/>
      <c r="C901" s="32"/>
      <c r="D901" s="32"/>
      <c r="E901" s="32"/>
      <c r="F901" s="32"/>
      <c r="G901" s="32"/>
    </row>
    <row r="902" ht="15.75" customHeight="1">
      <c r="A902" s="32"/>
      <c r="C902" s="32"/>
      <c r="D902" s="32"/>
      <c r="E902" s="32"/>
      <c r="F902" s="32"/>
      <c r="G902" s="32"/>
    </row>
    <row r="903" ht="15.75" customHeight="1">
      <c r="A903" s="32"/>
      <c r="C903" s="32"/>
      <c r="D903" s="32"/>
      <c r="E903" s="32"/>
      <c r="F903" s="32"/>
      <c r="G903" s="32"/>
    </row>
    <row r="904" ht="15.75" customHeight="1">
      <c r="A904" s="32"/>
      <c r="C904" s="32"/>
      <c r="D904" s="32"/>
      <c r="E904" s="32"/>
      <c r="F904" s="32"/>
      <c r="G904" s="32"/>
    </row>
    <row r="905" ht="15.75" customHeight="1">
      <c r="A905" s="32"/>
      <c r="C905" s="32"/>
      <c r="D905" s="32"/>
      <c r="E905" s="32"/>
      <c r="F905" s="32"/>
      <c r="G905" s="32"/>
    </row>
    <row r="906" ht="15.75" customHeight="1">
      <c r="A906" s="32"/>
      <c r="C906" s="32"/>
      <c r="D906" s="32"/>
      <c r="E906" s="32"/>
      <c r="F906" s="32"/>
      <c r="G906" s="32"/>
    </row>
    <row r="907" ht="15.75" customHeight="1">
      <c r="A907" s="32"/>
      <c r="C907" s="32"/>
      <c r="D907" s="32"/>
      <c r="E907" s="32"/>
      <c r="F907" s="32"/>
      <c r="G907" s="32"/>
    </row>
    <row r="908" ht="15.75" customHeight="1">
      <c r="A908" s="32"/>
      <c r="C908" s="32"/>
      <c r="D908" s="32"/>
      <c r="E908" s="32"/>
      <c r="F908" s="32"/>
      <c r="G908" s="32"/>
    </row>
    <row r="909" ht="15.75" customHeight="1">
      <c r="A909" s="32"/>
      <c r="C909" s="32"/>
      <c r="D909" s="32"/>
      <c r="E909" s="32"/>
      <c r="F909" s="32"/>
      <c r="G909" s="32"/>
    </row>
    <row r="910" ht="15.75" customHeight="1">
      <c r="A910" s="32"/>
      <c r="C910" s="32"/>
      <c r="D910" s="32"/>
      <c r="E910" s="32"/>
      <c r="F910" s="32"/>
      <c r="G910" s="32"/>
    </row>
    <row r="911" ht="15.75" customHeight="1">
      <c r="A911" s="32"/>
      <c r="C911" s="32"/>
      <c r="D911" s="32"/>
      <c r="E911" s="32"/>
      <c r="F911" s="32"/>
      <c r="G911" s="32"/>
    </row>
    <row r="912" ht="15.75" customHeight="1">
      <c r="A912" s="32"/>
      <c r="C912" s="32"/>
      <c r="D912" s="32"/>
      <c r="E912" s="32"/>
      <c r="F912" s="32"/>
      <c r="G912" s="32"/>
    </row>
    <row r="913" ht="15.75" customHeight="1">
      <c r="A913" s="32"/>
      <c r="C913" s="32"/>
      <c r="D913" s="32"/>
      <c r="E913" s="32"/>
      <c r="F913" s="32"/>
      <c r="G913" s="32"/>
    </row>
    <row r="914" ht="15.75" customHeight="1">
      <c r="A914" s="32"/>
      <c r="C914" s="32"/>
      <c r="D914" s="32"/>
      <c r="E914" s="32"/>
      <c r="F914" s="32"/>
      <c r="G914" s="32"/>
    </row>
    <row r="915" ht="15.75" customHeight="1">
      <c r="A915" s="32"/>
      <c r="C915" s="32"/>
      <c r="D915" s="32"/>
      <c r="E915" s="32"/>
      <c r="F915" s="32"/>
      <c r="G915" s="32"/>
    </row>
    <row r="916" ht="15.75" customHeight="1">
      <c r="A916" s="32"/>
      <c r="C916" s="32"/>
      <c r="D916" s="32"/>
      <c r="E916" s="32"/>
      <c r="F916" s="32"/>
      <c r="G916" s="32"/>
    </row>
    <row r="917" ht="15.75" customHeight="1">
      <c r="A917" s="32"/>
      <c r="C917" s="32"/>
      <c r="D917" s="32"/>
      <c r="E917" s="32"/>
      <c r="F917" s="32"/>
      <c r="G917" s="32"/>
    </row>
    <row r="918" ht="15.75" customHeight="1">
      <c r="A918" s="32"/>
      <c r="C918" s="32"/>
      <c r="D918" s="32"/>
      <c r="E918" s="32"/>
      <c r="F918" s="32"/>
      <c r="G918" s="32"/>
    </row>
    <row r="919" ht="15.75" customHeight="1">
      <c r="A919" s="32"/>
      <c r="C919" s="32"/>
      <c r="D919" s="32"/>
      <c r="E919" s="32"/>
      <c r="F919" s="32"/>
      <c r="G919" s="32"/>
    </row>
    <row r="920" ht="15.75" customHeight="1">
      <c r="A920" s="32"/>
      <c r="C920" s="32"/>
      <c r="D920" s="32"/>
      <c r="E920" s="32"/>
      <c r="F920" s="32"/>
      <c r="G920" s="32"/>
    </row>
    <row r="921" ht="15.75" customHeight="1">
      <c r="A921" s="32"/>
      <c r="C921" s="32"/>
      <c r="D921" s="32"/>
      <c r="E921" s="32"/>
      <c r="F921" s="32"/>
      <c r="G921" s="32"/>
    </row>
    <row r="922" ht="15.75" customHeight="1">
      <c r="A922" s="32"/>
      <c r="C922" s="32"/>
      <c r="D922" s="32"/>
      <c r="E922" s="32"/>
      <c r="F922" s="32"/>
      <c r="G922" s="32"/>
    </row>
    <row r="923" ht="15.75" customHeight="1">
      <c r="A923" s="32"/>
      <c r="C923" s="32"/>
      <c r="D923" s="32"/>
      <c r="E923" s="32"/>
      <c r="F923" s="32"/>
      <c r="G923" s="32"/>
    </row>
    <row r="924" ht="15.75" customHeight="1">
      <c r="A924" s="32"/>
      <c r="C924" s="32"/>
      <c r="D924" s="32"/>
      <c r="E924" s="32"/>
      <c r="F924" s="32"/>
      <c r="G924" s="32"/>
    </row>
    <row r="925" ht="15.75" customHeight="1">
      <c r="A925" s="32"/>
      <c r="C925" s="32"/>
      <c r="D925" s="32"/>
      <c r="E925" s="32"/>
      <c r="F925" s="32"/>
      <c r="G925" s="32"/>
    </row>
    <row r="926" ht="15.75" customHeight="1">
      <c r="A926" s="32"/>
      <c r="C926" s="32"/>
      <c r="D926" s="32"/>
      <c r="E926" s="32"/>
      <c r="F926" s="32"/>
      <c r="G926" s="32"/>
    </row>
    <row r="927" ht="15.75" customHeight="1">
      <c r="A927" s="32"/>
      <c r="C927" s="32"/>
      <c r="D927" s="32"/>
      <c r="E927" s="32"/>
      <c r="F927" s="32"/>
      <c r="G927" s="32"/>
    </row>
    <row r="928" ht="15.75" customHeight="1">
      <c r="A928" s="32"/>
      <c r="C928" s="32"/>
      <c r="D928" s="32"/>
      <c r="E928" s="32"/>
      <c r="F928" s="32"/>
      <c r="G928" s="32"/>
    </row>
    <row r="929" ht="15.75" customHeight="1">
      <c r="A929" s="32"/>
      <c r="C929" s="32"/>
      <c r="D929" s="32"/>
      <c r="E929" s="32"/>
      <c r="F929" s="32"/>
      <c r="G929" s="32"/>
    </row>
    <row r="930" ht="15.75" customHeight="1">
      <c r="A930" s="32"/>
      <c r="C930" s="32"/>
      <c r="D930" s="32"/>
      <c r="E930" s="32"/>
      <c r="F930" s="32"/>
      <c r="G930" s="32"/>
    </row>
    <row r="931" ht="15.75" customHeight="1">
      <c r="A931" s="32"/>
      <c r="C931" s="32"/>
      <c r="D931" s="32"/>
      <c r="E931" s="32"/>
      <c r="F931" s="32"/>
      <c r="G931" s="32"/>
    </row>
    <row r="932" ht="15.75" customHeight="1">
      <c r="A932" s="32"/>
      <c r="C932" s="32"/>
      <c r="D932" s="32"/>
      <c r="E932" s="32"/>
      <c r="F932" s="32"/>
      <c r="G932" s="32"/>
    </row>
    <row r="933" ht="15.75" customHeight="1">
      <c r="A933" s="32"/>
      <c r="C933" s="32"/>
      <c r="D933" s="32"/>
      <c r="E933" s="32"/>
      <c r="F933" s="32"/>
      <c r="G933" s="32"/>
    </row>
    <row r="934" ht="15.75" customHeight="1">
      <c r="A934" s="32"/>
      <c r="C934" s="32"/>
      <c r="D934" s="32"/>
      <c r="E934" s="32"/>
      <c r="F934" s="32"/>
      <c r="G934" s="32"/>
    </row>
    <row r="935" ht="15.75" customHeight="1">
      <c r="A935" s="32"/>
      <c r="C935" s="32"/>
      <c r="D935" s="32"/>
      <c r="E935" s="32"/>
      <c r="F935" s="32"/>
      <c r="G935" s="32"/>
    </row>
    <row r="936" ht="15.75" customHeight="1">
      <c r="A936" s="32"/>
      <c r="C936" s="32"/>
      <c r="D936" s="32"/>
      <c r="E936" s="32"/>
      <c r="F936" s="32"/>
      <c r="G936" s="32"/>
    </row>
    <row r="937" ht="15.75" customHeight="1">
      <c r="A937" s="32"/>
      <c r="C937" s="32"/>
      <c r="D937" s="32"/>
      <c r="E937" s="32"/>
      <c r="F937" s="32"/>
      <c r="G937" s="32"/>
    </row>
    <row r="938" ht="15.75" customHeight="1">
      <c r="A938" s="32"/>
      <c r="C938" s="32"/>
      <c r="D938" s="32"/>
      <c r="E938" s="32"/>
      <c r="F938" s="32"/>
      <c r="G938" s="32"/>
    </row>
    <row r="939" ht="15.75" customHeight="1">
      <c r="A939" s="32"/>
      <c r="C939" s="32"/>
      <c r="D939" s="32"/>
      <c r="E939" s="32"/>
      <c r="F939" s="32"/>
      <c r="G939" s="32"/>
    </row>
    <row r="940" ht="15.75" customHeight="1">
      <c r="A940" s="32"/>
      <c r="C940" s="32"/>
      <c r="D940" s="32"/>
      <c r="E940" s="32"/>
      <c r="F940" s="32"/>
      <c r="G940" s="32"/>
    </row>
    <row r="941" ht="15.75" customHeight="1">
      <c r="A941" s="32"/>
      <c r="C941" s="32"/>
      <c r="D941" s="32"/>
      <c r="E941" s="32"/>
      <c r="F941" s="32"/>
      <c r="G941" s="32"/>
    </row>
    <row r="942" ht="15.75" customHeight="1">
      <c r="A942" s="32"/>
      <c r="C942" s="32"/>
      <c r="D942" s="32"/>
      <c r="E942" s="32"/>
      <c r="F942" s="32"/>
      <c r="G942" s="32"/>
    </row>
    <row r="943" ht="15.75" customHeight="1">
      <c r="A943" s="32"/>
      <c r="C943" s="32"/>
      <c r="D943" s="32"/>
      <c r="E943" s="32"/>
      <c r="F943" s="32"/>
      <c r="G943" s="32"/>
    </row>
    <row r="944" ht="15.75" customHeight="1">
      <c r="A944" s="32"/>
      <c r="C944" s="32"/>
      <c r="D944" s="32"/>
      <c r="E944" s="32"/>
      <c r="F944" s="32"/>
      <c r="G944" s="32"/>
    </row>
    <row r="945" ht="15.75" customHeight="1">
      <c r="A945" s="32"/>
      <c r="C945" s="32"/>
      <c r="D945" s="32"/>
      <c r="E945" s="32"/>
      <c r="F945" s="32"/>
      <c r="G945" s="32"/>
    </row>
    <row r="946" ht="15.75" customHeight="1">
      <c r="A946" s="32"/>
      <c r="C946" s="32"/>
      <c r="D946" s="32"/>
      <c r="E946" s="32"/>
      <c r="F946" s="32"/>
      <c r="G946" s="32"/>
    </row>
    <row r="947" ht="15.75" customHeight="1">
      <c r="A947" s="32"/>
      <c r="C947" s="32"/>
      <c r="D947" s="32"/>
      <c r="E947" s="32"/>
      <c r="F947" s="32"/>
      <c r="G947" s="32"/>
    </row>
    <row r="948" ht="15.75" customHeight="1">
      <c r="A948" s="32"/>
      <c r="C948" s="32"/>
      <c r="D948" s="32"/>
      <c r="E948" s="32"/>
      <c r="F948" s="32"/>
      <c r="G948" s="32"/>
    </row>
    <row r="949" ht="15.75" customHeight="1">
      <c r="A949" s="32"/>
      <c r="C949" s="32"/>
      <c r="D949" s="32"/>
      <c r="E949" s="32"/>
      <c r="F949" s="32"/>
      <c r="G949" s="32"/>
    </row>
    <row r="950" ht="15.75" customHeight="1">
      <c r="A950" s="32"/>
      <c r="C950" s="32"/>
      <c r="D950" s="32"/>
      <c r="E950" s="32"/>
      <c r="F950" s="32"/>
      <c r="G950" s="32"/>
    </row>
    <row r="951" ht="15.75" customHeight="1">
      <c r="A951" s="32"/>
      <c r="C951" s="32"/>
      <c r="D951" s="32"/>
      <c r="E951" s="32"/>
      <c r="F951" s="32"/>
      <c r="G951" s="32"/>
    </row>
    <row r="952" ht="15.75" customHeight="1">
      <c r="A952" s="32"/>
      <c r="C952" s="32"/>
      <c r="D952" s="32"/>
      <c r="E952" s="32"/>
      <c r="F952" s="32"/>
      <c r="G952" s="32"/>
    </row>
    <row r="953" ht="15.75" customHeight="1">
      <c r="A953" s="32"/>
      <c r="C953" s="32"/>
      <c r="D953" s="32"/>
      <c r="E953" s="32"/>
      <c r="F953" s="32"/>
      <c r="G953" s="32"/>
    </row>
    <row r="954" ht="15.75" customHeight="1">
      <c r="A954" s="32"/>
      <c r="C954" s="32"/>
      <c r="D954" s="32"/>
      <c r="E954" s="32"/>
      <c r="F954" s="32"/>
      <c r="G954" s="32"/>
    </row>
    <row r="955" ht="15.75" customHeight="1">
      <c r="A955" s="32"/>
      <c r="C955" s="32"/>
      <c r="D955" s="32"/>
      <c r="E955" s="32"/>
      <c r="F955" s="32"/>
      <c r="G955" s="32"/>
    </row>
    <row r="956" ht="15.75" customHeight="1">
      <c r="A956" s="32"/>
      <c r="C956" s="32"/>
      <c r="D956" s="32"/>
      <c r="E956" s="32"/>
      <c r="F956" s="32"/>
      <c r="G956" s="32"/>
    </row>
    <row r="957" ht="15.75" customHeight="1">
      <c r="A957" s="32"/>
      <c r="C957" s="32"/>
      <c r="D957" s="32"/>
      <c r="E957" s="32"/>
      <c r="F957" s="32"/>
      <c r="G957" s="32"/>
    </row>
    <row r="958" ht="15.75" customHeight="1">
      <c r="A958" s="32"/>
      <c r="C958" s="32"/>
      <c r="D958" s="32"/>
      <c r="E958" s="32"/>
      <c r="F958" s="32"/>
      <c r="G958" s="32"/>
    </row>
    <row r="959" ht="15.75" customHeight="1">
      <c r="A959" s="32"/>
      <c r="C959" s="32"/>
      <c r="D959" s="32"/>
      <c r="E959" s="32"/>
      <c r="F959" s="32"/>
      <c r="G959" s="32"/>
    </row>
    <row r="960" ht="15.75" customHeight="1">
      <c r="A960" s="32"/>
      <c r="C960" s="32"/>
      <c r="D960" s="32"/>
      <c r="E960" s="32"/>
      <c r="F960" s="32"/>
      <c r="G960" s="32"/>
    </row>
    <row r="961" ht="15.75" customHeight="1">
      <c r="A961" s="32"/>
      <c r="C961" s="32"/>
      <c r="D961" s="32"/>
      <c r="E961" s="32"/>
      <c r="F961" s="32"/>
      <c r="G961" s="32"/>
    </row>
    <row r="962" ht="15.75" customHeight="1">
      <c r="A962" s="32"/>
      <c r="C962" s="32"/>
      <c r="D962" s="32"/>
      <c r="E962" s="32"/>
      <c r="F962" s="32"/>
      <c r="G962" s="32"/>
    </row>
    <row r="963" ht="15.75" customHeight="1">
      <c r="A963" s="32"/>
      <c r="C963" s="32"/>
      <c r="D963" s="32"/>
      <c r="E963" s="32"/>
      <c r="F963" s="32"/>
      <c r="G963" s="32"/>
    </row>
    <row r="964" ht="15.75" customHeight="1">
      <c r="A964" s="32"/>
      <c r="C964" s="32"/>
      <c r="D964" s="32"/>
      <c r="E964" s="32"/>
      <c r="F964" s="32"/>
      <c r="G964" s="32"/>
    </row>
    <row r="965" ht="15.75" customHeight="1">
      <c r="A965" s="32"/>
      <c r="C965" s="32"/>
      <c r="D965" s="32"/>
      <c r="E965" s="32"/>
      <c r="F965" s="32"/>
      <c r="G965" s="32"/>
    </row>
    <row r="966" ht="15.75" customHeight="1">
      <c r="A966" s="32"/>
      <c r="C966" s="32"/>
      <c r="D966" s="32"/>
      <c r="E966" s="32"/>
      <c r="F966" s="32"/>
      <c r="G966" s="32"/>
    </row>
    <row r="967" ht="15.75" customHeight="1">
      <c r="A967" s="32"/>
      <c r="C967" s="32"/>
      <c r="D967" s="32"/>
      <c r="E967" s="32"/>
      <c r="F967" s="32"/>
      <c r="G967" s="32"/>
    </row>
    <row r="968" ht="15.75" customHeight="1">
      <c r="A968" s="32"/>
      <c r="C968" s="32"/>
      <c r="D968" s="32"/>
      <c r="E968" s="32"/>
      <c r="F968" s="32"/>
      <c r="G968" s="32"/>
    </row>
    <row r="969" ht="15.75" customHeight="1">
      <c r="A969" s="32"/>
      <c r="C969" s="32"/>
      <c r="D969" s="32"/>
      <c r="E969" s="32"/>
      <c r="F969" s="32"/>
      <c r="G969" s="32"/>
    </row>
    <row r="970" ht="15.75" customHeight="1">
      <c r="A970" s="32"/>
      <c r="C970" s="32"/>
      <c r="D970" s="32"/>
      <c r="E970" s="32"/>
      <c r="F970" s="32"/>
      <c r="G970" s="32"/>
    </row>
    <row r="971" ht="15.75" customHeight="1">
      <c r="A971" s="32"/>
      <c r="C971" s="32"/>
      <c r="D971" s="32"/>
      <c r="E971" s="32"/>
      <c r="F971" s="32"/>
      <c r="G971" s="32"/>
    </row>
    <row r="972" ht="15.75" customHeight="1">
      <c r="A972" s="32"/>
      <c r="C972" s="32"/>
      <c r="D972" s="32"/>
      <c r="E972" s="32"/>
      <c r="F972" s="32"/>
      <c r="G972" s="32"/>
    </row>
    <row r="973" ht="15.75" customHeight="1">
      <c r="A973" s="32"/>
      <c r="C973" s="32"/>
      <c r="D973" s="32"/>
      <c r="E973" s="32"/>
      <c r="F973" s="32"/>
      <c r="G973" s="32"/>
    </row>
    <row r="974" ht="15.75" customHeight="1">
      <c r="A974" s="32"/>
      <c r="C974" s="32"/>
      <c r="D974" s="32"/>
      <c r="E974" s="32"/>
      <c r="F974" s="32"/>
      <c r="G974" s="32"/>
    </row>
    <row r="975" ht="15.75" customHeight="1">
      <c r="A975" s="32"/>
      <c r="C975" s="32"/>
      <c r="D975" s="32"/>
      <c r="E975" s="32"/>
      <c r="F975" s="32"/>
      <c r="G975" s="32"/>
    </row>
    <row r="976" ht="15.75" customHeight="1">
      <c r="A976" s="32"/>
      <c r="C976" s="32"/>
      <c r="D976" s="32"/>
      <c r="E976" s="32"/>
      <c r="F976" s="32"/>
      <c r="G976" s="32"/>
    </row>
    <row r="977" ht="15.75" customHeight="1">
      <c r="A977" s="32"/>
      <c r="C977" s="32"/>
      <c r="D977" s="32"/>
      <c r="E977" s="32"/>
      <c r="F977" s="32"/>
      <c r="G977" s="32"/>
    </row>
    <row r="978" ht="15.75" customHeight="1">
      <c r="A978" s="32"/>
      <c r="C978" s="32"/>
      <c r="D978" s="32"/>
      <c r="E978" s="32"/>
      <c r="F978" s="32"/>
      <c r="G978" s="32"/>
    </row>
    <row r="979" ht="15.75" customHeight="1">
      <c r="A979" s="32"/>
      <c r="C979" s="32"/>
      <c r="D979" s="32"/>
      <c r="E979" s="32"/>
      <c r="F979" s="32"/>
      <c r="G979" s="32"/>
    </row>
    <row r="980" ht="15.75" customHeight="1">
      <c r="A980" s="32"/>
      <c r="C980" s="32"/>
      <c r="D980" s="32"/>
      <c r="E980" s="32"/>
      <c r="F980" s="32"/>
      <c r="G980" s="32"/>
    </row>
    <row r="981" ht="15.75" customHeight="1">
      <c r="A981" s="32"/>
      <c r="C981" s="32"/>
      <c r="D981" s="32"/>
      <c r="E981" s="32"/>
      <c r="F981" s="32"/>
      <c r="G981" s="32"/>
    </row>
    <row r="982" ht="15.75" customHeight="1">
      <c r="A982" s="32"/>
      <c r="C982" s="32"/>
      <c r="D982" s="32"/>
      <c r="E982" s="32"/>
      <c r="F982" s="32"/>
      <c r="G982" s="32"/>
    </row>
    <row r="983" ht="15.75" customHeight="1">
      <c r="A983" s="32"/>
      <c r="C983" s="32"/>
      <c r="D983" s="32"/>
      <c r="E983" s="32"/>
      <c r="F983" s="32"/>
      <c r="G983" s="32"/>
    </row>
    <row r="984" ht="15.75" customHeight="1">
      <c r="A984" s="32"/>
      <c r="C984" s="32"/>
      <c r="D984" s="32"/>
      <c r="E984" s="32"/>
      <c r="F984" s="32"/>
      <c r="G984" s="32"/>
    </row>
    <row r="985" ht="15.75" customHeight="1">
      <c r="A985" s="32"/>
      <c r="C985" s="32"/>
      <c r="D985" s="32"/>
      <c r="E985" s="32"/>
      <c r="F985" s="32"/>
      <c r="G985" s="32"/>
    </row>
    <row r="986" ht="15.75" customHeight="1">
      <c r="A986" s="32"/>
      <c r="C986" s="32"/>
      <c r="D986" s="32"/>
      <c r="E986" s="32"/>
      <c r="F986" s="32"/>
      <c r="G986" s="32"/>
    </row>
    <row r="987" ht="15.75" customHeight="1">
      <c r="A987" s="32"/>
      <c r="C987" s="32"/>
      <c r="D987" s="32"/>
      <c r="E987" s="32"/>
      <c r="F987" s="32"/>
      <c r="G987" s="32"/>
    </row>
    <row r="988" ht="15.75" customHeight="1">
      <c r="A988" s="32"/>
      <c r="C988" s="32"/>
      <c r="D988" s="32"/>
      <c r="E988" s="32"/>
      <c r="F988" s="32"/>
      <c r="G988" s="32"/>
    </row>
    <row r="989" ht="15.75" customHeight="1">
      <c r="A989" s="32"/>
      <c r="C989" s="32"/>
      <c r="D989" s="32"/>
      <c r="E989" s="32"/>
      <c r="F989" s="32"/>
      <c r="G989" s="32"/>
    </row>
    <row r="990" ht="15.75" customHeight="1">
      <c r="A990" s="32"/>
      <c r="C990" s="32"/>
      <c r="D990" s="32"/>
      <c r="E990" s="32"/>
      <c r="F990" s="32"/>
      <c r="G990" s="32"/>
    </row>
    <row r="991" ht="15.75" customHeight="1">
      <c r="A991" s="32"/>
      <c r="C991" s="32"/>
      <c r="D991" s="32"/>
      <c r="E991" s="32"/>
      <c r="F991" s="32"/>
      <c r="G991" s="32"/>
    </row>
    <row r="992" ht="15.75" customHeight="1">
      <c r="A992" s="32"/>
      <c r="C992" s="32"/>
      <c r="D992" s="32"/>
      <c r="E992" s="32"/>
      <c r="F992" s="32"/>
      <c r="G992" s="32"/>
    </row>
    <row r="993" ht="15.75" customHeight="1">
      <c r="A993" s="32"/>
      <c r="C993" s="32"/>
      <c r="D993" s="32"/>
      <c r="E993" s="32"/>
      <c r="F993" s="32"/>
      <c r="G993" s="32"/>
    </row>
    <row r="994" ht="15.75" customHeight="1">
      <c r="A994" s="32"/>
      <c r="C994" s="32"/>
      <c r="D994" s="32"/>
      <c r="E994" s="32"/>
      <c r="F994" s="32"/>
      <c r="G994" s="32"/>
    </row>
    <row r="995" ht="15.75" customHeight="1">
      <c r="A995" s="32"/>
      <c r="C995" s="32"/>
      <c r="D995" s="32"/>
      <c r="E995" s="32"/>
      <c r="F995" s="32"/>
      <c r="G995" s="32"/>
    </row>
    <row r="996" ht="15.75" customHeight="1">
      <c r="A996" s="32"/>
      <c r="C996" s="32"/>
      <c r="D996" s="32"/>
      <c r="E996" s="32"/>
      <c r="F996" s="32"/>
      <c r="G996" s="32"/>
    </row>
    <row r="997" ht="15.75" customHeight="1">
      <c r="A997" s="32"/>
      <c r="C997" s="32"/>
      <c r="D997" s="32"/>
      <c r="E997" s="32"/>
      <c r="F997" s="32"/>
      <c r="G997" s="32"/>
    </row>
    <row r="998" ht="15.75" customHeight="1">
      <c r="A998" s="32"/>
      <c r="C998" s="32"/>
      <c r="D998" s="32"/>
      <c r="E998" s="32"/>
      <c r="F998" s="32"/>
      <c r="G998" s="32"/>
    </row>
    <row r="999" ht="15.75" customHeight="1">
      <c r="A999" s="32"/>
      <c r="C999" s="32"/>
      <c r="D999" s="32"/>
      <c r="E999" s="32"/>
      <c r="F999" s="32"/>
      <c r="G999" s="32"/>
    </row>
    <row r="1000" ht="15.75" customHeight="1">
      <c r="A1000" s="32"/>
      <c r="C1000" s="32"/>
      <c r="D1000" s="32"/>
      <c r="E1000" s="32"/>
      <c r="F1000" s="32"/>
      <c r="G1000" s="32"/>
    </row>
  </sheetData>
  <mergeCells count="6">
    <mergeCell ref="D1:G1"/>
    <mergeCell ref="A3:A8"/>
    <mergeCell ref="A10:A15"/>
    <mergeCell ref="A18:A23"/>
    <mergeCell ref="A25:A30"/>
    <mergeCell ref="A32:A37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2.63"/>
    <col customWidth="1" min="3" max="3" width="2.63"/>
    <col customWidth="1" min="4" max="7" width="25.13"/>
  </cols>
  <sheetData>
    <row r="1" ht="15.75" customHeight="1">
      <c r="A1" s="129"/>
      <c r="B1" s="130"/>
      <c r="C1" s="131"/>
      <c r="D1" s="132" t="s">
        <v>21</v>
      </c>
      <c r="E1" s="8"/>
      <c r="F1" s="8"/>
      <c r="G1" s="10"/>
    </row>
    <row r="2" ht="15.75" customHeight="1">
      <c r="A2" s="99" t="s">
        <v>20</v>
      </c>
      <c r="B2" s="140" t="s">
        <v>23</v>
      </c>
      <c r="C2" s="131"/>
      <c r="D2" s="6" t="s">
        <v>782</v>
      </c>
      <c r="E2" s="6" t="s">
        <v>783</v>
      </c>
      <c r="F2" s="6" t="s">
        <v>784</v>
      </c>
      <c r="G2" s="6" t="s">
        <v>785</v>
      </c>
    </row>
    <row r="3" ht="15.75" customHeight="1">
      <c r="A3" s="134" t="s">
        <v>770</v>
      </c>
      <c r="B3" s="140" t="s">
        <v>164</v>
      </c>
      <c r="C3" s="131"/>
      <c r="D3" s="80" t="str">
        <f>'Horário - Graduação'!AO17</f>
        <v/>
      </c>
      <c r="E3" s="80" t="str">
        <f>'Horário - Graduação'!AP17</f>
        <v/>
      </c>
      <c r="F3" s="80" t="str">
        <f>'Horário - Graduação'!AQ17</f>
        <v>Estágio Supervisionado IV (Willian Andrade) (Lab. Química II) </v>
      </c>
      <c r="G3" s="80" t="str">
        <f>'Horário - Graduação'!AR17</f>
        <v/>
      </c>
    </row>
    <row r="4" ht="15.75" customHeight="1">
      <c r="A4" s="36"/>
      <c r="B4" s="140" t="s">
        <v>174</v>
      </c>
      <c r="C4" s="131"/>
      <c r="D4" s="148" t="str">
        <f>'Horário - Graduação'!AO18</f>
        <v/>
      </c>
      <c r="E4" s="148" t="str">
        <f>'Horário - Graduação'!AP18</f>
        <v/>
      </c>
      <c r="F4" s="148" t="str">
        <f>'Horário - Graduação'!AQ18</f>
        <v> Bioquímica (Cristiane)
 (1/6)</v>
      </c>
      <c r="G4" s="148" t="str">
        <f>'Horário - Graduação'!AR18</f>
        <v>Físico-Química III (Magnovaldo) (1/9)</v>
      </c>
    </row>
    <row r="5" ht="15.75" customHeight="1">
      <c r="A5" s="36"/>
      <c r="B5" s="140" t="s">
        <v>193</v>
      </c>
      <c r="C5" s="131"/>
      <c r="D5" s="148" t="str">
        <f>'Horário - Graduação'!AO19</f>
        <v/>
      </c>
      <c r="E5" s="148" t="str">
        <f>'Horário - Graduação'!AP19</f>
        <v/>
      </c>
      <c r="F5" s="148" t="str">
        <f>'Horário - Graduação'!AQ19</f>
        <v> Bioquímica (Cristiane)
 (1/6)</v>
      </c>
      <c r="G5" s="148" t="str">
        <f>'Horário - Graduação'!AR19</f>
        <v>Físico-Química III (Magnovaldo) (1/9)</v>
      </c>
    </row>
    <row r="6" ht="15.75" customHeight="1">
      <c r="A6" s="36"/>
      <c r="B6" s="147" t="s">
        <v>111</v>
      </c>
      <c r="C6" s="131"/>
      <c r="D6" s="147" t="str">
        <f>'Horário - Graduação'!AO20</f>
        <v/>
      </c>
      <c r="E6" s="147" t="str">
        <f>'Horário - Graduação'!AP20</f>
        <v/>
      </c>
      <c r="F6" s="147" t="str">
        <f>'Horário - Graduação'!AQ20</f>
        <v/>
      </c>
      <c r="G6" s="147" t="str">
        <f>'Horário - Graduação'!AR20</f>
        <v/>
      </c>
    </row>
    <row r="7" ht="15.75" customHeight="1">
      <c r="A7" s="36"/>
      <c r="B7" s="140" t="s">
        <v>198</v>
      </c>
      <c r="C7" s="131"/>
      <c r="D7" s="148" t="str">
        <f>'Horário - Graduação'!AO21</f>
        <v/>
      </c>
      <c r="E7" s="148" t="str">
        <f>'Horário - Graduação'!AP21</f>
        <v/>
      </c>
      <c r="F7" s="148" t="str">
        <f>'Horário - Graduação'!AQ21</f>
        <v>Físico-Química I (Magnovaldo)  (1/12)</v>
      </c>
      <c r="G7" s="148" t="str">
        <f>'Horário - Graduação'!AR21</f>
        <v/>
      </c>
    </row>
    <row r="8" ht="15.75" customHeight="1">
      <c r="A8" s="66"/>
      <c r="B8" s="140" t="s">
        <v>210</v>
      </c>
      <c r="C8" s="131"/>
      <c r="D8" s="148" t="str">
        <f>'Horário - Graduação'!AO22</f>
        <v/>
      </c>
      <c r="E8" s="148" t="str">
        <f>'Horário - Graduação'!AP22</f>
        <v/>
      </c>
      <c r="F8" s="148" t="str">
        <f>'Horário - Graduação'!AQ22</f>
        <v>Físico-Química I (Magnovaldo)  (1/12)</v>
      </c>
      <c r="G8" s="148" t="str">
        <f>'Horário - Graduação'!AR22</f>
        <v/>
      </c>
    </row>
    <row r="9" ht="15.75" customHeight="1">
      <c r="A9" s="99" t="s">
        <v>20</v>
      </c>
      <c r="B9" s="140" t="s">
        <v>23</v>
      </c>
      <c r="C9" s="131"/>
      <c r="D9" s="6" t="s">
        <v>782</v>
      </c>
      <c r="E9" s="6" t="s">
        <v>783</v>
      </c>
      <c r="F9" s="6" t="s">
        <v>784</v>
      </c>
      <c r="G9" s="6" t="s">
        <v>785</v>
      </c>
    </row>
    <row r="10" ht="15.75" customHeight="1">
      <c r="A10" s="134" t="s">
        <v>11</v>
      </c>
      <c r="B10" s="140" t="s">
        <v>164</v>
      </c>
      <c r="C10" s="131"/>
      <c r="D10" s="80" t="str">
        <f>'Horário - Graduação'!AO38</f>
        <v>Laboratório de Química Geral II (Bruno)  (Lab. Química I) </v>
      </c>
      <c r="E10" s="80" t="str">
        <f>'Horário - Graduação'!AP38</f>
        <v/>
      </c>
      <c r="F10" s="80" t="str">
        <f>'Horário - Graduação'!AQ38</f>
        <v>Unidade Curricular de Extensão (UCE) II (Cristiane) (1/9)</v>
      </c>
      <c r="G10" s="80" t="str">
        <f>'Horário - Graduação'!AR38</f>
        <v/>
      </c>
    </row>
    <row r="11" ht="15.75" customHeight="1">
      <c r="A11" s="36"/>
      <c r="B11" s="140" t="s">
        <v>174</v>
      </c>
      <c r="C11" s="131"/>
      <c r="D11" s="148" t="str">
        <f>'Horário - Graduação'!AO39</f>
        <v/>
      </c>
      <c r="E11" s="148" t="str">
        <f>'Horário - Graduação'!AP39</f>
        <v>Análise Orgânica (Bruno) (1/17) </v>
      </c>
      <c r="F11" s="148" t="str">
        <f>'Horário - Graduação'!AQ39</f>
        <v/>
      </c>
      <c r="G11" s="148" t="str">
        <f>'Horário - Graduação'!AR39</f>
        <v>Educação Profissional (Laio) (1/16)</v>
      </c>
    </row>
    <row r="12" ht="15.75" customHeight="1">
      <c r="A12" s="36"/>
      <c r="B12" s="140" t="s">
        <v>193</v>
      </c>
      <c r="C12" s="131"/>
      <c r="D12" s="148" t="str">
        <f>'Horário - Graduação'!AO40</f>
        <v/>
      </c>
      <c r="E12" s="148" t="str">
        <f>'Horário - Graduação'!AP40</f>
        <v>Análise Orgânica (Bruno) (1/17) </v>
      </c>
      <c r="F12" s="148" t="str">
        <f>'Horário - Graduação'!AQ40</f>
        <v/>
      </c>
      <c r="G12" s="148" t="str">
        <f>'Horário - Graduação'!AR40</f>
        <v>Educação Profissional (Laio) (1/16)</v>
      </c>
    </row>
    <row r="13" ht="15.75" customHeight="1">
      <c r="A13" s="36"/>
      <c r="B13" s="147" t="s">
        <v>111</v>
      </c>
      <c r="C13" s="131"/>
      <c r="D13" s="147" t="str">
        <f>'Horário - Graduação'!AO41</f>
        <v/>
      </c>
      <c r="E13" s="147" t="str">
        <f>'Horário - Graduação'!AP41</f>
        <v/>
      </c>
      <c r="F13" s="147" t="str">
        <f>'Horário - Graduação'!AQ41</f>
        <v/>
      </c>
      <c r="G13" s="147" t="str">
        <f>'Horário - Graduação'!AR41</f>
        <v/>
      </c>
    </row>
    <row r="14" ht="15.75" customHeight="1">
      <c r="A14" s="36"/>
      <c r="B14" s="140" t="s">
        <v>198</v>
      </c>
      <c r="C14" s="131"/>
      <c r="D14" s="148" t="str">
        <f>'Horário - Graduação'!AO42</f>
        <v/>
      </c>
      <c r="E14" s="148" t="str">
        <f>'Horário - Graduação'!AP42</f>
        <v>Química Inorgânica II (2023) (Aline)  (1/17) </v>
      </c>
      <c r="F14" s="148" t="str">
        <f>'Horário - Graduação'!AQ42</f>
        <v>Físico-Química I (Magnovaldo)  (1/9)</v>
      </c>
      <c r="G14" s="148" t="str">
        <f>'Horário - Graduação'!AR42</f>
        <v/>
      </c>
    </row>
    <row r="15" ht="15.75" customHeight="1">
      <c r="A15" s="66"/>
      <c r="B15" s="140" t="s">
        <v>210</v>
      </c>
      <c r="C15" s="131"/>
      <c r="D15" s="148" t="str">
        <f>'Horário - Graduação'!AO43</f>
        <v/>
      </c>
      <c r="E15" s="148" t="str">
        <f>'Horário - Graduação'!AP43</f>
        <v>Química Inorgânica II (2023) (Aline) (1/17) </v>
      </c>
      <c r="F15" s="148" t="str">
        <f>'Horário - Graduação'!AQ43</f>
        <v>Físico-Química I (Magnovaldo)  (1/9)</v>
      </c>
      <c r="G15" s="148" t="str">
        <f>'Horário - Graduação'!AR43</f>
        <v/>
      </c>
    </row>
    <row r="16" ht="15.75" customHeight="1">
      <c r="A16" s="99" t="s">
        <v>20</v>
      </c>
      <c r="B16" s="140" t="s">
        <v>23</v>
      </c>
      <c r="C16" s="131"/>
      <c r="D16" s="6" t="s">
        <v>782</v>
      </c>
      <c r="E16" s="6" t="s">
        <v>783</v>
      </c>
      <c r="F16" s="6" t="s">
        <v>784</v>
      </c>
      <c r="G16" s="6" t="s">
        <v>785</v>
      </c>
    </row>
    <row r="17" ht="15.75" customHeight="1">
      <c r="A17" s="134" t="s">
        <v>12</v>
      </c>
      <c r="B17" s="140" t="s">
        <v>164</v>
      </c>
      <c r="C17" s="131"/>
      <c r="D17" s="80" t="str">
        <f>'Horário - Graduação'!AO59</f>
        <v/>
      </c>
      <c r="E17" s="80" t="str">
        <f>'Horário - Graduação'!AP59</f>
        <v/>
      </c>
      <c r="F17" s="80" t="str">
        <f>'Horário - Graduação'!AQ59</f>
        <v>Unidade Curricular de Extensão (UCE) II (Cristiane) (1/9)</v>
      </c>
      <c r="G17" s="80" t="str">
        <f>'Horário - Graduação'!AR58</f>
        <v/>
      </c>
    </row>
    <row r="18" ht="15.75" customHeight="1">
      <c r="A18" s="36"/>
      <c r="B18" s="140" t="s">
        <v>174</v>
      </c>
      <c r="C18" s="131"/>
      <c r="D18" s="148" t="str">
        <f>'Horário - Graduação'!AO60</f>
        <v/>
      </c>
      <c r="E18" s="148" t="str">
        <f>'Horário - Graduação'!AP60</f>
        <v>Química Inorgânica II (2023) (Aline)(1/17) </v>
      </c>
      <c r="F18" s="148" t="str">
        <f>'Horário - Graduação'!AQ60</f>
        <v>Química Analítica Quantitativa (Aldo Gomes) (1/9)</v>
      </c>
      <c r="G18" s="148" t="str">
        <f>'Horário - Graduação'!AR60</f>
        <v>Físico-Química III (Magnovaldo) (1/12)</v>
      </c>
    </row>
    <row r="19" ht="15.75" customHeight="1">
      <c r="A19" s="36"/>
      <c r="B19" s="140" t="s">
        <v>193</v>
      </c>
      <c r="C19" s="131"/>
      <c r="D19" s="148" t="str">
        <f>'Horário - Graduação'!AO61</f>
        <v/>
      </c>
      <c r="E19" s="148" t="str">
        <f>'Horário - Graduação'!AP61</f>
        <v>Química Inorgânica II (2023) (Aline)(1/17) </v>
      </c>
      <c r="F19" s="148" t="str">
        <f>'Horário - Graduação'!AQ61</f>
        <v>Química Analítica Quantitativa (Aldo Gomes) (1/9)</v>
      </c>
      <c r="G19" s="148" t="str">
        <f>'Horário - Graduação'!AR61</f>
        <v>Físico-Química III (Magnovaldo) (1/12)</v>
      </c>
    </row>
    <row r="20" ht="15.75" customHeight="1">
      <c r="A20" s="36"/>
      <c r="B20" s="147" t="s">
        <v>111</v>
      </c>
      <c r="C20" s="131"/>
      <c r="D20" s="148" t="str">
        <f>'Horário - Graduação'!AO62</f>
        <v/>
      </c>
      <c r="E20" s="148" t="str">
        <f>'Horário - Graduação'!AP62</f>
        <v/>
      </c>
      <c r="F20" s="148" t="str">
        <f>'Horário - Graduação'!AQ62</f>
        <v/>
      </c>
      <c r="G20" s="148" t="str">
        <f>'Horário - Graduação'!AR62</f>
        <v/>
      </c>
    </row>
    <row r="21" ht="15.75" customHeight="1">
      <c r="A21" s="36"/>
      <c r="B21" s="140" t="s">
        <v>198</v>
      </c>
      <c r="C21" s="131"/>
      <c r="D21" s="148" t="str">
        <f>'Horário - Graduação'!AO63</f>
        <v/>
      </c>
      <c r="E21" s="148" t="str">
        <f>'Horário - Graduação'!AP63</f>
        <v>Cálculo II (oferta especial) (Nilmar) (1/14)</v>
      </c>
      <c r="F21" s="148" t="str">
        <f>'Horário - Graduação'!AQ63</f>
        <v>Educação e Diversidade (Emille)(1/12) / TCC I  - Química  (Gerson) (1/9)</v>
      </c>
      <c r="G21" s="148" t="str">
        <f>'Horário - Graduação'!AR63</f>
        <v/>
      </c>
    </row>
    <row r="22" ht="15.75" customHeight="1">
      <c r="A22" s="66"/>
      <c r="B22" s="140" t="s">
        <v>210</v>
      </c>
      <c r="C22" s="131"/>
      <c r="D22" s="148" t="str">
        <f>'Horário - Graduação'!AO64</f>
        <v/>
      </c>
      <c r="E22" s="148" t="str">
        <f>'Horário - Graduação'!AP64</f>
        <v>Cálculo II (oferta especial) (Nilmar) (1/14)</v>
      </c>
      <c r="F22" s="148" t="str">
        <f>'Horário - Graduação'!AQ64</f>
        <v>Educação e Diversidade (Emille) (1/12)/ TCC I  - Química  (Gerson)</v>
      </c>
      <c r="G22" s="148" t="str">
        <f>'Horário - Graduação'!AR64</f>
        <v/>
      </c>
    </row>
    <row r="23" ht="15.75" customHeight="1">
      <c r="A23" s="99" t="s">
        <v>20</v>
      </c>
      <c r="B23" s="140" t="s">
        <v>23</v>
      </c>
      <c r="C23" s="131"/>
      <c r="D23" s="6" t="s">
        <v>782</v>
      </c>
      <c r="E23" s="6" t="s">
        <v>783</v>
      </c>
      <c r="F23" s="6" t="s">
        <v>784</v>
      </c>
      <c r="G23" s="6" t="s">
        <v>785</v>
      </c>
    </row>
    <row r="24" ht="15.75" customHeight="1">
      <c r="A24" s="134" t="s">
        <v>13</v>
      </c>
      <c r="B24" s="140" t="s">
        <v>155</v>
      </c>
      <c r="C24" s="131"/>
      <c r="D24" s="80" t="str">
        <f>'Horário - Graduação'!AO78</f>
        <v/>
      </c>
      <c r="E24" s="80" t="str">
        <f>'Horário - Graduação'!AP78</f>
        <v/>
      </c>
      <c r="F24" s="80" t="str">
        <f>'Horário - Graduação'!AQ78</f>
        <v/>
      </c>
      <c r="G24" s="80" t="str">
        <f>'Horário - Graduação'!AR78</f>
        <v/>
      </c>
    </row>
    <row r="25" ht="15.75" customHeight="1">
      <c r="A25" s="36"/>
      <c r="B25" s="147" t="s">
        <v>111</v>
      </c>
      <c r="C25" s="131"/>
      <c r="D25" s="147" t="str">
        <f>'Horário - Graduação'!AO79</f>
        <v/>
      </c>
      <c r="E25" s="147" t="str">
        <f>'Horário - Graduação'!AP79</f>
        <v/>
      </c>
      <c r="F25" s="147" t="str">
        <f>'Horário - Graduação'!AQ79</f>
        <v/>
      </c>
      <c r="G25" s="147" t="str">
        <f>'Horário - Graduação'!AR79</f>
        <v/>
      </c>
    </row>
    <row r="26" ht="15.75" customHeight="1">
      <c r="A26" s="36"/>
      <c r="B26" s="140" t="s">
        <v>164</v>
      </c>
      <c r="C26" s="131"/>
      <c r="D26" s="80" t="str">
        <f>'Horário - Graduação'!AO80</f>
        <v/>
      </c>
      <c r="E26" s="80" t="str">
        <f>'Horário - Graduação'!AP80</f>
        <v/>
      </c>
      <c r="F26" s="80" t="str">
        <f>'Horário - Graduação'!AQ80</f>
        <v>Estágio Curricular Supervisionado II
(Química) (Laio) (1/9)</v>
      </c>
      <c r="G26" s="80" t="str">
        <f>'Horário - Graduação'!AR80</f>
        <v/>
      </c>
    </row>
    <row r="27" ht="15.75" customHeight="1">
      <c r="A27" s="36"/>
      <c r="B27" s="140" t="s">
        <v>174</v>
      </c>
      <c r="C27" s="131"/>
      <c r="D27" s="148" t="str">
        <f>'Horário - Graduação'!AO81</f>
        <v/>
      </c>
      <c r="E27" s="148" t="str">
        <f>'Horário - Graduação'!AP81</f>
        <v>Cálculo II (oferta especial) (Nilmar) (1/14)</v>
      </c>
      <c r="F27" s="148" t="str">
        <f>'Horário - Graduação'!AQ81</f>
        <v>Bioquímica (Cristiane) /  Fundamentos e Métodos Instrumentais de Análise (Aldo Gomes) (1/9)</v>
      </c>
      <c r="G27" s="148" t="str">
        <f>'Horário - Graduação'!AR81</f>
        <v/>
      </c>
    </row>
    <row r="28" ht="15.75" customHeight="1">
      <c r="A28" s="36"/>
      <c r="B28" s="140" t="s">
        <v>193</v>
      </c>
      <c r="C28" s="131"/>
      <c r="D28" s="148" t="str">
        <f>'Horário - Graduação'!AO82</f>
        <v/>
      </c>
      <c r="E28" s="148" t="str">
        <f>'Horário - Graduação'!AP82</f>
        <v>Cálculo II (oferta especial) (Nilmar) (1/14)</v>
      </c>
      <c r="F28" s="148" t="str">
        <f>'Horário - Graduação'!AQ82</f>
        <v>Bioquímica (Cristiane) /  Fundamentos e Métodos Instrumentais de Análise (Aldo Gomes) (1/9)</v>
      </c>
      <c r="G28" s="148" t="str">
        <f>'Horário - Graduação'!AR82</f>
        <v/>
      </c>
    </row>
    <row r="29" ht="15.75" customHeight="1">
      <c r="A29" s="36"/>
      <c r="B29" s="147" t="s">
        <v>111</v>
      </c>
      <c r="C29" s="131"/>
      <c r="D29" s="147" t="str">
        <f>'Horário - Graduação'!AO83</f>
        <v/>
      </c>
      <c r="E29" s="147" t="str">
        <f>'Horário - Graduação'!AP83</f>
        <v/>
      </c>
      <c r="F29" s="147" t="str">
        <f>'Horário - Graduação'!AQ83</f>
        <v/>
      </c>
      <c r="G29" s="147" t="str">
        <f>'Horário - Graduação'!AR83</f>
        <v/>
      </c>
    </row>
    <row r="30" ht="15.75" customHeight="1">
      <c r="A30" s="36"/>
      <c r="B30" s="140" t="s">
        <v>198</v>
      </c>
      <c r="C30" s="131"/>
      <c r="D30" s="148" t="str">
        <f>'Horário - Graduação'!AO84</f>
        <v/>
      </c>
      <c r="E30" s="148" t="str">
        <f>'Horário - Graduação'!AP84</f>
        <v>Análise Orgânica (Bruno) (1/17) </v>
      </c>
      <c r="F30" s="148" t="str">
        <f>'Horário - Graduação'!AQ84</f>
        <v>Química Analítica Quantitativa (Aldo Gomes) (1/9)</v>
      </c>
      <c r="G30" s="148" t="str">
        <f>'Horário - Graduação'!AR84</f>
        <v/>
      </c>
    </row>
    <row r="31" ht="15.75" customHeight="1">
      <c r="A31" s="66"/>
      <c r="B31" s="140" t="s">
        <v>210</v>
      </c>
      <c r="C31" s="131"/>
      <c r="D31" s="148" t="str">
        <f>'Horário - Graduação'!AO85</f>
        <v/>
      </c>
      <c r="E31" s="148" t="str">
        <f>'Horário - Graduação'!AP85</f>
        <v>Análise Orgânica (Bruno) (1/17) </v>
      </c>
      <c r="F31" s="148" t="str">
        <f>'Horário - Graduação'!AQ85</f>
        <v>Química Analítica Quantitativa (Aldo Gomes) (1/9)</v>
      </c>
      <c r="G31" s="148" t="str">
        <f>'Horário - Graduação'!AR85</f>
        <v/>
      </c>
    </row>
    <row r="32" ht="15.75" customHeight="1">
      <c r="A32" s="99" t="s">
        <v>20</v>
      </c>
      <c r="B32" s="140" t="s">
        <v>23</v>
      </c>
      <c r="C32" s="131"/>
      <c r="D32" s="6" t="s">
        <v>782</v>
      </c>
      <c r="E32" s="6" t="s">
        <v>783</v>
      </c>
      <c r="F32" s="6" t="s">
        <v>784</v>
      </c>
      <c r="G32" s="6" t="s">
        <v>785</v>
      </c>
    </row>
    <row r="33" ht="15.75" customHeight="1">
      <c r="A33" s="134" t="s">
        <v>14</v>
      </c>
      <c r="B33" s="140" t="s">
        <v>164</v>
      </c>
      <c r="C33" s="131"/>
      <c r="D33" s="80" t="str">
        <f>'Horário - Graduação'!AO101</f>
        <v>Laboratório de Química Orgânica II (Oferta especial) (Bruno) (Lab. Química I) </v>
      </c>
      <c r="E33" s="80" t="str">
        <f>'Horário - Graduação'!AP101</f>
        <v/>
      </c>
      <c r="F33" s="80" t="str">
        <f>'Horário - Graduação'!AQ101</f>
        <v/>
      </c>
      <c r="G33" s="80" t="str">
        <f>'Horário - Graduação'!AR101</f>
        <v/>
      </c>
    </row>
    <row r="34" ht="15.75" customHeight="1">
      <c r="A34" s="36"/>
      <c r="B34" s="140" t="s">
        <v>174</v>
      </c>
      <c r="C34" s="131"/>
      <c r="D34" s="148" t="str">
        <f>'Horário - Graduação'!AO102</f>
        <v/>
      </c>
      <c r="E34" s="148" t="str">
        <f>'Horário - Graduação'!AP102</f>
        <v>"Laboratório de Química Inorgânica (2023)
(Aline)" (Lab. Química I) </v>
      </c>
      <c r="F34" s="148" t="str">
        <f>'Horário - Graduação'!AQ102</f>
        <v>Laboratório de Química Analítica Quantitativa (Aldo Gomes) (Lab. Química II) </v>
      </c>
      <c r="G34" s="148" t="str">
        <f>'Horário - Graduação'!AR102</f>
        <v/>
      </c>
    </row>
    <row r="35" ht="15.75" customHeight="1">
      <c r="A35" s="36"/>
      <c r="B35" s="140" t="s">
        <v>193</v>
      </c>
      <c r="C35" s="131"/>
      <c r="D35" s="148" t="str">
        <f>'Horário - Graduação'!AO103</f>
        <v/>
      </c>
      <c r="E35" s="148" t="str">
        <f>'Horário - Graduação'!AP103</f>
        <v>"Laboratório de Química Inorgânica (2023)
(Aline)" (Lab. Química I) </v>
      </c>
      <c r="F35" s="148" t="str">
        <f>'Horário - Graduação'!AQ103</f>
        <v>Laboratório de Química Analítica Quantitativa (Aldo Gomes) (Lab. Química II) </v>
      </c>
      <c r="G35" s="148" t="str">
        <f>'Horário - Graduação'!AR103</f>
        <v/>
      </c>
    </row>
    <row r="36" ht="15.75" customHeight="1">
      <c r="A36" s="36"/>
      <c r="B36" s="147" t="s">
        <v>111</v>
      </c>
      <c r="C36" s="131"/>
      <c r="D36" s="147" t="str">
        <f>'Horário - Graduação'!AO104</f>
        <v/>
      </c>
      <c r="E36" s="147" t="str">
        <f>'Horário - Graduação'!AP104</f>
        <v/>
      </c>
      <c r="F36" s="147" t="str">
        <f>'Horário - Graduação'!AQ104</f>
        <v/>
      </c>
      <c r="G36" s="147" t="str">
        <f>'Horário - Graduação'!AR104</f>
        <v/>
      </c>
    </row>
    <row r="37" ht="15.75" customHeight="1">
      <c r="A37" s="36"/>
      <c r="B37" s="140" t="s">
        <v>198</v>
      </c>
      <c r="C37" s="131"/>
      <c r="D37" s="148" t="str">
        <f>'Horário - Graduação'!AO105</f>
        <v/>
      </c>
      <c r="E37" s="148" t="str">
        <f>'Horário - Graduação'!AP105</f>
        <v/>
      </c>
      <c r="F37" s="148" t="str">
        <f>'Horário - Graduação'!AQ105</f>
        <v>Fundamentos e Métodos Instrumentais de Análise (Aldo Gomes)  (1/17)</v>
      </c>
      <c r="G37" s="148" t="str">
        <f>'Horário - Graduação'!AR105</f>
        <v/>
      </c>
    </row>
    <row r="38" ht="15.75" customHeight="1">
      <c r="A38" s="66"/>
      <c r="B38" s="140" t="s">
        <v>210</v>
      </c>
      <c r="C38" s="131"/>
      <c r="D38" s="148" t="str">
        <f>'Horário - Graduação'!AO106</f>
        <v/>
      </c>
      <c r="E38" s="148" t="str">
        <f>'Horário - Graduação'!AP106</f>
        <v/>
      </c>
      <c r="F38" s="148" t="str">
        <f>'Horário - Graduação'!AQ106</f>
        <v>Fundamentos e Métodos Instrumentais de Análise (Aldo Gomes)  (1/17)</v>
      </c>
      <c r="G38" s="148" t="str">
        <f>'Horário - Graduação'!AR106</f>
        <v/>
      </c>
    </row>
    <row r="39" ht="15.75" customHeight="1">
      <c r="A39" s="142" t="s">
        <v>20</v>
      </c>
      <c r="B39" s="140" t="s">
        <v>23</v>
      </c>
      <c r="C39" s="131"/>
      <c r="D39" s="6" t="s">
        <v>782</v>
      </c>
      <c r="E39" s="6" t="s">
        <v>783</v>
      </c>
      <c r="F39" s="6" t="s">
        <v>784</v>
      </c>
      <c r="G39" s="6" t="s">
        <v>785</v>
      </c>
    </row>
    <row r="40" ht="15.75" customHeight="1">
      <c r="A40" s="133"/>
      <c r="B40" s="133"/>
      <c r="C40" s="133"/>
      <c r="D40" s="133"/>
      <c r="E40" s="133"/>
      <c r="F40" s="133"/>
      <c r="G40" s="133"/>
    </row>
    <row r="41" ht="15.75" customHeight="1">
      <c r="A41" s="133"/>
      <c r="B41" s="133"/>
      <c r="C41" s="133"/>
      <c r="D41" s="133"/>
      <c r="E41" s="133"/>
      <c r="F41" s="133"/>
      <c r="G41" s="133"/>
    </row>
    <row r="42" ht="15.75" customHeight="1">
      <c r="A42" s="133"/>
      <c r="B42" s="133"/>
      <c r="C42" s="133"/>
      <c r="D42" s="133"/>
      <c r="E42" s="133"/>
      <c r="F42" s="133"/>
      <c r="G42" s="133"/>
    </row>
    <row r="43" ht="15.75" customHeight="1">
      <c r="A43" s="133"/>
      <c r="B43" s="133"/>
      <c r="C43" s="133"/>
      <c r="D43" s="133"/>
      <c r="E43" s="133"/>
      <c r="F43" s="133"/>
      <c r="G43" s="133"/>
    </row>
    <row r="44" ht="15.75" customHeight="1">
      <c r="A44" s="133"/>
      <c r="B44" s="133"/>
      <c r="C44" s="133"/>
      <c r="D44" s="133"/>
      <c r="E44" s="133"/>
      <c r="F44" s="133"/>
      <c r="G44" s="133"/>
    </row>
    <row r="45" ht="15.75" customHeight="1">
      <c r="A45" s="133"/>
      <c r="B45" s="133"/>
      <c r="C45" s="133"/>
      <c r="D45" s="133"/>
      <c r="E45" s="133"/>
      <c r="F45" s="133"/>
      <c r="G45" s="133"/>
    </row>
    <row r="46" ht="15.75" customHeight="1">
      <c r="A46" s="133"/>
      <c r="B46" s="133"/>
      <c r="C46" s="133"/>
      <c r="D46" s="133"/>
      <c r="E46" s="133"/>
      <c r="F46" s="133"/>
      <c r="G46" s="133"/>
    </row>
    <row r="47" ht="15.75" customHeight="1">
      <c r="A47" s="133"/>
      <c r="B47" s="133"/>
      <c r="C47" s="133"/>
      <c r="D47" s="133"/>
      <c r="E47" s="133"/>
      <c r="F47" s="133"/>
      <c r="G47" s="133"/>
    </row>
    <row r="48" ht="15.75" customHeight="1">
      <c r="A48" s="133"/>
      <c r="B48" s="133"/>
      <c r="C48" s="133"/>
      <c r="D48" s="133"/>
      <c r="E48" s="133"/>
      <c r="F48" s="133"/>
      <c r="G48" s="133"/>
    </row>
    <row r="49" ht="15.75" customHeight="1">
      <c r="A49" s="133"/>
      <c r="B49" s="133"/>
      <c r="C49" s="133"/>
      <c r="D49" s="133"/>
      <c r="E49" s="133"/>
      <c r="F49" s="133"/>
      <c r="G49" s="133"/>
    </row>
    <row r="50" ht="15.75" customHeight="1">
      <c r="A50" s="133"/>
      <c r="B50" s="133"/>
      <c r="C50" s="133"/>
      <c r="D50" s="133"/>
      <c r="E50" s="133"/>
      <c r="F50" s="133"/>
      <c r="G50" s="133"/>
    </row>
    <row r="51" ht="15.75" customHeight="1">
      <c r="A51" s="133"/>
      <c r="B51" s="133"/>
      <c r="C51" s="133"/>
      <c r="D51" s="133"/>
      <c r="E51" s="133"/>
      <c r="F51" s="133"/>
      <c r="G51" s="133"/>
    </row>
    <row r="52" ht="15.75" customHeight="1">
      <c r="A52" s="133"/>
      <c r="B52" s="133"/>
      <c r="C52" s="133"/>
      <c r="D52" s="133"/>
      <c r="E52" s="133"/>
      <c r="F52" s="133"/>
      <c r="G52" s="133"/>
    </row>
    <row r="53" ht="15.75" customHeight="1">
      <c r="A53" s="133"/>
      <c r="B53" s="133"/>
      <c r="C53" s="133"/>
      <c r="D53" s="133"/>
      <c r="E53" s="133"/>
      <c r="F53" s="133"/>
      <c r="G53" s="133"/>
    </row>
    <row r="54" ht="15.75" customHeight="1">
      <c r="A54" s="133"/>
      <c r="B54" s="133"/>
      <c r="C54" s="133"/>
      <c r="D54" s="133"/>
      <c r="E54" s="133"/>
      <c r="F54" s="133"/>
      <c r="G54" s="133"/>
    </row>
    <row r="55" ht="15.75" customHeight="1">
      <c r="A55" s="133"/>
      <c r="B55" s="133"/>
      <c r="C55" s="133"/>
      <c r="D55" s="133"/>
      <c r="E55" s="133"/>
      <c r="F55" s="133"/>
      <c r="G55" s="133"/>
    </row>
    <row r="56" ht="15.75" customHeight="1">
      <c r="A56" s="133"/>
      <c r="B56" s="133"/>
      <c r="C56" s="133"/>
      <c r="D56" s="133"/>
      <c r="E56" s="133"/>
      <c r="F56" s="133"/>
      <c r="G56" s="133"/>
    </row>
    <row r="57" ht="15.75" customHeight="1">
      <c r="A57" s="133"/>
      <c r="B57" s="133"/>
      <c r="C57" s="133"/>
      <c r="D57" s="133"/>
      <c r="E57" s="133"/>
      <c r="F57" s="133"/>
      <c r="G57" s="133"/>
    </row>
    <row r="58" ht="15.75" customHeight="1">
      <c r="A58" s="133"/>
      <c r="B58" s="133"/>
      <c r="C58" s="133"/>
      <c r="D58" s="133"/>
      <c r="E58" s="133"/>
      <c r="F58" s="133"/>
      <c r="G58" s="133"/>
    </row>
    <row r="59" ht="15.75" customHeight="1">
      <c r="A59" s="133"/>
      <c r="B59" s="133"/>
      <c r="C59" s="133"/>
      <c r="D59" s="133"/>
      <c r="E59" s="133"/>
      <c r="F59" s="133"/>
      <c r="G59" s="133"/>
    </row>
    <row r="60" ht="15.75" customHeight="1">
      <c r="A60" s="133"/>
      <c r="B60" s="133"/>
      <c r="C60" s="133"/>
      <c r="D60" s="133"/>
      <c r="E60" s="133"/>
      <c r="F60" s="133"/>
      <c r="G60" s="133"/>
    </row>
    <row r="61" ht="15.75" customHeight="1">
      <c r="A61" s="133"/>
      <c r="B61" s="133"/>
      <c r="C61" s="133"/>
      <c r="D61" s="133"/>
      <c r="E61" s="133"/>
      <c r="F61" s="133"/>
      <c r="G61" s="133"/>
    </row>
    <row r="62" ht="15.75" customHeight="1">
      <c r="A62" s="133"/>
      <c r="B62" s="133"/>
      <c r="C62" s="133"/>
      <c r="D62" s="133"/>
      <c r="E62" s="133"/>
      <c r="F62" s="133"/>
      <c r="G62" s="133"/>
    </row>
    <row r="63" ht="15.75" customHeight="1">
      <c r="A63" s="133"/>
      <c r="B63" s="133"/>
      <c r="C63" s="133"/>
      <c r="D63" s="133"/>
      <c r="E63" s="133"/>
      <c r="F63" s="133"/>
      <c r="G63" s="133"/>
    </row>
    <row r="64" ht="15.75" customHeight="1">
      <c r="A64" s="133"/>
      <c r="B64" s="133"/>
      <c r="C64" s="133"/>
      <c r="D64" s="133"/>
      <c r="E64" s="133"/>
      <c r="F64" s="133"/>
      <c r="G64" s="133"/>
    </row>
    <row r="65" ht="15.75" customHeight="1">
      <c r="A65" s="133"/>
      <c r="B65" s="133"/>
      <c r="C65" s="133"/>
      <c r="D65" s="133"/>
      <c r="E65" s="133"/>
      <c r="F65" s="133"/>
      <c r="G65" s="133"/>
    </row>
    <row r="66" ht="15.75" customHeight="1">
      <c r="A66" s="133"/>
      <c r="B66" s="133"/>
      <c r="C66" s="133"/>
      <c r="D66" s="133"/>
      <c r="E66" s="133"/>
      <c r="F66" s="133"/>
      <c r="G66" s="133"/>
    </row>
    <row r="67" ht="15.75" customHeight="1">
      <c r="A67" s="133"/>
      <c r="B67" s="133"/>
      <c r="C67" s="133"/>
      <c r="D67" s="133"/>
      <c r="E67" s="133"/>
      <c r="F67" s="133"/>
      <c r="G67" s="133"/>
    </row>
    <row r="68" ht="15.75" customHeight="1">
      <c r="A68" s="133"/>
      <c r="B68" s="133"/>
      <c r="C68" s="133"/>
      <c r="D68" s="133"/>
      <c r="E68" s="133"/>
      <c r="F68" s="133"/>
      <c r="G68" s="133"/>
    </row>
    <row r="69" ht="15.75" customHeight="1">
      <c r="A69" s="133"/>
      <c r="B69" s="133"/>
      <c r="C69" s="133"/>
      <c r="D69" s="133"/>
      <c r="E69" s="133"/>
      <c r="F69" s="133"/>
      <c r="G69" s="133"/>
    </row>
    <row r="70" ht="15.75" customHeight="1">
      <c r="A70" s="133"/>
      <c r="B70" s="133"/>
      <c r="C70" s="133"/>
      <c r="D70" s="133"/>
      <c r="E70" s="133"/>
      <c r="F70" s="133"/>
      <c r="G70" s="133"/>
    </row>
    <row r="71" ht="15.75" customHeight="1">
      <c r="A71" s="133"/>
      <c r="B71" s="133"/>
      <c r="C71" s="133"/>
      <c r="D71" s="133"/>
      <c r="E71" s="133"/>
      <c r="F71" s="133"/>
      <c r="G71" s="133"/>
    </row>
    <row r="72" ht="15.75" customHeight="1">
      <c r="A72" s="133"/>
      <c r="B72" s="133"/>
      <c r="C72" s="133"/>
      <c r="D72" s="133"/>
      <c r="E72" s="133"/>
      <c r="F72" s="133"/>
      <c r="G72" s="133"/>
    </row>
    <row r="73" ht="15.75" customHeight="1">
      <c r="A73" s="133"/>
      <c r="B73" s="133"/>
      <c r="C73" s="133"/>
      <c r="D73" s="133"/>
      <c r="E73" s="133"/>
      <c r="F73" s="133"/>
      <c r="G73" s="133"/>
    </row>
    <row r="74" ht="15.75" customHeight="1">
      <c r="A74" s="133"/>
      <c r="B74" s="133"/>
      <c r="C74" s="133"/>
      <c r="D74" s="133"/>
      <c r="E74" s="133"/>
      <c r="F74" s="133"/>
      <c r="G74" s="133"/>
    </row>
    <row r="75" ht="15.75" customHeight="1">
      <c r="A75" s="133"/>
      <c r="B75" s="133"/>
      <c r="C75" s="133"/>
      <c r="D75" s="133"/>
      <c r="E75" s="133"/>
      <c r="F75" s="133"/>
      <c r="G75" s="133"/>
    </row>
    <row r="76" ht="15.75" customHeight="1">
      <c r="A76" s="133"/>
      <c r="B76" s="133"/>
      <c r="C76" s="133"/>
      <c r="D76" s="133"/>
      <c r="E76" s="133"/>
      <c r="F76" s="133"/>
      <c r="G76" s="133"/>
    </row>
    <row r="77" ht="15.75" customHeight="1">
      <c r="A77" s="133"/>
      <c r="B77" s="133"/>
      <c r="C77" s="133"/>
      <c r="D77" s="133"/>
      <c r="E77" s="133"/>
      <c r="F77" s="133"/>
      <c r="G77" s="133"/>
    </row>
    <row r="78" ht="15.75" customHeight="1">
      <c r="A78" s="133"/>
      <c r="B78" s="133"/>
      <c r="C78" s="133"/>
      <c r="D78" s="133"/>
      <c r="E78" s="133"/>
      <c r="F78" s="133"/>
      <c r="G78" s="133"/>
    </row>
    <row r="79" ht="15.75" customHeight="1">
      <c r="A79" s="133"/>
      <c r="B79" s="133"/>
      <c r="C79" s="133"/>
      <c r="D79" s="133"/>
      <c r="E79" s="133"/>
      <c r="F79" s="133"/>
      <c r="G79" s="133"/>
    </row>
    <row r="80" ht="15.75" customHeight="1">
      <c r="A80" s="133"/>
      <c r="B80" s="133"/>
      <c r="C80" s="133"/>
      <c r="D80" s="133"/>
      <c r="E80" s="133"/>
      <c r="F80" s="133"/>
      <c r="G80" s="133"/>
    </row>
    <row r="81" ht="15.75" customHeight="1">
      <c r="A81" s="133"/>
      <c r="B81" s="133"/>
      <c r="C81" s="133"/>
      <c r="D81" s="133"/>
      <c r="E81" s="133"/>
      <c r="F81" s="133"/>
      <c r="G81" s="133"/>
    </row>
    <row r="82" ht="15.75" customHeight="1">
      <c r="A82" s="133"/>
      <c r="B82" s="133"/>
      <c r="C82" s="133"/>
      <c r="D82" s="133"/>
      <c r="E82" s="133"/>
      <c r="F82" s="133"/>
      <c r="G82" s="133"/>
    </row>
    <row r="83" ht="15.75" customHeight="1">
      <c r="A83" s="133"/>
      <c r="B83" s="133"/>
      <c r="C83" s="133"/>
      <c r="D83" s="133"/>
      <c r="E83" s="133"/>
      <c r="F83" s="133"/>
      <c r="G83" s="133"/>
    </row>
    <row r="84" ht="15.75" customHeight="1">
      <c r="A84" s="133"/>
      <c r="B84" s="133"/>
      <c r="C84" s="133"/>
      <c r="D84" s="133"/>
      <c r="E84" s="133"/>
      <c r="F84" s="133"/>
      <c r="G84" s="133"/>
    </row>
    <row r="85" ht="15.75" customHeight="1">
      <c r="A85" s="133"/>
      <c r="B85" s="133"/>
      <c r="C85" s="133"/>
      <c r="D85" s="133"/>
      <c r="E85" s="133"/>
      <c r="F85" s="133"/>
      <c r="G85" s="133"/>
    </row>
    <row r="86" ht="15.75" customHeight="1">
      <c r="A86" s="133"/>
      <c r="B86" s="133"/>
      <c r="C86" s="133"/>
      <c r="D86" s="133"/>
      <c r="E86" s="133"/>
      <c r="F86" s="133"/>
      <c r="G86" s="133"/>
    </row>
    <row r="87" ht="15.75" customHeight="1">
      <c r="A87" s="133"/>
      <c r="B87" s="133"/>
      <c r="C87" s="133"/>
      <c r="D87" s="133"/>
      <c r="E87" s="133"/>
      <c r="F87" s="133"/>
      <c r="G87" s="133"/>
    </row>
    <row r="88" ht="15.75" customHeight="1">
      <c r="A88" s="133"/>
      <c r="B88" s="133"/>
      <c r="C88" s="133"/>
      <c r="D88" s="133"/>
      <c r="E88" s="133"/>
      <c r="F88" s="133"/>
      <c r="G88" s="133"/>
    </row>
    <row r="89" ht="15.75" customHeight="1">
      <c r="A89" s="133"/>
      <c r="B89" s="133"/>
      <c r="C89" s="133"/>
      <c r="D89" s="133"/>
      <c r="E89" s="133"/>
      <c r="F89" s="133"/>
      <c r="G89" s="133"/>
    </row>
    <row r="90" ht="15.75" customHeight="1">
      <c r="A90" s="133"/>
      <c r="B90" s="133"/>
      <c r="C90" s="133"/>
      <c r="D90" s="133"/>
      <c r="E90" s="133"/>
      <c r="F90" s="133"/>
      <c r="G90" s="133"/>
    </row>
    <row r="91" ht="15.75" customHeight="1">
      <c r="A91" s="133"/>
      <c r="B91" s="133"/>
      <c r="C91" s="133"/>
      <c r="D91" s="133"/>
      <c r="E91" s="133"/>
      <c r="F91" s="133"/>
      <c r="G91" s="133"/>
    </row>
    <row r="92" ht="15.75" customHeight="1">
      <c r="A92" s="133"/>
      <c r="B92" s="133"/>
      <c r="C92" s="133"/>
      <c r="D92" s="133"/>
      <c r="E92" s="133"/>
      <c r="F92" s="133"/>
      <c r="G92" s="133"/>
    </row>
    <row r="93" ht="15.75" customHeight="1">
      <c r="A93" s="133"/>
      <c r="B93" s="133"/>
      <c r="C93" s="133"/>
      <c r="D93" s="133"/>
      <c r="E93" s="133"/>
      <c r="F93" s="133"/>
      <c r="G93" s="133"/>
    </row>
    <row r="94" ht="15.75" customHeight="1">
      <c r="A94" s="133"/>
      <c r="B94" s="133"/>
      <c r="C94" s="133"/>
      <c r="D94" s="133"/>
      <c r="E94" s="133"/>
      <c r="F94" s="133"/>
      <c r="G94" s="133"/>
    </row>
    <row r="95" ht="15.75" customHeight="1">
      <c r="A95" s="133"/>
      <c r="B95" s="133"/>
      <c r="C95" s="133"/>
      <c r="D95" s="133"/>
      <c r="E95" s="133"/>
      <c r="F95" s="133"/>
      <c r="G95" s="133"/>
    </row>
    <row r="96" ht="15.75" customHeight="1">
      <c r="A96" s="133"/>
      <c r="B96" s="133"/>
      <c r="C96" s="133"/>
      <c r="D96" s="133"/>
      <c r="E96" s="133"/>
      <c r="F96" s="133"/>
      <c r="G96" s="133"/>
    </row>
    <row r="97" ht="15.75" customHeight="1">
      <c r="A97" s="133"/>
      <c r="B97" s="133"/>
      <c r="C97" s="133"/>
      <c r="D97" s="133"/>
      <c r="E97" s="133"/>
      <c r="F97" s="133"/>
      <c r="G97" s="133"/>
    </row>
    <row r="98" ht="15.75" customHeight="1">
      <c r="A98" s="133"/>
      <c r="B98" s="133"/>
      <c r="C98" s="133"/>
      <c r="D98" s="133"/>
      <c r="E98" s="133"/>
      <c r="F98" s="133"/>
      <c r="G98" s="133"/>
    </row>
    <row r="99" ht="15.75" customHeight="1">
      <c r="A99" s="133"/>
      <c r="B99" s="133"/>
      <c r="C99" s="133"/>
      <c r="D99" s="133"/>
      <c r="E99" s="133"/>
      <c r="F99" s="133"/>
      <c r="G99" s="133"/>
    </row>
    <row r="100" ht="15.75" customHeight="1">
      <c r="A100" s="133"/>
      <c r="B100" s="133"/>
      <c r="C100" s="133"/>
      <c r="D100" s="133"/>
      <c r="E100" s="133"/>
      <c r="F100" s="133"/>
      <c r="G100" s="133"/>
    </row>
    <row r="101" ht="15.75" customHeight="1">
      <c r="A101" s="133"/>
      <c r="B101" s="133"/>
      <c r="C101" s="133"/>
      <c r="D101" s="133"/>
      <c r="E101" s="133"/>
      <c r="F101" s="133"/>
      <c r="G101" s="133"/>
    </row>
    <row r="102" ht="15.75" customHeight="1">
      <c r="A102" s="133"/>
      <c r="B102" s="133"/>
      <c r="C102" s="133"/>
      <c r="D102" s="133"/>
      <c r="E102" s="133"/>
      <c r="F102" s="133"/>
      <c r="G102" s="133"/>
    </row>
    <row r="103" ht="15.75" customHeight="1">
      <c r="A103" s="133"/>
      <c r="B103" s="133"/>
      <c r="C103" s="133"/>
      <c r="D103" s="133"/>
      <c r="E103" s="133"/>
      <c r="F103" s="133"/>
      <c r="G103" s="133"/>
    </row>
    <row r="104" ht="15.75" customHeight="1">
      <c r="A104" s="133"/>
      <c r="B104" s="133"/>
      <c r="C104" s="133"/>
      <c r="D104" s="133"/>
      <c r="E104" s="133"/>
      <c r="F104" s="133"/>
      <c r="G104" s="133"/>
    </row>
    <row r="105" ht="15.75" customHeight="1">
      <c r="A105" s="133"/>
      <c r="B105" s="133"/>
      <c r="C105" s="133"/>
      <c r="D105" s="133"/>
      <c r="E105" s="133"/>
      <c r="F105" s="133"/>
      <c r="G105" s="133"/>
    </row>
    <row r="106" ht="15.75" customHeight="1">
      <c r="A106" s="133"/>
      <c r="B106" s="133"/>
      <c r="C106" s="133"/>
      <c r="D106" s="133"/>
      <c r="E106" s="133"/>
      <c r="F106" s="133"/>
      <c r="G106" s="133"/>
    </row>
    <row r="107" ht="15.75" customHeight="1">
      <c r="A107" s="133"/>
      <c r="B107" s="133"/>
      <c r="C107" s="133"/>
      <c r="D107" s="133"/>
      <c r="E107" s="133"/>
      <c r="F107" s="133"/>
      <c r="G107" s="133"/>
    </row>
    <row r="108" ht="15.75" customHeight="1">
      <c r="A108" s="133"/>
      <c r="B108" s="133"/>
      <c r="C108" s="133"/>
      <c r="D108" s="133"/>
      <c r="E108" s="133"/>
      <c r="F108" s="133"/>
      <c r="G108" s="133"/>
    </row>
    <row r="109" ht="15.75" customHeight="1">
      <c r="A109" s="133"/>
      <c r="B109" s="133"/>
      <c r="C109" s="133"/>
      <c r="D109" s="133"/>
      <c r="E109" s="133"/>
      <c r="F109" s="133"/>
      <c r="G109" s="133"/>
    </row>
    <row r="110" ht="15.75" customHeight="1">
      <c r="A110" s="133"/>
      <c r="B110" s="133"/>
      <c r="C110" s="133"/>
      <c r="D110" s="133"/>
      <c r="E110" s="133"/>
      <c r="F110" s="133"/>
      <c r="G110" s="133"/>
    </row>
    <row r="111" ht="15.75" customHeight="1">
      <c r="A111" s="133"/>
      <c r="B111" s="133"/>
      <c r="C111" s="133"/>
      <c r="D111" s="133"/>
      <c r="E111" s="133"/>
      <c r="F111" s="133"/>
      <c r="G111" s="133"/>
    </row>
    <row r="112" ht="15.75" customHeight="1">
      <c r="A112" s="133"/>
      <c r="B112" s="133"/>
      <c r="C112" s="133"/>
      <c r="D112" s="133"/>
      <c r="E112" s="133"/>
      <c r="F112" s="133"/>
      <c r="G112" s="133"/>
    </row>
    <row r="113" ht="15.75" customHeight="1">
      <c r="A113" s="133"/>
      <c r="B113" s="133"/>
      <c r="C113" s="133"/>
      <c r="D113" s="133"/>
      <c r="E113" s="133"/>
      <c r="F113" s="133"/>
      <c r="G113" s="133"/>
    </row>
    <row r="114" ht="15.75" customHeight="1">
      <c r="A114" s="133"/>
      <c r="B114" s="133"/>
      <c r="C114" s="133"/>
      <c r="D114" s="133"/>
      <c r="E114" s="133"/>
      <c r="F114" s="133"/>
      <c r="G114" s="133"/>
    </row>
    <row r="115" ht="15.75" customHeight="1">
      <c r="A115" s="133"/>
      <c r="B115" s="133"/>
      <c r="C115" s="133"/>
      <c r="D115" s="133"/>
      <c r="E115" s="133"/>
      <c r="F115" s="133"/>
      <c r="G115" s="133"/>
    </row>
    <row r="116" ht="15.75" customHeight="1">
      <c r="A116" s="133"/>
      <c r="B116" s="133"/>
      <c r="C116" s="133"/>
      <c r="D116" s="133"/>
      <c r="E116" s="133"/>
      <c r="F116" s="133"/>
      <c r="G116" s="133"/>
    </row>
    <row r="117" ht="15.75" customHeight="1">
      <c r="A117" s="133"/>
      <c r="B117" s="133"/>
      <c r="C117" s="133"/>
      <c r="D117" s="133"/>
      <c r="E117" s="133"/>
      <c r="F117" s="133"/>
      <c r="G117" s="133"/>
    </row>
    <row r="118" ht="15.75" customHeight="1">
      <c r="A118" s="133"/>
      <c r="B118" s="133"/>
      <c r="C118" s="133"/>
      <c r="D118" s="133"/>
      <c r="E118" s="133"/>
      <c r="F118" s="133"/>
      <c r="G118" s="133"/>
    </row>
    <row r="119" ht="15.75" customHeight="1">
      <c r="A119" s="133"/>
      <c r="B119" s="133"/>
      <c r="C119" s="133"/>
      <c r="D119" s="133"/>
      <c r="E119" s="133"/>
      <c r="F119" s="133"/>
      <c r="G119" s="133"/>
    </row>
    <row r="120" ht="15.75" customHeight="1">
      <c r="A120" s="133"/>
      <c r="B120" s="133"/>
      <c r="C120" s="133"/>
      <c r="D120" s="133"/>
      <c r="E120" s="133"/>
      <c r="F120" s="133"/>
      <c r="G120" s="133"/>
    </row>
    <row r="121" ht="15.75" customHeight="1">
      <c r="A121" s="133"/>
      <c r="B121" s="133"/>
      <c r="C121" s="133"/>
      <c r="D121" s="133"/>
      <c r="E121" s="133"/>
      <c r="F121" s="133"/>
      <c r="G121" s="133"/>
    </row>
    <row r="122" ht="15.75" customHeight="1">
      <c r="A122" s="133"/>
      <c r="B122" s="133"/>
      <c r="C122" s="133"/>
      <c r="D122" s="133"/>
      <c r="E122" s="133"/>
      <c r="F122" s="133"/>
      <c r="G122" s="133"/>
    </row>
    <row r="123" ht="15.75" customHeight="1">
      <c r="A123" s="133"/>
      <c r="B123" s="133"/>
      <c r="C123" s="133"/>
      <c r="D123" s="133"/>
      <c r="E123" s="133"/>
      <c r="F123" s="133"/>
      <c r="G123" s="133"/>
    </row>
    <row r="124" ht="15.75" customHeight="1">
      <c r="A124" s="133"/>
      <c r="B124" s="133"/>
      <c r="C124" s="133"/>
      <c r="D124" s="133"/>
      <c r="E124" s="133"/>
      <c r="F124" s="133"/>
      <c r="G124" s="133"/>
    </row>
    <row r="125" ht="15.75" customHeight="1">
      <c r="A125" s="133"/>
      <c r="B125" s="133"/>
      <c r="C125" s="133"/>
      <c r="D125" s="133"/>
      <c r="E125" s="133"/>
      <c r="F125" s="133"/>
      <c r="G125" s="133"/>
    </row>
    <row r="126" ht="15.75" customHeight="1">
      <c r="A126" s="133"/>
      <c r="B126" s="133"/>
      <c r="C126" s="133"/>
      <c r="D126" s="133"/>
      <c r="E126" s="133"/>
      <c r="F126" s="133"/>
      <c r="G126" s="133"/>
    </row>
    <row r="127" ht="15.75" customHeight="1">
      <c r="A127" s="133"/>
      <c r="B127" s="133"/>
      <c r="C127" s="133"/>
      <c r="D127" s="133"/>
      <c r="E127" s="133"/>
      <c r="F127" s="133"/>
      <c r="G127" s="133"/>
    </row>
    <row r="128" ht="15.75" customHeight="1">
      <c r="A128" s="133"/>
      <c r="B128" s="133"/>
      <c r="C128" s="133"/>
      <c r="D128" s="133"/>
      <c r="E128" s="133"/>
      <c r="F128" s="133"/>
      <c r="G128" s="133"/>
    </row>
    <row r="129" ht="15.75" customHeight="1">
      <c r="A129" s="133"/>
      <c r="B129" s="133"/>
      <c r="C129" s="133"/>
      <c r="D129" s="133"/>
      <c r="E129" s="133"/>
      <c r="F129" s="133"/>
      <c r="G129" s="133"/>
    </row>
    <row r="130" ht="15.75" customHeight="1">
      <c r="A130" s="133"/>
      <c r="B130" s="133"/>
      <c r="C130" s="133"/>
      <c r="D130" s="133"/>
      <c r="E130" s="133"/>
      <c r="F130" s="133"/>
      <c r="G130" s="133"/>
    </row>
    <row r="131" ht="15.75" customHeight="1">
      <c r="A131" s="133"/>
      <c r="B131" s="133"/>
      <c r="C131" s="133"/>
      <c r="D131" s="133"/>
      <c r="E131" s="133"/>
      <c r="F131" s="133"/>
      <c r="G131" s="133"/>
    </row>
    <row r="132" ht="15.75" customHeight="1">
      <c r="A132" s="133"/>
      <c r="B132" s="133"/>
      <c r="C132" s="133"/>
      <c r="D132" s="133"/>
      <c r="E132" s="133"/>
      <c r="F132" s="133"/>
      <c r="G132" s="133"/>
    </row>
    <row r="133" ht="15.75" customHeight="1">
      <c r="A133" s="133"/>
      <c r="B133" s="133"/>
      <c r="C133" s="133"/>
      <c r="D133" s="133"/>
      <c r="E133" s="133"/>
      <c r="F133" s="133"/>
      <c r="G133" s="133"/>
    </row>
    <row r="134" ht="15.75" customHeight="1">
      <c r="A134" s="133"/>
      <c r="B134" s="133"/>
      <c r="C134" s="133"/>
      <c r="D134" s="133"/>
      <c r="E134" s="133"/>
      <c r="F134" s="133"/>
      <c r="G134" s="133"/>
    </row>
    <row r="135" ht="15.75" customHeight="1">
      <c r="A135" s="133"/>
      <c r="B135" s="133"/>
      <c r="C135" s="133"/>
      <c r="D135" s="133"/>
      <c r="E135" s="133"/>
      <c r="F135" s="133"/>
      <c r="G135" s="133"/>
    </row>
    <row r="136" ht="15.75" customHeight="1">
      <c r="A136" s="133"/>
      <c r="B136" s="133"/>
      <c r="C136" s="133"/>
      <c r="D136" s="133"/>
      <c r="E136" s="133"/>
      <c r="F136" s="133"/>
      <c r="G136" s="133"/>
    </row>
    <row r="137" ht="15.75" customHeight="1">
      <c r="A137" s="133"/>
      <c r="B137" s="133"/>
      <c r="C137" s="133"/>
      <c r="D137" s="133"/>
      <c r="E137" s="133"/>
      <c r="F137" s="133"/>
      <c r="G137" s="133"/>
    </row>
    <row r="138" ht="15.75" customHeight="1">
      <c r="A138" s="133"/>
      <c r="B138" s="133"/>
      <c r="C138" s="133"/>
      <c r="D138" s="133"/>
      <c r="E138" s="133"/>
      <c r="F138" s="133"/>
      <c r="G138" s="133"/>
    </row>
    <row r="139" ht="15.75" customHeight="1">
      <c r="A139" s="133"/>
      <c r="B139" s="133"/>
      <c r="C139" s="133"/>
      <c r="D139" s="133"/>
      <c r="E139" s="133"/>
      <c r="F139" s="133"/>
      <c r="G139" s="133"/>
    </row>
    <row r="140" ht="15.75" customHeight="1">
      <c r="A140" s="133"/>
      <c r="B140" s="133"/>
      <c r="C140" s="133"/>
      <c r="D140" s="133"/>
      <c r="E140" s="133"/>
      <c r="F140" s="133"/>
      <c r="G140" s="133"/>
    </row>
    <row r="141" ht="15.75" customHeight="1">
      <c r="A141" s="133"/>
      <c r="B141" s="133"/>
      <c r="C141" s="133"/>
      <c r="D141" s="133"/>
      <c r="E141" s="133"/>
      <c r="F141" s="133"/>
      <c r="G141" s="133"/>
    </row>
    <row r="142" ht="15.75" customHeight="1">
      <c r="A142" s="133"/>
      <c r="B142" s="133"/>
      <c r="C142" s="133"/>
      <c r="D142" s="133"/>
      <c r="E142" s="133"/>
      <c r="F142" s="133"/>
      <c r="G142" s="133"/>
    </row>
    <row r="143" ht="15.75" customHeight="1">
      <c r="A143" s="133"/>
      <c r="B143" s="133"/>
      <c r="C143" s="133"/>
      <c r="D143" s="133"/>
      <c r="E143" s="133"/>
      <c r="F143" s="133"/>
      <c r="G143" s="133"/>
    </row>
    <row r="144" ht="15.75" customHeight="1">
      <c r="A144" s="133"/>
      <c r="B144" s="133"/>
      <c r="C144" s="133"/>
      <c r="D144" s="133"/>
      <c r="E144" s="133"/>
      <c r="F144" s="133"/>
      <c r="G144" s="133"/>
    </row>
    <row r="145" ht="15.75" customHeight="1">
      <c r="A145" s="133"/>
      <c r="B145" s="133"/>
      <c r="C145" s="133"/>
      <c r="D145" s="133"/>
      <c r="E145" s="133"/>
      <c r="F145" s="133"/>
      <c r="G145" s="133"/>
    </row>
    <row r="146" ht="15.75" customHeight="1">
      <c r="A146" s="133"/>
      <c r="B146" s="133"/>
      <c r="C146" s="133"/>
      <c r="D146" s="133"/>
      <c r="E146" s="133"/>
      <c r="F146" s="133"/>
      <c r="G146" s="133"/>
    </row>
    <row r="147" ht="15.75" customHeight="1">
      <c r="A147" s="133"/>
      <c r="B147" s="133"/>
      <c r="C147" s="133"/>
      <c r="D147" s="133"/>
      <c r="E147" s="133"/>
      <c r="F147" s="133"/>
      <c r="G147" s="133"/>
    </row>
    <row r="148" ht="15.75" customHeight="1">
      <c r="A148" s="133"/>
      <c r="B148" s="133"/>
      <c r="C148" s="133"/>
      <c r="D148" s="133"/>
      <c r="E148" s="133"/>
      <c r="F148" s="133"/>
      <c r="G148" s="133"/>
    </row>
    <row r="149" ht="15.75" customHeight="1">
      <c r="A149" s="133"/>
      <c r="B149" s="133"/>
      <c r="C149" s="133"/>
      <c r="D149" s="133"/>
      <c r="E149" s="133"/>
      <c r="F149" s="133"/>
      <c r="G149" s="133"/>
    </row>
    <row r="150" ht="15.75" customHeight="1">
      <c r="A150" s="133"/>
      <c r="B150" s="133"/>
      <c r="C150" s="133"/>
      <c r="D150" s="133"/>
      <c r="E150" s="133"/>
      <c r="F150" s="133"/>
      <c r="G150" s="133"/>
    </row>
    <row r="151" ht="15.75" customHeight="1">
      <c r="A151" s="133"/>
      <c r="B151" s="133"/>
      <c r="C151" s="133"/>
      <c r="D151" s="133"/>
      <c r="E151" s="133"/>
      <c r="F151" s="133"/>
      <c r="G151" s="133"/>
    </row>
    <row r="152" ht="15.75" customHeight="1">
      <c r="A152" s="133"/>
      <c r="B152" s="133"/>
      <c r="C152" s="133"/>
      <c r="D152" s="133"/>
      <c r="E152" s="133"/>
      <c r="F152" s="133"/>
      <c r="G152" s="133"/>
    </row>
    <row r="153" ht="15.75" customHeight="1">
      <c r="A153" s="133"/>
      <c r="B153" s="133"/>
      <c r="C153" s="133"/>
      <c r="D153" s="133"/>
      <c r="E153" s="133"/>
      <c r="F153" s="133"/>
      <c r="G153" s="133"/>
    </row>
    <row r="154" ht="15.75" customHeight="1">
      <c r="A154" s="133"/>
      <c r="B154" s="133"/>
      <c r="C154" s="133"/>
      <c r="D154" s="133"/>
      <c r="E154" s="133"/>
      <c r="F154" s="133"/>
      <c r="G154" s="133"/>
    </row>
    <row r="155" ht="15.75" customHeight="1">
      <c r="A155" s="133"/>
      <c r="B155" s="133"/>
      <c r="C155" s="133"/>
      <c r="D155" s="133"/>
      <c r="E155" s="133"/>
      <c r="F155" s="133"/>
      <c r="G155" s="133"/>
    </row>
    <row r="156" ht="15.75" customHeight="1">
      <c r="A156" s="133"/>
      <c r="B156" s="133"/>
      <c r="C156" s="133"/>
      <c r="D156" s="133"/>
      <c r="E156" s="133"/>
      <c r="F156" s="133"/>
      <c r="G156" s="133"/>
    </row>
    <row r="157" ht="15.75" customHeight="1">
      <c r="A157" s="133"/>
      <c r="B157" s="133"/>
      <c r="C157" s="133"/>
      <c r="D157" s="133"/>
      <c r="E157" s="133"/>
      <c r="F157" s="133"/>
      <c r="G157" s="133"/>
    </row>
    <row r="158" ht="15.75" customHeight="1">
      <c r="A158" s="133"/>
      <c r="B158" s="133"/>
      <c r="C158" s="133"/>
      <c r="D158" s="133"/>
      <c r="E158" s="133"/>
      <c r="F158" s="133"/>
      <c r="G158" s="133"/>
    </row>
    <row r="159" ht="15.75" customHeight="1">
      <c r="A159" s="133"/>
      <c r="B159" s="133"/>
      <c r="C159" s="133"/>
      <c r="D159" s="133"/>
      <c r="E159" s="133"/>
      <c r="F159" s="133"/>
      <c r="G159" s="133"/>
    </row>
    <row r="160" ht="15.75" customHeight="1">
      <c r="A160" s="133"/>
      <c r="B160" s="133"/>
      <c r="C160" s="133"/>
      <c r="D160" s="133"/>
      <c r="E160" s="133"/>
      <c r="F160" s="133"/>
      <c r="G160" s="133"/>
    </row>
    <row r="161" ht="15.75" customHeight="1">
      <c r="A161" s="133"/>
      <c r="B161" s="133"/>
      <c r="C161" s="133"/>
      <c r="D161" s="133"/>
      <c r="E161" s="133"/>
      <c r="F161" s="133"/>
      <c r="G161" s="133"/>
    </row>
    <row r="162" ht="15.75" customHeight="1">
      <c r="A162" s="133"/>
      <c r="B162" s="133"/>
      <c r="C162" s="133"/>
      <c r="D162" s="133"/>
      <c r="E162" s="133"/>
      <c r="F162" s="133"/>
      <c r="G162" s="133"/>
    </row>
    <row r="163" ht="15.75" customHeight="1">
      <c r="A163" s="133"/>
      <c r="B163" s="133"/>
      <c r="C163" s="133"/>
      <c r="D163" s="133"/>
      <c r="E163" s="133"/>
      <c r="F163" s="133"/>
      <c r="G163" s="133"/>
    </row>
    <row r="164" ht="15.75" customHeight="1">
      <c r="A164" s="133"/>
      <c r="B164" s="133"/>
      <c r="C164" s="133"/>
      <c r="D164" s="133"/>
      <c r="E164" s="133"/>
      <c r="F164" s="133"/>
      <c r="G164" s="133"/>
    </row>
    <row r="165" ht="15.75" customHeight="1">
      <c r="A165" s="133"/>
      <c r="B165" s="133"/>
      <c r="C165" s="133"/>
      <c r="D165" s="133"/>
      <c r="E165" s="133"/>
      <c r="F165" s="133"/>
      <c r="G165" s="133"/>
    </row>
    <row r="166" ht="15.75" customHeight="1">
      <c r="A166" s="133"/>
      <c r="B166" s="133"/>
      <c r="C166" s="133"/>
      <c r="D166" s="133"/>
      <c r="E166" s="133"/>
      <c r="F166" s="133"/>
      <c r="G166" s="133"/>
    </row>
    <row r="167" ht="15.75" customHeight="1">
      <c r="A167" s="133"/>
      <c r="B167" s="133"/>
      <c r="C167" s="133"/>
      <c r="D167" s="133"/>
      <c r="E167" s="133"/>
      <c r="F167" s="133"/>
      <c r="G167" s="133"/>
    </row>
    <row r="168" ht="15.75" customHeight="1">
      <c r="A168" s="133"/>
      <c r="B168" s="133"/>
      <c r="C168" s="133"/>
      <c r="D168" s="133"/>
      <c r="E168" s="133"/>
      <c r="F168" s="133"/>
      <c r="G168" s="133"/>
    </row>
    <row r="169" ht="15.75" customHeight="1">
      <c r="A169" s="133"/>
      <c r="B169" s="133"/>
      <c r="C169" s="133"/>
      <c r="D169" s="133"/>
      <c r="E169" s="133"/>
      <c r="F169" s="133"/>
      <c r="G169" s="133"/>
    </row>
    <row r="170" ht="15.75" customHeight="1">
      <c r="A170" s="133"/>
      <c r="B170" s="133"/>
      <c r="C170" s="133"/>
      <c r="D170" s="133"/>
      <c r="E170" s="133"/>
      <c r="F170" s="133"/>
      <c r="G170" s="133"/>
    </row>
    <row r="171" ht="15.75" customHeight="1">
      <c r="A171" s="133"/>
      <c r="B171" s="133"/>
      <c r="C171" s="133"/>
      <c r="D171" s="133"/>
      <c r="E171" s="133"/>
      <c r="F171" s="133"/>
      <c r="G171" s="133"/>
    </row>
    <row r="172" ht="15.75" customHeight="1">
      <c r="A172" s="133"/>
      <c r="B172" s="133"/>
      <c r="C172" s="133"/>
      <c r="D172" s="133"/>
      <c r="E172" s="133"/>
      <c r="F172" s="133"/>
      <c r="G172" s="133"/>
    </row>
    <row r="173" ht="15.75" customHeight="1">
      <c r="A173" s="133"/>
      <c r="B173" s="133"/>
      <c r="C173" s="133"/>
      <c r="D173" s="133"/>
      <c r="E173" s="133"/>
      <c r="F173" s="133"/>
      <c r="G173" s="133"/>
    </row>
    <row r="174" ht="15.75" customHeight="1">
      <c r="A174" s="133"/>
      <c r="B174" s="133"/>
      <c r="C174" s="133"/>
      <c r="D174" s="133"/>
      <c r="E174" s="133"/>
      <c r="F174" s="133"/>
      <c r="G174" s="133"/>
    </row>
    <row r="175" ht="15.75" customHeight="1">
      <c r="A175" s="133"/>
      <c r="B175" s="133"/>
      <c r="C175" s="133"/>
      <c r="D175" s="133"/>
      <c r="E175" s="133"/>
      <c r="F175" s="133"/>
      <c r="G175" s="133"/>
    </row>
    <row r="176" ht="15.75" customHeight="1">
      <c r="A176" s="133"/>
      <c r="B176" s="133"/>
      <c r="C176" s="133"/>
      <c r="D176" s="133"/>
      <c r="E176" s="133"/>
      <c r="F176" s="133"/>
      <c r="G176" s="133"/>
    </row>
    <row r="177" ht="15.75" customHeight="1">
      <c r="A177" s="133"/>
      <c r="B177" s="133"/>
      <c r="C177" s="133"/>
      <c r="D177" s="133"/>
      <c r="E177" s="133"/>
      <c r="F177" s="133"/>
      <c r="G177" s="133"/>
    </row>
    <row r="178" ht="15.75" customHeight="1">
      <c r="A178" s="133"/>
      <c r="B178" s="133"/>
      <c r="C178" s="133"/>
      <c r="D178" s="133"/>
      <c r="E178" s="133"/>
      <c r="F178" s="133"/>
      <c r="G178" s="133"/>
    </row>
    <row r="179" ht="15.75" customHeight="1">
      <c r="A179" s="133"/>
      <c r="B179" s="133"/>
      <c r="C179" s="133"/>
      <c r="D179" s="133"/>
      <c r="E179" s="133"/>
      <c r="F179" s="133"/>
      <c r="G179" s="133"/>
    </row>
    <row r="180" ht="15.75" customHeight="1">
      <c r="A180" s="133"/>
      <c r="B180" s="133"/>
      <c r="C180" s="133"/>
      <c r="D180" s="133"/>
      <c r="E180" s="133"/>
      <c r="F180" s="133"/>
      <c r="G180" s="133"/>
    </row>
    <row r="181" ht="15.75" customHeight="1">
      <c r="A181" s="133"/>
      <c r="B181" s="133"/>
      <c r="C181" s="133"/>
      <c r="D181" s="133"/>
      <c r="E181" s="133"/>
      <c r="F181" s="133"/>
      <c r="G181" s="133"/>
    </row>
    <row r="182" ht="15.75" customHeight="1">
      <c r="A182" s="133"/>
      <c r="B182" s="133"/>
      <c r="C182" s="133"/>
      <c r="D182" s="133"/>
      <c r="E182" s="133"/>
      <c r="F182" s="133"/>
      <c r="G182" s="133"/>
    </row>
    <row r="183" ht="15.75" customHeight="1">
      <c r="A183" s="133"/>
      <c r="B183" s="133"/>
      <c r="C183" s="133"/>
      <c r="D183" s="133"/>
      <c r="E183" s="133"/>
      <c r="F183" s="133"/>
      <c r="G183" s="133"/>
    </row>
    <row r="184" ht="15.75" customHeight="1">
      <c r="A184" s="133"/>
      <c r="B184" s="133"/>
      <c r="C184" s="133"/>
      <c r="D184" s="133"/>
      <c r="E184" s="133"/>
      <c r="F184" s="133"/>
      <c r="G184" s="133"/>
    </row>
    <row r="185" ht="15.75" customHeight="1">
      <c r="A185" s="133"/>
      <c r="B185" s="133"/>
      <c r="C185" s="133"/>
      <c r="D185" s="133"/>
      <c r="E185" s="133"/>
      <c r="F185" s="133"/>
      <c r="G185" s="133"/>
    </row>
    <row r="186" ht="15.75" customHeight="1">
      <c r="A186" s="133"/>
      <c r="B186" s="133"/>
      <c r="C186" s="133"/>
      <c r="D186" s="133"/>
      <c r="E186" s="133"/>
      <c r="F186" s="133"/>
      <c r="G186" s="133"/>
    </row>
    <row r="187" ht="15.75" customHeight="1">
      <c r="A187" s="133"/>
      <c r="B187" s="133"/>
      <c r="C187" s="133"/>
      <c r="D187" s="133"/>
      <c r="E187" s="133"/>
      <c r="F187" s="133"/>
      <c r="G187" s="133"/>
    </row>
    <row r="188" ht="15.75" customHeight="1">
      <c r="A188" s="133"/>
      <c r="B188" s="133"/>
      <c r="C188" s="133"/>
      <c r="D188" s="133"/>
      <c r="E188" s="133"/>
      <c r="F188" s="133"/>
      <c r="G188" s="133"/>
    </row>
    <row r="189" ht="15.75" customHeight="1">
      <c r="A189" s="133"/>
      <c r="B189" s="133"/>
      <c r="C189" s="133"/>
      <c r="D189" s="133"/>
      <c r="E189" s="133"/>
      <c r="F189" s="133"/>
      <c r="G189" s="133"/>
    </row>
    <row r="190" ht="15.75" customHeight="1">
      <c r="A190" s="133"/>
      <c r="B190" s="133"/>
      <c r="C190" s="133"/>
      <c r="D190" s="133"/>
      <c r="E190" s="133"/>
      <c r="F190" s="133"/>
      <c r="G190" s="133"/>
    </row>
    <row r="191" ht="15.75" customHeight="1">
      <c r="A191" s="133"/>
      <c r="B191" s="133"/>
      <c r="C191" s="133"/>
      <c r="D191" s="133"/>
      <c r="E191" s="133"/>
      <c r="F191" s="133"/>
      <c r="G191" s="133"/>
    </row>
    <row r="192" ht="15.75" customHeight="1">
      <c r="A192" s="133"/>
      <c r="B192" s="133"/>
      <c r="C192" s="133"/>
      <c r="D192" s="133"/>
      <c r="E192" s="133"/>
      <c r="F192" s="133"/>
      <c r="G192" s="133"/>
    </row>
    <row r="193" ht="15.75" customHeight="1">
      <c r="A193" s="133"/>
      <c r="B193" s="133"/>
      <c r="C193" s="133"/>
      <c r="D193" s="133"/>
      <c r="E193" s="133"/>
      <c r="F193" s="133"/>
      <c r="G193" s="133"/>
    </row>
    <row r="194" ht="15.75" customHeight="1">
      <c r="A194" s="133"/>
      <c r="B194" s="133"/>
      <c r="C194" s="133"/>
      <c r="D194" s="133"/>
      <c r="E194" s="133"/>
      <c r="F194" s="133"/>
      <c r="G194" s="133"/>
    </row>
    <row r="195" ht="15.75" customHeight="1">
      <c r="A195" s="133"/>
      <c r="B195" s="133"/>
      <c r="C195" s="133"/>
      <c r="D195" s="133"/>
      <c r="E195" s="133"/>
      <c r="F195" s="133"/>
      <c r="G195" s="133"/>
    </row>
    <row r="196" ht="15.75" customHeight="1">
      <c r="A196" s="133"/>
      <c r="B196" s="133"/>
      <c r="C196" s="133"/>
      <c r="D196" s="133"/>
      <c r="E196" s="133"/>
      <c r="F196" s="133"/>
      <c r="G196" s="133"/>
    </row>
    <row r="197" ht="15.75" customHeight="1">
      <c r="A197" s="133"/>
      <c r="B197" s="133"/>
      <c r="C197" s="133"/>
      <c r="D197" s="133"/>
      <c r="E197" s="133"/>
      <c r="F197" s="133"/>
      <c r="G197" s="133"/>
    </row>
    <row r="198" ht="15.75" customHeight="1">
      <c r="A198" s="133"/>
      <c r="B198" s="133"/>
      <c r="C198" s="133"/>
      <c r="D198" s="133"/>
      <c r="E198" s="133"/>
      <c r="F198" s="133"/>
      <c r="G198" s="133"/>
    </row>
    <row r="199" ht="15.75" customHeight="1">
      <c r="A199" s="133"/>
      <c r="B199" s="133"/>
      <c r="C199" s="133"/>
      <c r="D199" s="133"/>
      <c r="E199" s="133"/>
      <c r="F199" s="133"/>
      <c r="G199" s="133"/>
    </row>
    <row r="200" ht="15.75" customHeight="1">
      <c r="A200" s="133"/>
      <c r="B200" s="133"/>
      <c r="C200" s="133"/>
      <c r="D200" s="133"/>
      <c r="E200" s="133"/>
      <c r="F200" s="133"/>
      <c r="G200" s="133"/>
    </row>
    <row r="201" ht="15.75" customHeight="1">
      <c r="A201" s="133"/>
      <c r="B201" s="133"/>
      <c r="C201" s="133"/>
      <c r="D201" s="133"/>
      <c r="E201" s="133"/>
      <c r="F201" s="133"/>
      <c r="G201" s="133"/>
    </row>
    <row r="202" ht="15.75" customHeight="1">
      <c r="A202" s="133"/>
      <c r="B202" s="133"/>
      <c r="C202" s="133"/>
      <c r="D202" s="133"/>
      <c r="E202" s="133"/>
      <c r="F202" s="133"/>
      <c r="G202" s="133"/>
    </row>
    <row r="203" ht="15.75" customHeight="1">
      <c r="A203" s="133"/>
      <c r="B203" s="133"/>
      <c r="C203" s="133"/>
      <c r="D203" s="133"/>
      <c r="E203" s="133"/>
      <c r="F203" s="133"/>
      <c r="G203" s="133"/>
    </row>
    <row r="204" ht="15.75" customHeight="1">
      <c r="A204" s="133"/>
      <c r="B204" s="133"/>
      <c r="C204" s="133"/>
      <c r="D204" s="133"/>
      <c r="E204" s="133"/>
      <c r="F204" s="133"/>
      <c r="G204" s="133"/>
    </row>
    <row r="205" ht="15.75" customHeight="1">
      <c r="A205" s="133"/>
      <c r="B205" s="133"/>
      <c r="C205" s="133"/>
      <c r="D205" s="133"/>
      <c r="E205" s="133"/>
      <c r="F205" s="133"/>
      <c r="G205" s="133"/>
    </row>
    <row r="206" ht="15.75" customHeight="1">
      <c r="A206" s="133"/>
      <c r="B206" s="133"/>
      <c r="C206" s="133"/>
      <c r="D206" s="133"/>
      <c r="E206" s="133"/>
      <c r="F206" s="133"/>
      <c r="G206" s="133"/>
    </row>
    <row r="207" ht="15.75" customHeight="1">
      <c r="A207" s="133"/>
      <c r="B207" s="133"/>
      <c r="C207" s="133"/>
      <c r="D207" s="133"/>
      <c r="E207" s="133"/>
      <c r="F207" s="133"/>
      <c r="G207" s="133"/>
    </row>
    <row r="208" ht="15.75" customHeight="1">
      <c r="A208" s="133"/>
      <c r="B208" s="133"/>
      <c r="C208" s="133"/>
      <c r="D208" s="133"/>
      <c r="E208" s="133"/>
      <c r="F208" s="133"/>
      <c r="G208" s="133"/>
    </row>
    <row r="209" ht="15.75" customHeight="1">
      <c r="A209" s="133"/>
      <c r="B209" s="133"/>
      <c r="C209" s="133"/>
      <c r="D209" s="133"/>
      <c r="E209" s="133"/>
      <c r="F209" s="133"/>
      <c r="G209" s="133"/>
    </row>
    <row r="210" ht="15.75" customHeight="1">
      <c r="A210" s="133"/>
      <c r="B210" s="133"/>
      <c r="C210" s="133"/>
      <c r="D210" s="133"/>
      <c r="E210" s="133"/>
      <c r="F210" s="133"/>
      <c r="G210" s="133"/>
    </row>
    <row r="211" ht="15.75" customHeight="1">
      <c r="A211" s="133"/>
      <c r="B211" s="133"/>
      <c r="C211" s="133"/>
      <c r="D211" s="133"/>
      <c r="E211" s="133"/>
      <c r="F211" s="133"/>
      <c r="G211" s="133"/>
    </row>
    <row r="212" ht="15.75" customHeight="1">
      <c r="A212" s="133"/>
      <c r="B212" s="133"/>
      <c r="C212" s="133"/>
      <c r="D212" s="133"/>
      <c r="E212" s="133"/>
      <c r="F212" s="133"/>
      <c r="G212" s="133"/>
    </row>
    <row r="213" ht="15.75" customHeight="1">
      <c r="A213" s="133"/>
      <c r="B213" s="133"/>
      <c r="C213" s="133"/>
      <c r="D213" s="133"/>
      <c r="E213" s="133"/>
      <c r="F213" s="133"/>
      <c r="G213" s="133"/>
    </row>
    <row r="214" ht="15.75" customHeight="1">
      <c r="A214" s="133"/>
      <c r="B214" s="133"/>
      <c r="C214" s="133"/>
      <c r="D214" s="133"/>
      <c r="E214" s="133"/>
      <c r="F214" s="133"/>
      <c r="G214" s="133"/>
    </row>
    <row r="215" ht="15.75" customHeight="1">
      <c r="A215" s="133"/>
      <c r="B215" s="133"/>
      <c r="C215" s="133"/>
      <c r="D215" s="133"/>
      <c r="E215" s="133"/>
      <c r="F215" s="133"/>
      <c r="G215" s="133"/>
    </row>
    <row r="216" ht="15.75" customHeight="1">
      <c r="A216" s="133"/>
      <c r="B216" s="133"/>
      <c r="C216" s="133"/>
      <c r="D216" s="133"/>
      <c r="E216" s="133"/>
      <c r="F216" s="133"/>
      <c r="G216" s="133"/>
    </row>
    <row r="217" ht="15.75" customHeight="1">
      <c r="A217" s="133"/>
      <c r="B217" s="133"/>
      <c r="C217" s="133"/>
      <c r="D217" s="133"/>
      <c r="E217" s="133"/>
      <c r="F217" s="133"/>
      <c r="G217" s="133"/>
    </row>
    <row r="218" ht="15.75" customHeight="1">
      <c r="A218" s="133"/>
      <c r="B218" s="133"/>
      <c r="C218" s="133"/>
      <c r="D218" s="133"/>
      <c r="E218" s="133"/>
      <c r="F218" s="133"/>
      <c r="G218" s="133"/>
    </row>
    <row r="219" ht="15.75" customHeight="1">
      <c r="A219" s="133"/>
      <c r="B219" s="133"/>
      <c r="C219" s="133"/>
      <c r="D219" s="133"/>
      <c r="E219" s="133"/>
      <c r="F219" s="133"/>
      <c r="G219" s="133"/>
    </row>
    <row r="220" ht="15.75" customHeight="1">
      <c r="A220" s="133"/>
      <c r="B220" s="133"/>
      <c r="C220" s="133"/>
      <c r="D220" s="133"/>
      <c r="E220" s="133"/>
      <c r="F220" s="133"/>
      <c r="G220" s="133"/>
    </row>
    <row r="221" ht="15.75" customHeight="1">
      <c r="A221" s="133"/>
      <c r="B221" s="133"/>
      <c r="C221" s="133"/>
      <c r="D221" s="133"/>
      <c r="E221" s="133"/>
      <c r="F221" s="133"/>
      <c r="G221" s="133"/>
    </row>
    <row r="222" ht="15.75" customHeight="1">
      <c r="A222" s="133"/>
      <c r="B222" s="133"/>
      <c r="C222" s="133"/>
      <c r="D222" s="133"/>
      <c r="E222" s="133"/>
      <c r="F222" s="133"/>
      <c r="G222" s="133"/>
    </row>
    <row r="223" ht="15.75" customHeight="1">
      <c r="A223" s="133"/>
      <c r="B223" s="133"/>
      <c r="C223" s="133"/>
      <c r="D223" s="133"/>
      <c r="E223" s="133"/>
      <c r="F223" s="133"/>
      <c r="G223" s="133"/>
    </row>
    <row r="224" ht="15.75" customHeight="1">
      <c r="A224" s="133"/>
      <c r="B224" s="133"/>
      <c r="C224" s="133"/>
      <c r="D224" s="133"/>
      <c r="E224" s="133"/>
      <c r="F224" s="133"/>
      <c r="G224" s="133"/>
    </row>
    <row r="225" ht="15.75" customHeight="1">
      <c r="A225" s="133"/>
      <c r="B225" s="133"/>
      <c r="C225" s="133"/>
      <c r="D225" s="133"/>
      <c r="E225" s="133"/>
      <c r="F225" s="133"/>
      <c r="G225" s="133"/>
    </row>
    <row r="226" ht="15.75" customHeight="1">
      <c r="A226" s="133"/>
      <c r="B226" s="133"/>
      <c r="C226" s="133"/>
      <c r="D226" s="133"/>
      <c r="E226" s="133"/>
      <c r="F226" s="133"/>
      <c r="G226" s="133"/>
    </row>
    <row r="227" ht="15.75" customHeight="1">
      <c r="A227" s="133"/>
      <c r="B227" s="133"/>
      <c r="C227" s="133"/>
      <c r="D227" s="133"/>
      <c r="E227" s="133"/>
      <c r="F227" s="133"/>
      <c r="G227" s="133"/>
    </row>
    <row r="228" ht="15.75" customHeight="1">
      <c r="A228" s="133"/>
      <c r="B228" s="133"/>
      <c r="C228" s="133"/>
      <c r="D228" s="133"/>
      <c r="E228" s="133"/>
      <c r="F228" s="133"/>
      <c r="G228" s="133"/>
    </row>
    <row r="229" ht="15.75" customHeight="1">
      <c r="A229" s="133"/>
      <c r="B229" s="133"/>
      <c r="C229" s="133"/>
      <c r="D229" s="133"/>
      <c r="E229" s="133"/>
      <c r="F229" s="133"/>
      <c r="G229" s="133"/>
    </row>
    <row r="230" ht="15.75" customHeight="1">
      <c r="A230" s="133"/>
      <c r="B230" s="133"/>
      <c r="C230" s="133"/>
      <c r="D230" s="133"/>
      <c r="E230" s="133"/>
      <c r="F230" s="133"/>
      <c r="G230" s="133"/>
    </row>
    <row r="231" ht="15.75" customHeight="1">
      <c r="A231" s="133"/>
      <c r="B231" s="133"/>
      <c r="C231" s="133"/>
      <c r="D231" s="133"/>
      <c r="E231" s="133"/>
      <c r="F231" s="133"/>
      <c r="G231" s="133"/>
    </row>
    <row r="232" ht="15.75" customHeight="1">
      <c r="A232" s="133"/>
      <c r="B232" s="133"/>
      <c r="C232" s="133"/>
      <c r="D232" s="133"/>
      <c r="E232" s="133"/>
      <c r="F232" s="133"/>
      <c r="G232" s="133"/>
    </row>
    <row r="233" ht="15.75" customHeight="1">
      <c r="A233" s="133"/>
      <c r="B233" s="133"/>
      <c r="C233" s="133"/>
      <c r="D233" s="133"/>
      <c r="E233" s="133"/>
      <c r="F233" s="133"/>
      <c r="G233" s="133"/>
    </row>
    <row r="234" ht="15.75" customHeight="1">
      <c r="A234" s="133"/>
      <c r="B234" s="133"/>
      <c r="C234" s="133"/>
      <c r="D234" s="133"/>
      <c r="E234" s="133"/>
      <c r="F234" s="133"/>
      <c r="G234" s="133"/>
    </row>
    <row r="235" ht="15.75" customHeight="1">
      <c r="A235" s="133"/>
      <c r="B235" s="133"/>
      <c r="C235" s="133"/>
      <c r="D235" s="133"/>
      <c r="E235" s="133"/>
      <c r="F235" s="133"/>
      <c r="G235" s="133"/>
    </row>
    <row r="236" ht="15.75" customHeight="1">
      <c r="A236" s="133"/>
      <c r="B236" s="133"/>
      <c r="C236" s="133"/>
      <c r="D236" s="133"/>
      <c r="E236" s="133"/>
      <c r="F236" s="133"/>
      <c r="G236" s="133"/>
    </row>
    <row r="237" ht="15.75" customHeight="1">
      <c r="A237" s="133"/>
      <c r="B237" s="133"/>
      <c r="C237" s="133"/>
      <c r="D237" s="133"/>
      <c r="E237" s="133"/>
      <c r="F237" s="133"/>
      <c r="G237" s="133"/>
    </row>
    <row r="238" ht="15.75" customHeight="1">
      <c r="A238" s="133"/>
      <c r="B238" s="133"/>
      <c r="C238" s="133"/>
      <c r="D238" s="133"/>
      <c r="E238" s="133"/>
      <c r="F238" s="133"/>
      <c r="G238" s="133"/>
    </row>
    <row r="239" ht="15.75" customHeight="1">
      <c r="A239" s="133"/>
      <c r="B239" s="133"/>
      <c r="C239" s="133"/>
      <c r="D239" s="133"/>
      <c r="E239" s="133"/>
      <c r="F239" s="133"/>
      <c r="G239" s="133"/>
    </row>
    <row r="240" ht="15.75" customHeight="1">
      <c r="A240" s="32"/>
      <c r="C240" s="32"/>
      <c r="D240" s="32"/>
      <c r="E240" s="32"/>
      <c r="F240" s="32"/>
      <c r="G240" s="32"/>
    </row>
    <row r="241" ht="15.75" customHeight="1">
      <c r="A241" s="32"/>
      <c r="C241" s="32"/>
      <c r="D241" s="32"/>
      <c r="E241" s="32"/>
      <c r="F241" s="32"/>
      <c r="G241" s="32"/>
    </row>
    <row r="242" ht="15.75" customHeight="1">
      <c r="A242" s="32"/>
      <c r="C242" s="32"/>
      <c r="D242" s="32"/>
      <c r="E242" s="32"/>
      <c r="F242" s="32"/>
      <c r="G242" s="32"/>
    </row>
    <row r="243" ht="15.75" customHeight="1">
      <c r="A243" s="32"/>
      <c r="C243" s="32"/>
      <c r="D243" s="32"/>
      <c r="E243" s="32"/>
      <c r="F243" s="32"/>
      <c r="G243" s="32"/>
    </row>
    <row r="244" ht="15.75" customHeight="1">
      <c r="A244" s="32"/>
      <c r="C244" s="32"/>
      <c r="D244" s="32"/>
      <c r="E244" s="32"/>
      <c r="F244" s="32"/>
      <c r="G244" s="32"/>
    </row>
    <row r="245" ht="15.75" customHeight="1">
      <c r="A245" s="32"/>
      <c r="C245" s="32"/>
      <c r="D245" s="32"/>
      <c r="E245" s="32"/>
      <c r="F245" s="32"/>
      <c r="G245" s="32"/>
    </row>
    <row r="246" ht="15.75" customHeight="1">
      <c r="A246" s="32"/>
      <c r="C246" s="32"/>
      <c r="D246" s="32"/>
      <c r="E246" s="32"/>
      <c r="F246" s="32"/>
      <c r="G246" s="32"/>
    </row>
    <row r="247" ht="15.75" customHeight="1">
      <c r="A247" s="32"/>
      <c r="C247" s="32"/>
      <c r="D247" s="32"/>
      <c r="E247" s="32"/>
      <c r="F247" s="32"/>
      <c r="G247" s="32"/>
    </row>
    <row r="248" ht="15.75" customHeight="1">
      <c r="A248" s="32"/>
      <c r="C248" s="32"/>
      <c r="D248" s="32"/>
      <c r="E248" s="32"/>
      <c r="F248" s="32"/>
      <c r="G248" s="32"/>
    </row>
    <row r="249" ht="15.75" customHeight="1">
      <c r="A249" s="32"/>
      <c r="C249" s="32"/>
      <c r="D249" s="32"/>
      <c r="E249" s="32"/>
      <c r="F249" s="32"/>
      <c r="G249" s="32"/>
    </row>
    <row r="250" ht="15.75" customHeight="1">
      <c r="A250" s="32"/>
      <c r="C250" s="32"/>
      <c r="D250" s="32"/>
      <c r="E250" s="32"/>
      <c r="F250" s="32"/>
      <c r="G250" s="32"/>
    </row>
    <row r="251" ht="15.75" customHeight="1">
      <c r="A251" s="32"/>
      <c r="C251" s="32"/>
      <c r="D251" s="32"/>
      <c r="E251" s="32"/>
      <c r="F251" s="32"/>
      <c r="G251" s="32"/>
    </row>
    <row r="252" ht="15.75" customHeight="1">
      <c r="A252" s="32"/>
      <c r="C252" s="32"/>
      <c r="D252" s="32"/>
      <c r="E252" s="32"/>
      <c r="F252" s="32"/>
      <c r="G252" s="32"/>
    </row>
    <row r="253" ht="15.75" customHeight="1">
      <c r="A253" s="32"/>
      <c r="C253" s="32"/>
      <c r="D253" s="32"/>
      <c r="E253" s="32"/>
      <c r="F253" s="32"/>
      <c r="G253" s="32"/>
    </row>
    <row r="254" ht="15.75" customHeight="1">
      <c r="A254" s="32"/>
      <c r="C254" s="32"/>
      <c r="D254" s="32"/>
      <c r="E254" s="32"/>
      <c r="F254" s="32"/>
      <c r="G254" s="32"/>
    </row>
    <row r="255" ht="15.75" customHeight="1">
      <c r="A255" s="32"/>
      <c r="C255" s="32"/>
      <c r="D255" s="32"/>
      <c r="E255" s="32"/>
      <c r="F255" s="32"/>
      <c r="G255" s="32"/>
    </row>
    <row r="256" ht="15.75" customHeight="1">
      <c r="A256" s="32"/>
      <c r="C256" s="32"/>
      <c r="D256" s="32"/>
      <c r="E256" s="32"/>
      <c r="F256" s="32"/>
      <c r="G256" s="32"/>
    </row>
    <row r="257" ht="15.75" customHeight="1">
      <c r="A257" s="32"/>
      <c r="C257" s="32"/>
      <c r="D257" s="32"/>
      <c r="E257" s="32"/>
      <c r="F257" s="32"/>
      <c r="G257" s="32"/>
    </row>
    <row r="258" ht="15.75" customHeight="1">
      <c r="A258" s="32"/>
      <c r="C258" s="32"/>
      <c r="D258" s="32"/>
      <c r="E258" s="32"/>
      <c r="F258" s="32"/>
      <c r="G258" s="32"/>
    </row>
    <row r="259" ht="15.75" customHeight="1">
      <c r="A259" s="32"/>
      <c r="C259" s="32"/>
      <c r="D259" s="32"/>
      <c r="E259" s="32"/>
      <c r="F259" s="32"/>
      <c r="G259" s="32"/>
    </row>
    <row r="260" ht="15.75" customHeight="1">
      <c r="A260" s="32"/>
      <c r="C260" s="32"/>
      <c r="D260" s="32"/>
      <c r="E260" s="32"/>
      <c r="F260" s="32"/>
      <c r="G260" s="32"/>
    </row>
    <row r="261" ht="15.75" customHeight="1">
      <c r="A261" s="32"/>
      <c r="C261" s="32"/>
      <c r="D261" s="32"/>
      <c r="E261" s="32"/>
      <c r="F261" s="32"/>
      <c r="G261" s="32"/>
    </row>
    <row r="262" ht="15.75" customHeight="1">
      <c r="A262" s="32"/>
      <c r="C262" s="32"/>
      <c r="D262" s="32"/>
      <c r="E262" s="32"/>
      <c r="F262" s="32"/>
      <c r="G262" s="32"/>
    </row>
    <row r="263" ht="15.75" customHeight="1">
      <c r="A263" s="32"/>
      <c r="C263" s="32"/>
      <c r="D263" s="32"/>
      <c r="E263" s="32"/>
      <c r="F263" s="32"/>
      <c r="G263" s="32"/>
    </row>
    <row r="264" ht="15.75" customHeight="1">
      <c r="A264" s="32"/>
      <c r="C264" s="32"/>
      <c r="D264" s="32"/>
      <c r="E264" s="32"/>
      <c r="F264" s="32"/>
      <c r="G264" s="32"/>
    </row>
    <row r="265" ht="15.75" customHeight="1">
      <c r="A265" s="32"/>
      <c r="C265" s="32"/>
      <c r="D265" s="32"/>
      <c r="E265" s="32"/>
      <c r="F265" s="32"/>
      <c r="G265" s="32"/>
    </row>
    <row r="266" ht="15.75" customHeight="1">
      <c r="A266" s="32"/>
      <c r="C266" s="32"/>
      <c r="D266" s="32"/>
      <c r="E266" s="32"/>
      <c r="F266" s="32"/>
      <c r="G266" s="32"/>
    </row>
    <row r="267" ht="15.75" customHeight="1">
      <c r="A267" s="32"/>
      <c r="C267" s="32"/>
      <c r="D267" s="32"/>
      <c r="E267" s="32"/>
      <c r="F267" s="32"/>
      <c r="G267" s="32"/>
    </row>
    <row r="268" ht="15.75" customHeight="1">
      <c r="A268" s="32"/>
      <c r="C268" s="32"/>
      <c r="D268" s="32"/>
      <c r="E268" s="32"/>
      <c r="F268" s="32"/>
      <c r="G268" s="32"/>
    </row>
    <row r="269" ht="15.75" customHeight="1">
      <c r="A269" s="32"/>
      <c r="C269" s="32"/>
      <c r="D269" s="32"/>
      <c r="E269" s="32"/>
      <c r="F269" s="32"/>
      <c r="G269" s="32"/>
    </row>
    <row r="270" ht="15.75" customHeight="1">
      <c r="A270" s="32"/>
      <c r="C270" s="32"/>
      <c r="D270" s="32"/>
      <c r="E270" s="32"/>
      <c r="F270" s="32"/>
      <c r="G270" s="32"/>
    </row>
    <row r="271" ht="15.75" customHeight="1">
      <c r="A271" s="32"/>
      <c r="C271" s="32"/>
      <c r="D271" s="32"/>
      <c r="E271" s="32"/>
      <c r="F271" s="32"/>
      <c r="G271" s="32"/>
    </row>
    <row r="272" ht="15.75" customHeight="1">
      <c r="A272" s="32"/>
      <c r="C272" s="32"/>
      <c r="D272" s="32"/>
      <c r="E272" s="32"/>
      <c r="F272" s="32"/>
      <c r="G272" s="32"/>
    </row>
    <row r="273" ht="15.75" customHeight="1">
      <c r="A273" s="32"/>
      <c r="C273" s="32"/>
      <c r="D273" s="32"/>
      <c r="E273" s="32"/>
      <c r="F273" s="32"/>
      <c r="G273" s="32"/>
    </row>
    <row r="274" ht="15.75" customHeight="1">
      <c r="A274" s="32"/>
      <c r="C274" s="32"/>
      <c r="D274" s="32"/>
      <c r="E274" s="32"/>
      <c r="F274" s="32"/>
      <c r="G274" s="32"/>
    </row>
    <row r="275" ht="15.75" customHeight="1">
      <c r="A275" s="32"/>
      <c r="C275" s="32"/>
      <c r="D275" s="32"/>
      <c r="E275" s="32"/>
      <c r="F275" s="32"/>
      <c r="G275" s="32"/>
    </row>
    <row r="276" ht="15.75" customHeight="1">
      <c r="A276" s="32"/>
      <c r="C276" s="32"/>
      <c r="D276" s="32"/>
      <c r="E276" s="32"/>
      <c r="F276" s="32"/>
      <c r="G276" s="32"/>
    </row>
    <row r="277" ht="15.75" customHeight="1">
      <c r="A277" s="32"/>
      <c r="C277" s="32"/>
      <c r="D277" s="32"/>
      <c r="E277" s="32"/>
      <c r="F277" s="32"/>
      <c r="G277" s="32"/>
    </row>
    <row r="278" ht="15.75" customHeight="1">
      <c r="A278" s="32"/>
      <c r="C278" s="32"/>
      <c r="D278" s="32"/>
      <c r="E278" s="32"/>
      <c r="F278" s="32"/>
      <c r="G278" s="32"/>
    </row>
    <row r="279" ht="15.75" customHeight="1">
      <c r="A279" s="32"/>
      <c r="C279" s="32"/>
      <c r="D279" s="32"/>
      <c r="E279" s="32"/>
      <c r="F279" s="32"/>
      <c r="G279" s="32"/>
    </row>
    <row r="280" ht="15.75" customHeight="1">
      <c r="A280" s="32"/>
      <c r="C280" s="32"/>
      <c r="D280" s="32"/>
      <c r="E280" s="32"/>
      <c r="F280" s="32"/>
      <c r="G280" s="32"/>
    </row>
    <row r="281" ht="15.75" customHeight="1">
      <c r="A281" s="32"/>
      <c r="C281" s="32"/>
      <c r="D281" s="32"/>
      <c r="E281" s="32"/>
      <c r="F281" s="32"/>
      <c r="G281" s="32"/>
    </row>
    <row r="282" ht="15.75" customHeight="1">
      <c r="A282" s="32"/>
      <c r="C282" s="32"/>
      <c r="D282" s="32"/>
      <c r="E282" s="32"/>
      <c r="F282" s="32"/>
      <c r="G282" s="32"/>
    </row>
    <row r="283" ht="15.75" customHeight="1">
      <c r="A283" s="32"/>
      <c r="C283" s="32"/>
      <c r="D283" s="32"/>
      <c r="E283" s="32"/>
      <c r="F283" s="32"/>
      <c r="G283" s="32"/>
    </row>
    <row r="284" ht="15.75" customHeight="1">
      <c r="A284" s="32"/>
      <c r="C284" s="32"/>
      <c r="D284" s="32"/>
      <c r="E284" s="32"/>
      <c r="F284" s="32"/>
      <c r="G284" s="32"/>
    </row>
    <row r="285" ht="15.75" customHeight="1">
      <c r="A285" s="32"/>
      <c r="C285" s="32"/>
      <c r="D285" s="32"/>
      <c r="E285" s="32"/>
      <c r="F285" s="32"/>
      <c r="G285" s="32"/>
    </row>
    <row r="286" ht="15.75" customHeight="1">
      <c r="A286" s="32"/>
      <c r="C286" s="32"/>
      <c r="D286" s="32"/>
      <c r="E286" s="32"/>
      <c r="F286" s="32"/>
      <c r="G286" s="32"/>
    </row>
    <row r="287" ht="15.75" customHeight="1">
      <c r="A287" s="32"/>
      <c r="C287" s="32"/>
      <c r="D287" s="32"/>
      <c r="E287" s="32"/>
      <c r="F287" s="32"/>
      <c r="G287" s="32"/>
    </row>
    <row r="288" ht="15.75" customHeight="1">
      <c r="A288" s="32"/>
      <c r="C288" s="32"/>
      <c r="D288" s="32"/>
      <c r="E288" s="32"/>
      <c r="F288" s="32"/>
      <c r="G288" s="32"/>
    </row>
    <row r="289" ht="15.75" customHeight="1">
      <c r="A289" s="32"/>
      <c r="C289" s="32"/>
      <c r="D289" s="32"/>
      <c r="E289" s="32"/>
      <c r="F289" s="32"/>
      <c r="G289" s="32"/>
    </row>
    <row r="290" ht="15.75" customHeight="1">
      <c r="A290" s="32"/>
      <c r="C290" s="32"/>
      <c r="D290" s="32"/>
      <c r="E290" s="32"/>
      <c r="F290" s="32"/>
      <c r="G290" s="32"/>
    </row>
    <row r="291" ht="15.75" customHeight="1">
      <c r="A291" s="32"/>
      <c r="C291" s="32"/>
      <c r="D291" s="32"/>
      <c r="E291" s="32"/>
      <c r="F291" s="32"/>
      <c r="G291" s="32"/>
    </row>
    <row r="292" ht="15.75" customHeight="1">
      <c r="A292" s="32"/>
      <c r="C292" s="32"/>
      <c r="D292" s="32"/>
      <c r="E292" s="32"/>
      <c r="F292" s="32"/>
      <c r="G292" s="32"/>
    </row>
    <row r="293" ht="15.75" customHeight="1">
      <c r="A293" s="32"/>
      <c r="C293" s="32"/>
      <c r="D293" s="32"/>
      <c r="E293" s="32"/>
      <c r="F293" s="32"/>
      <c r="G293" s="32"/>
    </row>
    <row r="294" ht="15.75" customHeight="1">
      <c r="A294" s="32"/>
      <c r="C294" s="32"/>
      <c r="D294" s="32"/>
      <c r="E294" s="32"/>
      <c r="F294" s="32"/>
      <c r="G294" s="32"/>
    </row>
    <row r="295" ht="15.75" customHeight="1">
      <c r="A295" s="32"/>
      <c r="C295" s="32"/>
      <c r="D295" s="32"/>
      <c r="E295" s="32"/>
      <c r="F295" s="32"/>
      <c r="G295" s="32"/>
    </row>
    <row r="296" ht="15.75" customHeight="1">
      <c r="A296" s="32"/>
      <c r="C296" s="32"/>
      <c r="D296" s="32"/>
      <c r="E296" s="32"/>
      <c r="F296" s="32"/>
      <c r="G296" s="32"/>
    </row>
    <row r="297" ht="15.75" customHeight="1">
      <c r="A297" s="32"/>
      <c r="C297" s="32"/>
      <c r="D297" s="32"/>
      <c r="E297" s="32"/>
      <c r="F297" s="32"/>
      <c r="G297" s="32"/>
    </row>
    <row r="298" ht="15.75" customHeight="1">
      <c r="A298" s="32"/>
      <c r="C298" s="32"/>
      <c r="D298" s="32"/>
      <c r="E298" s="32"/>
      <c r="F298" s="32"/>
      <c r="G298" s="32"/>
    </row>
    <row r="299" ht="15.75" customHeight="1">
      <c r="A299" s="32"/>
      <c r="C299" s="32"/>
      <c r="D299" s="32"/>
      <c r="E299" s="32"/>
      <c r="F299" s="32"/>
      <c r="G299" s="32"/>
    </row>
    <row r="300" ht="15.75" customHeight="1">
      <c r="A300" s="32"/>
      <c r="C300" s="32"/>
      <c r="D300" s="32"/>
      <c r="E300" s="32"/>
      <c r="F300" s="32"/>
      <c r="G300" s="32"/>
    </row>
    <row r="301" ht="15.75" customHeight="1">
      <c r="A301" s="32"/>
      <c r="C301" s="32"/>
      <c r="D301" s="32"/>
      <c r="E301" s="32"/>
      <c r="F301" s="32"/>
      <c r="G301" s="32"/>
    </row>
    <row r="302" ht="15.75" customHeight="1">
      <c r="A302" s="32"/>
      <c r="C302" s="32"/>
      <c r="D302" s="32"/>
      <c r="E302" s="32"/>
      <c r="F302" s="32"/>
      <c r="G302" s="32"/>
    </row>
    <row r="303" ht="15.75" customHeight="1">
      <c r="A303" s="32"/>
      <c r="C303" s="32"/>
      <c r="D303" s="32"/>
      <c r="E303" s="32"/>
      <c r="F303" s="32"/>
      <c r="G303" s="32"/>
    </row>
    <row r="304" ht="15.75" customHeight="1">
      <c r="A304" s="32"/>
      <c r="C304" s="32"/>
      <c r="D304" s="32"/>
      <c r="E304" s="32"/>
      <c r="F304" s="32"/>
      <c r="G304" s="32"/>
    </row>
    <row r="305" ht="15.75" customHeight="1">
      <c r="A305" s="32"/>
      <c r="C305" s="32"/>
      <c r="D305" s="32"/>
      <c r="E305" s="32"/>
      <c r="F305" s="32"/>
      <c r="G305" s="32"/>
    </row>
    <row r="306" ht="15.75" customHeight="1">
      <c r="A306" s="32"/>
      <c r="C306" s="32"/>
      <c r="D306" s="32"/>
      <c r="E306" s="32"/>
      <c r="F306" s="32"/>
      <c r="G306" s="32"/>
    </row>
    <row r="307" ht="15.75" customHeight="1">
      <c r="A307" s="32"/>
      <c r="C307" s="32"/>
      <c r="D307" s="32"/>
      <c r="E307" s="32"/>
      <c r="F307" s="32"/>
      <c r="G307" s="32"/>
    </row>
    <row r="308" ht="15.75" customHeight="1">
      <c r="A308" s="32"/>
      <c r="C308" s="32"/>
      <c r="D308" s="32"/>
      <c r="E308" s="32"/>
      <c r="F308" s="32"/>
      <c r="G308" s="32"/>
    </row>
    <row r="309" ht="15.75" customHeight="1">
      <c r="A309" s="32"/>
      <c r="C309" s="32"/>
      <c r="D309" s="32"/>
      <c r="E309" s="32"/>
      <c r="F309" s="32"/>
      <c r="G309" s="32"/>
    </row>
    <row r="310" ht="15.75" customHeight="1">
      <c r="A310" s="32"/>
      <c r="C310" s="32"/>
      <c r="D310" s="32"/>
      <c r="E310" s="32"/>
      <c r="F310" s="32"/>
      <c r="G310" s="32"/>
    </row>
    <row r="311" ht="15.75" customHeight="1">
      <c r="A311" s="32"/>
      <c r="C311" s="32"/>
      <c r="D311" s="32"/>
      <c r="E311" s="32"/>
      <c r="F311" s="32"/>
      <c r="G311" s="32"/>
    </row>
    <row r="312" ht="15.75" customHeight="1">
      <c r="A312" s="32"/>
      <c r="C312" s="32"/>
      <c r="D312" s="32"/>
      <c r="E312" s="32"/>
      <c r="F312" s="32"/>
      <c r="G312" s="32"/>
    </row>
    <row r="313" ht="15.75" customHeight="1">
      <c r="A313" s="32"/>
      <c r="C313" s="32"/>
      <c r="D313" s="32"/>
      <c r="E313" s="32"/>
      <c r="F313" s="32"/>
      <c r="G313" s="32"/>
    </row>
    <row r="314" ht="15.75" customHeight="1">
      <c r="A314" s="32"/>
      <c r="C314" s="32"/>
      <c r="D314" s="32"/>
      <c r="E314" s="32"/>
      <c r="F314" s="32"/>
      <c r="G314" s="32"/>
    </row>
    <row r="315" ht="15.75" customHeight="1">
      <c r="A315" s="32"/>
      <c r="C315" s="32"/>
      <c r="D315" s="32"/>
      <c r="E315" s="32"/>
      <c r="F315" s="32"/>
      <c r="G315" s="32"/>
    </row>
    <row r="316" ht="15.75" customHeight="1">
      <c r="A316" s="32"/>
      <c r="C316" s="32"/>
      <c r="D316" s="32"/>
      <c r="E316" s="32"/>
      <c r="F316" s="32"/>
      <c r="G316" s="32"/>
    </row>
    <row r="317" ht="15.75" customHeight="1">
      <c r="A317" s="32"/>
      <c r="C317" s="32"/>
      <c r="D317" s="32"/>
      <c r="E317" s="32"/>
      <c r="F317" s="32"/>
      <c r="G317" s="32"/>
    </row>
    <row r="318" ht="15.75" customHeight="1">
      <c r="A318" s="32"/>
      <c r="C318" s="32"/>
      <c r="D318" s="32"/>
      <c r="E318" s="32"/>
      <c r="F318" s="32"/>
      <c r="G318" s="32"/>
    </row>
    <row r="319" ht="15.75" customHeight="1">
      <c r="A319" s="32"/>
      <c r="C319" s="32"/>
      <c r="D319" s="32"/>
      <c r="E319" s="32"/>
      <c r="F319" s="32"/>
      <c r="G319" s="32"/>
    </row>
    <row r="320" ht="15.75" customHeight="1">
      <c r="A320" s="32"/>
      <c r="C320" s="32"/>
      <c r="D320" s="32"/>
      <c r="E320" s="32"/>
      <c r="F320" s="32"/>
      <c r="G320" s="32"/>
    </row>
    <row r="321" ht="15.75" customHeight="1">
      <c r="A321" s="32"/>
      <c r="C321" s="32"/>
      <c r="D321" s="32"/>
      <c r="E321" s="32"/>
      <c r="F321" s="32"/>
      <c r="G321" s="32"/>
    </row>
    <row r="322" ht="15.75" customHeight="1">
      <c r="A322" s="32"/>
      <c r="C322" s="32"/>
      <c r="D322" s="32"/>
      <c r="E322" s="32"/>
      <c r="F322" s="32"/>
      <c r="G322" s="32"/>
    </row>
    <row r="323" ht="15.75" customHeight="1">
      <c r="A323" s="32"/>
      <c r="C323" s="32"/>
      <c r="D323" s="32"/>
      <c r="E323" s="32"/>
      <c r="F323" s="32"/>
      <c r="G323" s="32"/>
    </row>
    <row r="324" ht="15.75" customHeight="1">
      <c r="A324" s="32"/>
      <c r="C324" s="32"/>
      <c r="D324" s="32"/>
      <c r="E324" s="32"/>
      <c r="F324" s="32"/>
      <c r="G324" s="32"/>
    </row>
    <row r="325" ht="15.75" customHeight="1">
      <c r="A325" s="32"/>
      <c r="C325" s="32"/>
      <c r="D325" s="32"/>
      <c r="E325" s="32"/>
      <c r="F325" s="32"/>
      <c r="G325" s="32"/>
    </row>
    <row r="326" ht="15.75" customHeight="1">
      <c r="A326" s="32"/>
      <c r="C326" s="32"/>
      <c r="D326" s="32"/>
      <c r="E326" s="32"/>
      <c r="F326" s="32"/>
      <c r="G326" s="32"/>
    </row>
    <row r="327" ht="15.75" customHeight="1">
      <c r="A327" s="32"/>
      <c r="C327" s="32"/>
      <c r="D327" s="32"/>
      <c r="E327" s="32"/>
      <c r="F327" s="32"/>
      <c r="G327" s="32"/>
    </row>
    <row r="328" ht="15.75" customHeight="1">
      <c r="A328" s="32"/>
      <c r="C328" s="32"/>
      <c r="D328" s="32"/>
      <c r="E328" s="32"/>
      <c r="F328" s="32"/>
      <c r="G328" s="32"/>
    </row>
    <row r="329" ht="15.75" customHeight="1">
      <c r="A329" s="32"/>
      <c r="C329" s="32"/>
      <c r="D329" s="32"/>
      <c r="E329" s="32"/>
      <c r="F329" s="32"/>
      <c r="G329" s="32"/>
    </row>
    <row r="330" ht="15.75" customHeight="1">
      <c r="A330" s="32"/>
      <c r="C330" s="32"/>
      <c r="D330" s="32"/>
      <c r="E330" s="32"/>
      <c r="F330" s="32"/>
      <c r="G330" s="32"/>
    </row>
    <row r="331" ht="15.75" customHeight="1">
      <c r="A331" s="32"/>
      <c r="C331" s="32"/>
      <c r="D331" s="32"/>
      <c r="E331" s="32"/>
      <c r="F331" s="32"/>
      <c r="G331" s="32"/>
    </row>
    <row r="332" ht="15.75" customHeight="1">
      <c r="A332" s="32"/>
      <c r="C332" s="32"/>
      <c r="D332" s="32"/>
      <c r="E332" s="32"/>
      <c r="F332" s="32"/>
      <c r="G332" s="32"/>
    </row>
    <row r="333" ht="15.75" customHeight="1">
      <c r="A333" s="32"/>
      <c r="C333" s="32"/>
      <c r="D333" s="32"/>
      <c r="E333" s="32"/>
      <c r="F333" s="32"/>
      <c r="G333" s="32"/>
    </row>
    <row r="334" ht="15.75" customHeight="1">
      <c r="A334" s="32"/>
      <c r="C334" s="32"/>
      <c r="D334" s="32"/>
      <c r="E334" s="32"/>
      <c r="F334" s="32"/>
      <c r="G334" s="32"/>
    </row>
    <row r="335" ht="15.75" customHeight="1">
      <c r="A335" s="32"/>
      <c r="C335" s="32"/>
      <c r="D335" s="32"/>
      <c r="E335" s="32"/>
      <c r="F335" s="32"/>
      <c r="G335" s="32"/>
    </row>
    <row r="336" ht="15.75" customHeight="1">
      <c r="A336" s="32"/>
      <c r="C336" s="32"/>
      <c r="D336" s="32"/>
      <c r="E336" s="32"/>
      <c r="F336" s="32"/>
      <c r="G336" s="32"/>
    </row>
    <row r="337" ht="15.75" customHeight="1">
      <c r="A337" s="32"/>
      <c r="C337" s="32"/>
      <c r="D337" s="32"/>
      <c r="E337" s="32"/>
      <c r="F337" s="32"/>
      <c r="G337" s="32"/>
    </row>
    <row r="338" ht="15.75" customHeight="1">
      <c r="A338" s="32"/>
      <c r="C338" s="32"/>
      <c r="D338" s="32"/>
      <c r="E338" s="32"/>
      <c r="F338" s="32"/>
      <c r="G338" s="32"/>
    </row>
    <row r="339" ht="15.75" customHeight="1">
      <c r="A339" s="32"/>
      <c r="C339" s="32"/>
      <c r="D339" s="32"/>
      <c r="E339" s="32"/>
      <c r="F339" s="32"/>
      <c r="G339" s="32"/>
    </row>
    <row r="340" ht="15.75" customHeight="1">
      <c r="A340" s="32"/>
      <c r="C340" s="32"/>
      <c r="D340" s="32"/>
      <c r="E340" s="32"/>
      <c r="F340" s="32"/>
      <c r="G340" s="32"/>
    </row>
    <row r="341" ht="15.75" customHeight="1">
      <c r="A341" s="32"/>
      <c r="C341" s="32"/>
      <c r="D341" s="32"/>
      <c r="E341" s="32"/>
      <c r="F341" s="32"/>
      <c r="G341" s="32"/>
    </row>
    <row r="342" ht="15.75" customHeight="1">
      <c r="A342" s="32"/>
      <c r="C342" s="32"/>
      <c r="D342" s="32"/>
      <c r="E342" s="32"/>
      <c r="F342" s="32"/>
      <c r="G342" s="32"/>
    </row>
    <row r="343" ht="15.75" customHeight="1">
      <c r="A343" s="32"/>
      <c r="C343" s="32"/>
      <c r="D343" s="32"/>
      <c r="E343" s="32"/>
      <c r="F343" s="32"/>
      <c r="G343" s="32"/>
    </row>
    <row r="344" ht="15.75" customHeight="1">
      <c r="A344" s="32"/>
      <c r="C344" s="32"/>
      <c r="D344" s="32"/>
      <c r="E344" s="32"/>
      <c r="F344" s="32"/>
      <c r="G344" s="32"/>
    </row>
    <row r="345" ht="15.75" customHeight="1">
      <c r="A345" s="32"/>
      <c r="C345" s="32"/>
      <c r="D345" s="32"/>
      <c r="E345" s="32"/>
      <c r="F345" s="32"/>
      <c r="G345" s="32"/>
    </row>
    <row r="346" ht="15.75" customHeight="1">
      <c r="A346" s="32"/>
      <c r="C346" s="32"/>
      <c r="D346" s="32"/>
      <c r="E346" s="32"/>
      <c r="F346" s="32"/>
      <c r="G346" s="32"/>
    </row>
    <row r="347" ht="15.75" customHeight="1">
      <c r="A347" s="32"/>
      <c r="C347" s="32"/>
      <c r="D347" s="32"/>
      <c r="E347" s="32"/>
      <c r="F347" s="32"/>
      <c r="G347" s="32"/>
    </row>
    <row r="348" ht="15.75" customHeight="1">
      <c r="A348" s="32"/>
      <c r="C348" s="32"/>
      <c r="D348" s="32"/>
      <c r="E348" s="32"/>
      <c r="F348" s="32"/>
      <c r="G348" s="32"/>
    </row>
    <row r="349" ht="15.75" customHeight="1">
      <c r="A349" s="32"/>
      <c r="C349" s="32"/>
      <c r="D349" s="32"/>
      <c r="E349" s="32"/>
      <c r="F349" s="32"/>
      <c r="G349" s="32"/>
    </row>
    <row r="350" ht="15.75" customHeight="1">
      <c r="A350" s="32"/>
      <c r="C350" s="32"/>
      <c r="D350" s="32"/>
      <c r="E350" s="32"/>
      <c r="F350" s="32"/>
      <c r="G350" s="32"/>
    </row>
    <row r="351" ht="15.75" customHeight="1">
      <c r="A351" s="32"/>
      <c r="C351" s="32"/>
      <c r="D351" s="32"/>
      <c r="E351" s="32"/>
      <c r="F351" s="32"/>
      <c r="G351" s="32"/>
    </row>
    <row r="352" ht="15.75" customHeight="1">
      <c r="A352" s="32"/>
      <c r="C352" s="32"/>
      <c r="D352" s="32"/>
      <c r="E352" s="32"/>
      <c r="F352" s="32"/>
      <c r="G352" s="32"/>
    </row>
    <row r="353" ht="15.75" customHeight="1">
      <c r="A353" s="32"/>
      <c r="C353" s="32"/>
      <c r="D353" s="32"/>
      <c r="E353" s="32"/>
      <c r="F353" s="32"/>
      <c r="G353" s="32"/>
    </row>
    <row r="354" ht="15.75" customHeight="1">
      <c r="A354" s="32"/>
      <c r="C354" s="32"/>
      <c r="D354" s="32"/>
      <c r="E354" s="32"/>
      <c r="F354" s="32"/>
      <c r="G354" s="32"/>
    </row>
    <row r="355" ht="15.75" customHeight="1">
      <c r="A355" s="32"/>
      <c r="C355" s="32"/>
      <c r="D355" s="32"/>
      <c r="E355" s="32"/>
      <c r="F355" s="32"/>
      <c r="G355" s="32"/>
    </row>
    <row r="356" ht="15.75" customHeight="1">
      <c r="A356" s="32"/>
      <c r="C356" s="32"/>
      <c r="D356" s="32"/>
      <c r="E356" s="32"/>
      <c r="F356" s="32"/>
      <c r="G356" s="32"/>
    </row>
    <row r="357" ht="15.75" customHeight="1">
      <c r="A357" s="32"/>
      <c r="C357" s="32"/>
      <c r="D357" s="32"/>
      <c r="E357" s="32"/>
      <c r="F357" s="32"/>
      <c r="G357" s="32"/>
    </row>
    <row r="358" ht="15.75" customHeight="1">
      <c r="A358" s="32"/>
      <c r="C358" s="32"/>
      <c r="D358" s="32"/>
      <c r="E358" s="32"/>
      <c r="F358" s="32"/>
      <c r="G358" s="32"/>
    </row>
    <row r="359" ht="15.75" customHeight="1">
      <c r="A359" s="32"/>
      <c r="C359" s="32"/>
      <c r="D359" s="32"/>
      <c r="E359" s="32"/>
      <c r="F359" s="32"/>
      <c r="G359" s="32"/>
    </row>
    <row r="360" ht="15.75" customHeight="1">
      <c r="A360" s="32"/>
      <c r="C360" s="32"/>
      <c r="D360" s="32"/>
      <c r="E360" s="32"/>
      <c r="F360" s="32"/>
      <c r="G360" s="32"/>
    </row>
    <row r="361" ht="15.75" customHeight="1">
      <c r="A361" s="32"/>
      <c r="C361" s="32"/>
      <c r="D361" s="32"/>
      <c r="E361" s="32"/>
      <c r="F361" s="32"/>
      <c r="G361" s="32"/>
    </row>
    <row r="362" ht="15.75" customHeight="1">
      <c r="A362" s="32"/>
      <c r="C362" s="32"/>
      <c r="D362" s="32"/>
      <c r="E362" s="32"/>
      <c r="F362" s="32"/>
      <c r="G362" s="32"/>
    </row>
    <row r="363" ht="15.75" customHeight="1">
      <c r="A363" s="32"/>
      <c r="C363" s="32"/>
      <c r="D363" s="32"/>
      <c r="E363" s="32"/>
      <c r="F363" s="32"/>
      <c r="G363" s="32"/>
    </row>
    <row r="364" ht="15.75" customHeight="1">
      <c r="A364" s="32"/>
      <c r="C364" s="32"/>
      <c r="D364" s="32"/>
      <c r="E364" s="32"/>
      <c r="F364" s="32"/>
      <c r="G364" s="32"/>
    </row>
    <row r="365" ht="15.75" customHeight="1">
      <c r="A365" s="32"/>
      <c r="C365" s="32"/>
      <c r="D365" s="32"/>
      <c r="E365" s="32"/>
      <c r="F365" s="32"/>
      <c r="G365" s="32"/>
    </row>
    <row r="366" ht="15.75" customHeight="1">
      <c r="A366" s="32"/>
      <c r="C366" s="32"/>
      <c r="D366" s="32"/>
      <c r="E366" s="32"/>
      <c r="F366" s="32"/>
      <c r="G366" s="32"/>
    </row>
    <row r="367" ht="15.75" customHeight="1">
      <c r="A367" s="32"/>
      <c r="C367" s="32"/>
      <c r="D367" s="32"/>
      <c r="E367" s="32"/>
      <c r="F367" s="32"/>
      <c r="G367" s="32"/>
    </row>
    <row r="368" ht="15.75" customHeight="1">
      <c r="A368" s="32"/>
      <c r="C368" s="32"/>
      <c r="D368" s="32"/>
      <c r="E368" s="32"/>
      <c r="F368" s="32"/>
      <c r="G368" s="32"/>
    </row>
    <row r="369" ht="15.75" customHeight="1">
      <c r="A369" s="32"/>
      <c r="C369" s="32"/>
      <c r="D369" s="32"/>
      <c r="E369" s="32"/>
      <c r="F369" s="32"/>
      <c r="G369" s="32"/>
    </row>
    <row r="370" ht="15.75" customHeight="1">
      <c r="A370" s="32"/>
      <c r="C370" s="32"/>
      <c r="D370" s="32"/>
      <c r="E370" s="32"/>
      <c r="F370" s="32"/>
      <c r="G370" s="32"/>
    </row>
    <row r="371" ht="15.75" customHeight="1">
      <c r="A371" s="32"/>
      <c r="C371" s="32"/>
      <c r="D371" s="32"/>
      <c r="E371" s="32"/>
      <c r="F371" s="32"/>
      <c r="G371" s="32"/>
    </row>
    <row r="372" ht="15.75" customHeight="1">
      <c r="A372" s="32"/>
      <c r="C372" s="32"/>
      <c r="D372" s="32"/>
      <c r="E372" s="32"/>
      <c r="F372" s="32"/>
      <c r="G372" s="32"/>
    </row>
    <row r="373" ht="15.75" customHeight="1">
      <c r="A373" s="32"/>
      <c r="C373" s="32"/>
      <c r="D373" s="32"/>
      <c r="E373" s="32"/>
      <c r="F373" s="32"/>
      <c r="G373" s="32"/>
    </row>
    <row r="374" ht="15.75" customHeight="1">
      <c r="A374" s="32"/>
      <c r="C374" s="32"/>
      <c r="D374" s="32"/>
      <c r="E374" s="32"/>
      <c r="F374" s="32"/>
      <c r="G374" s="32"/>
    </row>
    <row r="375" ht="15.75" customHeight="1">
      <c r="A375" s="32"/>
      <c r="C375" s="32"/>
      <c r="D375" s="32"/>
      <c r="E375" s="32"/>
      <c r="F375" s="32"/>
      <c r="G375" s="32"/>
    </row>
    <row r="376" ht="15.75" customHeight="1">
      <c r="A376" s="32"/>
      <c r="C376" s="32"/>
      <c r="D376" s="32"/>
      <c r="E376" s="32"/>
      <c r="F376" s="32"/>
      <c r="G376" s="32"/>
    </row>
    <row r="377" ht="15.75" customHeight="1">
      <c r="A377" s="32"/>
      <c r="C377" s="32"/>
      <c r="D377" s="32"/>
      <c r="E377" s="32"/>
      <c r="F377" s="32"/>
      <c r="G377" s="32"/>
    </row>
    <row r="378" ht="15.75" customHeight="1">
      <c r="A378" s="32"/>
      <c r="C378" s="32"/>
      <c r="D378" s="32"/>
      <c r="E378" s="32"/>
      <c r="F378" s="32"/>
      <c r="G378" s="32"/>
    </row>
    <row r="379" ht="15.75" customHeight="1">
      <c r="A379" s="32"/>
      <c r="C379" s="32"/>
      <c r="D379" s="32"/>
      <c r="E379" s="32"/>
      <c r="F379" s="32"/>
      <c r="G379" s="32"/>
    </row>
    <row r="380" ht="15.75" customHeight="1">
      <c r="A380" s="32"/>
      <c r="C380" s="32"/>
      <c r="D380" s="32"/>
      <c r="E380" s="32"/>
      <c r="F380" s="32"/>
      <c r="G380" s="32"/>
    </row>
    <row r="381" ht="15.75" customHeight="1">
      <c r="A381" s="32"/>
      <c r="C381" s="32"/>
      <c r="D381" s="32"/>
      <c r="E381" s="32"/>
      <c r="F381" s="32"/>
      <c r="G381" s="32"/>
    </row>
    <row r="382" ht="15.75" customHeight="1">
      <c r="A382" s="32"/>
      <c r="C382" s="32"/>
      <c r="D382" s="32"/>
      <c r="E382" s="32"/>
      <c r="F382" s="32"/>
      <c r="G382" s="32"/>
    </row>
    <row r="383" ht="15.75" customHeight="1">
      <c r="A383" s="32"/>
      <c r="C383" s="32"/>
      <c r="D383" s="32"/>
      <c r="E383" s="32"/>
      <c r="F383" s="32"/>
      <c r="G383" s="32"/>
    </row>
    <row r="384" ht="15.75" customHeight="1">
      <c r="A384" s="32"/>
      <c r="C384" s="32"/>
      <c r="D384" s="32"/>
      <c r="E384" s="32"/>
      <c r="F384" s="32"/>
      <c r="G384" s="32"/>
    </row>
    <row r="385" ht="15.75" customHeight="1">
      <c r="A385" s="32"/>
      <c r="C385" s="32"/>
      <c r="D385" s="32"/>
      <c r="E385" s="32"/>
      <c r="F385" s="32"/>
      <c r="G385" s="32"/>
    </row>
    <row r="386" ht="15.75" customHeight="1">
      <c r="A386" s="32"/>
      <c r="C386" s="32"/>
      <c r="D386" s="32"/>
      <c r="E386" s="32"/>
      <c r="F386" s="32"/>
      <c r="G386" s="32"/>
    </row>
    <row r="387" ht="15.75" customHeight="1">
      <c r="A387" s="32"/>
      <c r="C387" s="32"/>
      <c r="D387" s="32"/>
      <c r="E387" s="32"/>
      <c r="F387" s="32"/>
      <c r="G387" s="32"/>
    </row>
    <row r="388" ht="15.75" customHeight="1">
      <c r="A388" s="32"/>
      <c r="C388" s="32"/>
      <c r="D388" s="32"/>
      <c r="E388" s="32"/>
      <c r="F388" s="32"/>
      <c r="G388" s="32"/>
    </row>
    <row r="389" ht="15.75" customHeight="1">
      <c r="A389" s="32"/>
      <c r="C389" s="32"/>
      <c r="D389" s="32"/>
      <c r="E389" s="32"/>
      <c r="F389" s="32"/>
      <c r="G389" s="32"/>
    </row>
    <row r="390" ht="15.75" customHeight="1">
      <c r="A390" s="32"/>
      <c r="C390" s="32"/>
      <c r="D390" s="32"/>
      <c r="E390" s="32"/>
      <c r="F390" s="32"/>
      <c r="G390" s="32"/>
    </row>
    <row r="391" ht="15.75" customHeight="1">
      <c r="A391" s="32"/>
      <c r="C391" s="32"/>
      <c r="D391" s="32"/>
      <c r="E391" s="32"/>
      <c r="F391" s="32"/>
      <c r="G391" s="32"/>
    </row>
    <row r="392" ht="15.75" customHeight="1">
      <c r="A392" s="32"/>
      <c r="C392" s="32"/>
      <c r="D392" s="32"/>
      <c r="E392" s="32"/>
      <c r="F392" s="32"/>
      <c r="G392" s="32"/>
    </row>
    <row r="393" ht="15.75" customHeight="1">
      <c r="A393" s="32"/>
      <c r="C393" s="32"/>
      <c r="D393" s="32"/>
      <c r="E393" s="32"/>
      <c r="F393" s="32"/>
      <c r="G393" s="32"/>
    </row>
    <row r="394" ht="15.75" customHeight="1">
      <c r="A394" s="32"/>
      <c r="C394" s="32"/>
      <c r="D394" s="32"/>
      <c r="E394" s="32"/>
      <c r="F394" s="32"/>
      <c r="G394" s="32"/>
    </row>
    <row r="395" ht="15.75" customHeight="1">
      <c r="A395" s="32"/>
      <c r="C395" s="32"/>
      <c r="D395" s="32"/>
      <c r="E395" s="32"/>
      <c r="F395" s="32"/>
      <c r="G395" s="32"/>
    </row>
    <row r="396" ht="15.75" customHeight="1">
      <c r="A396" s="32"/>
      <c r="C396" s="32"/>
      <c r="D396" s="32"/>
      <c r="E396" s="32"/>
      <c r="F396" s="32"/>
      <c r="G396" s="32"/>
    </row>
    <row r="397" ht="15.75" customHeight="1">
      <c r="A397" s="32"/>
      <c r="C397" s="32"/>
      <c r="D397" s="32"/>
      <c r="E397" s="32"/>
      <c r="F397" s="32"/>
      <c r="G397" s="32"/>
    </row>
    <row r="398" ht="15.75" customHeight="1">
      <c r="A398" s="32"/>
      <c r="C398" s="32"/>
      <c r="D398" s="32"/>
      <c r="E398" s="32"/>
      <c r="F398" s="32"/>
      <c r="G398" s="32"/>
    </row>
    <row r="399" ht="15.75" customHeight="1">
      <c r="A399" s="32"/>
      <c r="C399" s="32"/>
      <c r="D399" s="32"/>
      <c r="E399" s="32"/>
      <c r="F399" s="32"/>
      <c r="G399" s="32"/>
    </row>
    <row r="400" ht="15.75" customHeight="1">
      <c r="A400" s="32"/>
      <c r="C400" s="32"/>
      <c r="D400" s="32"/>
      <c r="E400" s="32"/>
      <c r="F400" s="32"/>
      <c r="G400" s="32"/>
    </row>
    <row r="401" ht="15.75" customHeight="1">
      <c r="A401" s="32"/>
      <c r="C401" s="32"/>
      <c r="D401" s="32"/>
      <c r="E401" s="32"/>
      <c r="F401" s="32"/>
      <c r="G401" s="32"/>
    </row>
    <row r="402" ht="15.75" customHeight="1">
      <c r="A402" s="32"/>
      <c r="C402" s="32"/>
      <c r="D402" s="32"/>
      <c r="E402" s="32"/>
      <c r="F402" s="32"/>
      <c r="G402" s="32"/>
    </row>
    <row r="403" ht="15.75" customHeight="1">
      <c r="A403" s="32"/>
      <c r="C403" s="32"/>
      <c r="D403" s="32"/>
      <c r="E403" s="32"/>
      <c r="F403" s="32"/>
      <c r="G403" s="32"/>
    </row>
    <row r="404" ht="15.75" customHeight="1">
      <c r="A404" s="32"/>
      <c r="C404" s="32"/>
      <c r="D404" s="32"/>
      <c r="E404" s="32"/>
      <c r="F404" s="32"/>
      <c r="G404" s="32"/>
    </row>
    <row r="405" ht="15.75" customHeight="1">
      <c r="A405" s="32"/>
      <c r="C405" s="32"/>
      <c r="D405" s="32"/>
      <c r="E405" s="32"/>
      <c r="F405" s="32"/>
      <c r="G405" s="32"/>
    </row>
    <row r="406" ht="15.75" customHeight="1">
      <c r="A406" s="32"/>
      <c r="C406" s="32"/>
      <c r="D406" s="32"/>
      <c r="E406" s="32"/>
      <c r="F406" s="32"/>
      <c r="G406" s="32"/>
    </row>
    <row r="407" ht="15.75" customHeight="1">
      <c r="A407" s="32"/>
      <c r="C407" s="32"/>
      <c r="D407" s="32"/>
      <c r="E407" s="32"/>
      <c r="F407" s="32"/>
      <c r="G407" s="32"/>
    </row>
    <row r="408" ht="15.75" customHeight="1">
      <c r="A408" s="32"/>
      <c r="C408" s="32"/>
      <c r="D408" s="32"/>
      <c r="E408" s="32"/>
      <c r="F408" s="32"/>
      <c r="G408" s="32"/>
    </row>
    <row r="409" ht="15.75" customHeight="1">
      <c r="A409" s="32"/>
      <c r="C409" s="32"/>
      <c r="D409" s="32"/>
      <c r="E409" s="32"/>
      <c r="F409" s="32"/>
      <c r="G409" s="32"/>
    </row>
    <row r="410" ht="15.75" customHeight="1">
      <c r="A410" s="32"/>
      <c r="C410" s="32"/>
      <c r="D410" s="32"/>
      <c r="E410" s="32"/>
      <c r="F410" s="32"/>
      <c r="G410" s="32"/>
    </row>
    <row r="411" ht="15.75" customHeight="1">
      <c r="A411" s="32"/>
      <c r="C411" s="32"/>
      <c r="D411" s="32"/>
      <c r="E411" s="32"/>
      <c r="F411" s="32"/>
      <c r="G411" s="32"/>
    </row>
    <row r="412" ht="15.75" customHeight="1">
      <c r="A412" s="32"/>
      <c r="C412" s="32"/>
      <c r="D412" s="32"/>
      <c r="E412" s="32"/>
      <c r="F412" s="32"/>
      <c r="G412" s="32"/>
    </row>
    <row r="413" ht="15.75" customHeight="1">
      <c r="A413" s="32"/>
      <c r="C413" s="32"/>
      <c r="D413" s="32"/>
      <c r="E413" s="32"/>
      <c r="F413" s="32"/>
      <c r="G413" s="32"/>
    </row>
    <row r="414" ht="15.75" customHeight="1">
      <c r="A414" s="32"/>
      <c r="C414" s="32"/>
      <c r="D414" s="32"/>
      <c r="E414" s="32"/>
      <c r="F414" s="32"/>
      <c r="G414" s="32"/>
    </row>
    <row r="415" ht="15.75" customHeight="1">
      <c r="A415" s="32"/>
      <c r="C415" s="32"/>
      <c r="D415" s="32"/>
      <c r="E415" s="32"/>
      <c r="F415" s="32"/>
      <c r="G415" s="32"/>
    </row>
    <row r="416" ht="15.75" customHeight="1">
      <c r="A416" s="32"/>
      <c r="C416" s="32"/>
      <c r="D416" s="32"/>
      <c r="E416" s="32"/>
      <c r="F416" s="32"/>
      <c r="G416" s="32"/>
    </row>
    <row r="417" ht="15.75" customHeight="1">
      <c r="A417" s="32"/>
      <c r="C417" s="32"/>
      <c r="D417" s="32"/>
      <c r="E417" s="32"/>
      <c r="F417" s="32"/>
      <c r="G417" s="32"/>
    </row>
    <row r="418" ht="15.75" customHeight="1">
      <c r="A418" s="32"/>
      <c r="C418" s="32"/>
      <c r="D418" s="32"/>
      <c r="E418" s="32"/>
      <c r="F418" s="32"/>
      <c r="G418" s="32"/>
    </row>
    <row r="419" ht="15.75" customHeight="1">
      <c r="A419" s="32"/>
      <c r="C419" s="32"/>
      <c r="D419" s="32"/>
      <c r="E419" s="32"/>
      <c r="F419" s="32"/>
      <c r="G419" s="32"/>
    </row>
    <row r="420" ht="15.75" customHeight="1">
      <c r="A420" s="32"/>
      <c r="C420" s="32"/>
      <c r="D420" s="32"/>
      <c r="E420" s="32"/>
      <c r="F420" s="32"/>
      <c r="G420" s="32"/>
    </row>
    <row r="421" ht="15.75" customHeight="1">
      <c r="A421" s="32"/>
      <c r="C421" s="32"/>
      <c r="D421" s="32"/>
      <c r="E421" s="32"/>
      <c r="F421" s="32"/>
      <c r="G421" s="32"/>
    </row>
    <row r="422" ht="15.75" customHeight="1">
      <c r="A422" s="32"/>
      <c r="C422" s="32"/>
      <c r="D422" s="32"/>
      <c r="E422" s="32"/>
      <c r="F422" s="32"/>
      <c r="G422" s="32"/>
    </row>
    <row r="423" ht="15.75" customHeight="1">
      <c r="A423" s="32"/>
      <c r="C423" s="32"/>
      <c r="D423" s="32"/>
      <c r="E423" s="32"/>
      <c r="F423" s="32"/>
      <c r="G423" s="32"/>
    </row>
    <row r="424" ht="15.75" customHeight="1">
      <c r="A424" s="32"/>
      <c r="C424" s="32"/>
      <c r="D424" s="32"/>
      <c r="E424" s="32"/>
      <c r="F424" s="32"/>
      <c r="G424" s="32"/>
    </row>
    <row r="425" ht="15.75" customHeight="1">
      <c r="A425" s="32"/>
      <c r="C425" s="32"/>
      <c r="D425" s="32"/>
      <c r="E425" s="32"/>
      <c r="F425" s="32"/>
      <c r="G425" s="32"/>
    </row>
    <row r="426" ht="15.75" customHeight="1">
      <c r="A426" s="32"/>
      <c r="C426" s="32"/>
      <c r="D426" s="32"/>
      <c r="E426" s="32"/>
      <c r="F426" s="32"/>
      <c r="G426" s="32"/>
    </row>
    <row r="427" ht="15.75" customHeight="1">
      <c r="A427" s="32"/>
      <c r="C427" s="32"/>
      <c r="D427" s="32"/>
      <c r="E427" s="32"/>
      <c r="F427" s="32"/>
      <c r="G427" s="32"/>
    </row>
    <row r="428" ht="15.75" customHeight="1">
      <c r="A428" s="32"/>
      <c r="C428" s="32"/>
      <c r="D428" s="32"/>
      <c r="E428" s="32"/>
      <c r="F428" s="32"/>
      <c r="G428" s="32"/>
    </row>
    <row r="429" ht="15.75" customHeight="1">
      <c r="A429" s="32"/>
      <c r="C429" s="32"/>
      <c r="D429" s="32"/>
      <c r="E429" s="32"/>
      <c r="F429" s="32"/>
      <c r="G429" s="32"/>
    </row>
    <row r="430" ht="15.75" customHeight="1">
      <c r="A430" s="32"/>
      <c r="C430" s="32"/>
      <c r="D430" s="32"/>
      <c r="E430" s="32"/>
      <c r="F430" s="32"/>
      <c r="G430" s="32"/>
    </row>
    <row r="431" ht="15.75" customHeight="1">
      <c r="A431" s="32"/>
      <c r="C431" s="32"/>
      <c r="D431" s="32"/>
      <c r="E431" s="32"/>
      <c r="F431" s="32"/>
      <c r="G431" s="32"/>
    </row>
    <row r="432" ht="15.75" customHeight="1">
      <c r="A432" s="32"/>
      <c r="C432" s="32"/>
      <c r="D432" s="32"/>
      <c r="E432" s="32"/>
      <c r="F432" s="32"/>
      <c r="G432" s="32"/>
    </row>
    <row r="433" ht="15.75" customHeight="1">
      <c r="A433" s="32"/>
      <c r="C433" s="32"/>
      <c r="D433" s="32"/>
      <c r="E433" s="32"/>
      <c r="F433" s="32"/>
      <c r="G433" s="32"/>
    </row>
    <row r="434" ht="15.75" customHeight="1">
      <c r="A434" s="32"/>
      <c r="C434" s="32"/>
      <c r="D434" s="32"/>
      <c r="E434" s="32"/>
      <c r="F434" s="32"/>
      <c r="G434" s="32"/>
    </row>
    <row r="435" ht="15.75" customHeight="1">
      <c r="A435" s="32"/>
      <c r="C435" s="32"/>
      <c r="D435" s="32"/>
      <c r="E435" s="32"/>
      <c r="F435" s="32"/>
      <c r="G435" s="32"/>
    </row>
    <row r="436" ht="15.75" customHeight="1">
      <c r="A436" s="32"/>
      <c r="C436" s="32"/>
      <c r="D436" s="32"/>
      <c r="E436" s="32"/>
      <c r="F436" s="32"/>
      <c r="G436" s="32"/>
    </row>
    <row r="437" ht="15.75" customHeight="1">
      <c r="A437" s="32"/>
      <c r="C437" s="32"/>
      <c r="D437" s="32"/>
      <c r="E437" s="32"/>
      <c r="F437" s="32"/>
      <c r="G437" s="32"/>
    </row>
    <row r="438" ht="15.75" customHeight="1">
      <c r="A438" s="32"/>
      <c r="C438" s="32"/>
      <c r="D438" s="32"/>
      <c r="E438" s="32"/>
      <c r="F438" s="32"/>
      <c r="G438" s="32"/>
    </row>
    <row r="439" ht="15.75" customHeight="1">
      <c r="A439" s="32"/>
      <c r="C439" s="32"/>
      <c r="D439" s="32"/>
      <c r="E439" s="32"/>
      <c r="F439" s="32"/>
      <c r="G439" s="32"/>
    </row>
    <row r="440" ht="15.75" customHeight="1">
      <c r="A440" s="32"/>
      <c r="C440" s="32"/>
      <c r="D440" s="32"/>
      <c r="E440" s="32"/>
      <c r="F440" s="32"/>
      <c r="G440" s="32"/>
    </row>
    <row r="441" ht="15.75" customHeight="1">
      <c r="A441" s="32"/>
      <c r="C441" s="32"/>
      <c r="D441" s="32"/>
      <c r="E441" s="32"/>
      <c r="F441" s="32"/>
      <c r="G441" s="32"/>
    </row>
    <row r="442" ht="15.75" customHeight="1">
      <c r="A442" s="32"/>
      <c r="C442" s="32"/>
      <c r="D442" s="32"/>
      <c r="E442" s="32"/>
      <c r="F442" s="32"/>
      <c r="G442" s="32"/>
    </row>
    <row r="443" ht="15.75" customHeight="1">
      <c r="A443" s="32"/>
      <c r="C443" s="32"/>
      <c r="D443" s="32"/>
      <c r="E443" s="32"/>
      <c r="F443" s="32"/>
      <c r="G443" s="32"/>
    </row>
    <row r="444" ht="15.75" customHeight="1">
      <c r="A444" s="32"/>
      <c r="C444" s="32"/>
      <c r="D444" s="32"/>
      <c r="E444" s="32"/>
      <c r="F444" s="32"/>
      <c r="G444" s="32"/>
    </row>
    <row r="445" ht="15.75" customHeight="1">
      <c r="A445" s="32"/>
      <c r="C445" s="32"/>
      <c r="D445" s="32"/>
      <c r="E445" s="32"/>
      <c r="F445" s="32"/>
      <c r="G445" s="32"/>
    </row>
    <row r="446" ht="15.75" customHeight="1">
      <c r="A446" s="32"/>
      <c r="C446" s="32"/>
      <c r="D446" s="32"/>
      <c r="E446" s="32"/>
      <c r="F446" s="32"/>
      <c r="G446" s="32"/>
    </row>
    <row r="447" ht="15.75" customHeight="1">
      <c r="A447" s="32"/>
      <c r="C447" s="32"/>
      <c r="D447" s="32"/>
      <c r="E447" s="32"/>
      <c r="F447" s="32"/>
      <c r="G447" s="32"/>
    </row>
    <row r="448" ht="15.75" customHeight="1">
      <c r="A448" s="32"/>
      <c r="C448" s="32"/>
      <c r="D448" s="32"/>
      <c r="E448" s="32"/>
      <c r="F448" s="32"/>
      <c r="G448" s="32"/>
    </row>
    <row r="449" ht="15.75" customHeight="1">
      <c r="A449" s="32"/>
      <c r="C449" s="32"/>
      <c r="D449" s="32"/>
      <c r="E449" s="32"/>
      <c r="F449" s="32"/>
      <c r="G449" s="32"/>
    </row>
    <row r="450" ht="15.75" customHeight="1">
      <c r="A450" s="32"/>
      <c r="C450" s="32"/>
      <c r="D450" s="32"/>
      <c r="E450" s="32"/>
      <c r="F450" s="32"/>
      <c r="G450" s="32"/>
    </row>
    <row r="451" ht="15.75" customHeight="1">
      <c r="A451" s="32"/>
      <c r="C451" s="32"/>
      <c r="D451" s="32"/>
      <c r="E451" s="32"/>
      <c r="F451" s="32"/>
      <c r="G451" s="32"/>
    </row>
    <row r="452" ht="15.75" customHeight="1">
      <c r="A452" s="32"/>
      <c r="C452" s="32"/>
      <c r="D452" s="32"/>
      <c r="E452" s="32"/>
      <c r="F452" s="32"/>
      <c r="G452" s="32"/>
    </row>
    <row r="453" ht="15.75" customHeight="1">
      <c r="A453" s="32"/>
      <c r="C453" s="32"/>
      <c r="D453" s="32"/>
      <c r="E453" s="32"/>
      <c r="F453" s="32"/>
      <c r="G453" s="32"/>
    </row>
    <row r="454" ht="15.75" customHeight="1">
      <c r="A454" s="32"/>
      <c r="C454" s="32"/>
      <c r="D454" s="32"/>
      <c r="E454" s="32"/>
      <c r="F454" s="32"/>
      <c r="G454" s="32"/>
    </row>
    <row r="455" ht="15.75" customHeight="1">
      <c r="A455" s="32"/>
      <c r="C455" s="32"/>
      <c r="D455" s="32"/>
      <c r="E455" s="32"/>
      <c r="F455" s="32"/>
      <c r="G455" s="32"/>
    </row>
    <row r="456" ht="15.75" customHeight="1">
      <c r="A456" s="32"/>
      <c r="C456" s="32"/>
      <c r="D456" s="32"/>
      <c r="E456" s="32"/>
      <c r="F456" s="32"/>
      <c r="G456" s="32"/>
    </row>
    <row r="457" ht="15.75" customHeight="1">
      <c r="A457" s="32"/>
      <c r="C457" s="32"/>
      <c r="D457" s="32"/>
      <c r="E457" s="32"/>
      <c r="F457" s="32"/>
      <c r="G457" s="32"/>
    </row>
    <row r="458" ht="15.75" customHeight="1">
      <c r="A458" s="32"/>
      <c r="C458" s="32"/>
      <c r="D458" s="32"/>
      <c r="E458" s="32"/>
      <c r="F458" s="32"/>
      <c r="G458" s="32"/>
    </row>
    <row r="459" ht="15.75" customHeight="1">
      <c r="A459" s="32"/>
      <c r="C459" s="32"/>
      <c r="D459" s="32"/>
      <c r="E459" s="32"/>
      <c r="F459" s="32"/>
      <c r="G459" s="32"/>
    </row>
    <row r="460" ht="15.75" customHeight="1">
      <c r="A460" s="32"/>
      <c r="C460" s="32"/>
      <c r="D460" s="32"/>
      <c r="E460" s="32"/>
      <c r="F460" s="32"/>
      <c r="G460" s="32"/>
    </row>
    <row r="461" ht="15.75" customHeight="1">
      <c r="A461" s="32"/>
      <c r="C461" s="32"/>
      <c r="D461" s="32"/>
      <c r="E461" s="32"/>
      <c r="F461" s="32"/>
      <c r="G461" s="32"/>
    </row>
    <row r="462" ht="15.75" customHeight="1">
      <c r="A462" s="32"/>
      <c r="C462" s="32"/>
      <c r="D462" s="32"/>
      <c r="E462" s="32"/>
      <c r="F462" s="32"/>
      <c r="G462" s="32"/>
    </row>
    <row r="463" ht="15.75" customHeight="1">
      <c r="A463" s="32"/>
      <c r="C463" s="32"/>
      <c r="D463" s="32"/>
      <c r="E463" s="32"/>
      <c r="F463" s="32"/>
      <c r="G463" s="32"/>
    </row>
    <row r="464" ht="15.75" customHeight="1">
      <c r="A464" s="32"/>
      <c r="C464" s="32"/>
      <c r="D464" s="32"/>
      <c r="E464" s="32"/>
      <c r="F464" s="32"/>
      <c r="G464" s="32"/>
    </row>
    <row r="465" ht="15.75" customHeight="1">
      <c r="A465" s="32"/>
      <c r="C465" s="32"/>
      <c r="D465" s="32"/>
      <c r="E465" s="32"/>
      <c r="F465" s="32"/>
      <c r="G465" s="32"/>
    </row>
    <row r="466" ht="15.75" customHeight="1">
      <c r="A466" s="32"/>
      <c r="C466" s="32"/>
      <c r="D466" s="32"/>
      <c r="E466" s="32"/>
      <c r="F466" s="32"/>
      <c r="G466" s="32"/>
    </row>
    <row r="467" ht="15.75" customHeight="1">
      <c r="A467" s="32"/>
      <c r="C467" s="32"/>
      <c r="D467" s="32"/>
      <c r="E467" s="32"/>
      <c r="F467" s="32"/>
      <c r="G467" s="32"/>
    </row>
    <row r="468" ht="15.75" customHeight="1">
      <c r="A468" s="32"/>
      <c r="C468" s="32"/>
      <c r="D468" s="32"/>
      <c r="E468" s="32"/>
      <c r="F468" s="32"/>
      <c r="G468" s="32"/>
    </row>
    <row r="469" ht="15.75" customHeight="1">
      <c r="A469" s="32"/>
      <c r="C469" s="32"/>
      <c r="D469" s="32"/>
      <c r="E469" s="32"/>
      <c r="F469" s="32"/>
      <c r="G469" s="32"/>
    </row>
    <row r="470" ht="15.75" customHeight="1">
      <c r="A470" s="32"/>
      <c r="C470" s="32"/>
      <c r="D470" s="32"/>
      <c r="E470" s="32"/>
      <c r="F470" s="32"/>
      <c r="G470" s="32"/>
    </row>
    <row r="471" ht="15.75" customHeight="1">
      <c r="A471" s="32"/>
      <c r="C471" s="32"/>
      <c r="D471" s="32"/>
      <c r="E471" s="32"/>
      <c r="F471" s="32"/>
      <c r="G471" s="32"/>
    </row>
    <row r="472" ht="15.75" customHeight="1">
      <c r="A472" s="32"/>
      <c r="C472" s="32"/>
      <c r="D472" s="32"/>
      <c r="E472" s="32"/>
      <c r="F472" s="32"/>
      <c r="G472" s="32"/>
    </row>
    <row r="473" ht="15.75" customHeight="1">
      <c r="A473" s="32"/>
      <c r="C473" s="32"/>
      <c r="D473" s="32"/>
      <c r="E473" s="32"/>
      <c r="F473" s="32"/>
      <c r="G473" s="32"/>
    </row>
    <row r="474" ht="15.75" customHeight="1">
      <c r="A474" s="32"/>
      <c r="C474" s="32"/>
      <c r="D474" s="32"/>
      <c r="E474" s="32"/>
      <c r="F474" s="32"/>
      <c r="G474" s="32"/>
    </row>
    <row r="475" ht="15.75" customHeight="1">
      <c r="A475" s="32"/>
      <c r="C475" s="32"/>
      <c r="D475" s="32"/>
      <c r="E475" s="32"/>
      <c r="F475" s="32"/>
      <c r="G475" s="32"/>
    </row>
    <row r="476" ht="15.75" customHeight="1">
      <c r="A476" s="32"/>
      <c r="C476" s="32"/>
      <c r="D476" s="32"/>
      <c r="E476" s="32"/>
      <c r="F476" s="32"/>
      <c r="G476" s="32"/>
    </row>
    <row r="477" ht="15.75" customHeight="1">
      <c r="A477" s="32"/>
      <c r="C477" s="32"/>
      <c r="D477" s="32"/>
      <c r="E477" s="32"/>
      <c r="F477" s="32"/>
      <c r="G477" s="32"/>
    </row>
    <row r="478" ht="15.75" customHeight="1">
      <c r="A478" s="32"/>
      <c r="C478" s="32"/>
      <c r="D478" s="32"/>
      <c r="E478" s="32"/>
      <c r="F478" s="32"/>
      <c r="G478" s="32"/>
    </row>
    <row r="479" ht="15.75" customHeight="1">
      <c r="A479" s="32"/>
      <c r="C479" s="32"/>
      <c r="D479" s="32"/>
      <c r="E479" s="32"/>
      <c r="F479" s="32"/>
      <c r="G479" s="32"/>
    </row>
    <row r="480" ht="15.75" customHeight="1">
      <c r="A480" s="32"/>
      <c r="C480" s="32"/>
      <c r="D480" s="32"/>
      <c r="E480" s="32"/>
      <c r="F480" s="32"/>
      <c r="G480" s="32"/>
    </row>
    <row r="481" ht="15.75" customHeight="1">
      <c r="A481" s="32"/>
      <c r="C481" s="32"/>
      <c r="D481" s="32"/>
      <c r="E481" s="32"/>
      <c r="F481" s="32"/>
      <c r="G481" s="32"/>
    </row>
    <row r="482" ht="15.75" customHeight="1">
      <c r="A482" s="32"/>
      <c r="C482" s="32"/>
      <c r="D482" s="32"/>
      <c r="E482" s="32"/>
      <c r="F482" s="32"/>
      <c r="G482" s="32"/>
    </row>
    <row r="483" ht="15.75" customHeight="1">
      <c r="A483" s="32"/>
      <c r="C483" s="32"/>
      <c r="D483" s="32"/>
      <c r="E483" s="32"/>
      <c r="F483" s="32"/>
      <c r="G483" s="32"/>
    </row>
    <row r="484" ht="15.75" customHeight="1">
      <c r="A484" s="32"/>
      <c r="C484" s="32"/>
      <c r="D484" s="32"/>
      <c r="E484" s="32"/>
      <c r="F484" s="32"/>
      <c r="G484" s="32"/>
    </row>
    <row r="485" ht="15.75" customHeight="1">
      <c r="A485" s="32"/>
      <c r="C485" s="32"/>
      <c r="D485" s="32"/>
      <c r="E485" s="32"/>
      <c r="F485" s="32"/>
      <c r="G485" s="32"/>
    </row>
    <row r="486" ht="15.75" customHeight="1">
      <c r="A486" s="32"/>
      <c r="C486" s="32"/>
      <c r="D486" s="32"/>
      <c r="E486" s="32"/>
      <c r="F486" s="32"/>
      <c r="G486" s="32"/>
    </row>
    <row r="487" ht="15.75" customHeight="1">
      <c r="A487" s="32"/>
      <c r="C487" s="32"/>
      <c r="D487" s="32"/>
      <c r="E487" s="32"/>
      <c r="F487" s="32"/>
      <c r="G487" s="32"/>
    </row>
    <row r="488" ht="15.75" customHeight="1">
      <c r="A488" s="32"/>
      <c r="C488" s="32"/>
      <c r="D488" s="32"/>
      <c r="E488" s="32"/>
      <c r="F488" s="32"/>
      <c r="G488" s="32"/>
    </row>
    <row r="489" ht="15.75" customHeight="1">
      <c r="A489" s="32"/>
      <c r="C489" s="32"/>
      <c r="D489" s="32"/>
      <c r="E489" s="32"/>
      <c r="F489" s="32"/>
      <c r="G489" s="32"/>
    </row>
    <row r="490" ht="15.75" customHeight="1">
      <c r="A490" s="32"/>
      <c r="C490" s="32"/>
      <c r="D490" s="32"/>
      <c r="E490" s="32"/>
      <c r="F490" s="32"/>
      <c r="G490" s="32"/>
    </row>
    <row r="491" ht="15.75" customHeight="1">
      <c r="A491" s="32"/>
      <c r="C491" s="32"/>
      <c r="D491" s="32"/>
      <c r="E491" s="32"/>
      <c r="F491" s="32"/>
      <c r="G491" s="32"/>
    </row>
    <row r="492" ht="15.75" customHeight="1">
      <c r="A492" s="32"/>
      <c r="C492" s="32"/>
      <c r="D492" s="32"/>
      <c r="E492" s="32"/>
      <c r="F492" s="32"/>
      <c r="G492" s="32"/>
    </row>
    <row r="493" ht="15.75" customHeight="1">
      <c r="A493" s="32"/>
      <c r="C493" s="32"/>
      <c r="D493" s="32"/>
      <c r="E493" s="32"/>
      <c r="F493" s="32"/>
      <c r="G493" s="32"/>
    </row>
    <row r="494" ht="15.75" customHeight="1">
      <c r="A494" s="32"/>
      <c r="C494" s="32"/>
      <c r="D494" s="32"/>
      <c r="E494" s="32"/>
      <c r="F494" s="32"/>
      <c r="G494" s="32"/>
    </row>
    <row r="495" ht="15.75" customHeight="1">
      <c r="A495" s="32"/>
      <c r="C495" s="32"/>
      <c r="D495" s="32"/>
      <c r="E495" s="32"/>
      <c r="F495" s="32"/>
      <c r="G495" s="32"/>
    </row>
    <row r="496" ht="15.75" customHeight="1">
      <c r="A496" s="32"/>
      <c r="C496" s="32"/>
      <c r="D496" s="32"/>
      <c r="E496" s="32"/>
      <c r="F496" s="32"/>
      <c r="G496" s="32"/>
    </row>
    <row r="497" ht="15.75" customHeight="1">
      <c r="A497" s="32"/>
      <c r="C497" s="32"/>
      <c r="D497" s="32"/>
      <c r="E497" s="32"/>
      <c r="F497" s="32"/>
      <c r="G497" s="32"/>
    </row>
    <row r="498" ht="15.75" customHeight="1">
      <c r="A498" s="32"/>
      <c r="C498" s="32"/>
      <c r="D498" s="32"/>
      <c r="E498" s="32"/>
      <c r="F498" s="32"/>
      <c r="G498" s="32"/>
    </row>
    <row r="499" ht="15.75" customHeight="1">
      <c r="A499" s="32"/>
      <c r="C499" s="32"/>
      <c r="D499" s="32"/>
      <c r="E499" s="32"/>
      <c r="F499" s="32"/>
      <c r="G499" s="32"/>
    </row>
    <row r="500" ht="15.75" customHeight="1">
      <c r="A500" s="32"/>
      <c r="C500" s="32"/>
      <c r="D500" s="32"/>
      <c r="E500" s="32"/>
      <c r="F500" s="32"/>
      <c r="G500" s="32"/>
    </row>
    <row r="501" ht="15.75" customHeight="1">
      <c r="A501" s="32"/>
      <c r="C501" s="32"/>
      <c r="D501" s="32"/>
      <c r="E501" s="32"/>
      <c r="F501" s="32"/>
      <c r="G501" s="32"/>
    </row>
    <row r="502" ht="15.75" customHeight="1">
      <c r="A502" s="32"/>
      <c r="C502" s="32"/>
      <c r="D502" s="32"/>
      <c r="E502" s="32"/>
      <c r="F502" s="32"/>
      <c r="G502" s="32"/>
    </row>
    <row r="503" ht="15.75" customHeight="1">
      <c r="A503" s="32"/>
      <c r="C503" s="32"/>
      <c r="D503" s="32"/>
      <c r="E503" s="32"/>
      <c r="F503" s="32"/>
      <c r="G503" s="32"/>
    </row>
    <row r="504" ht="15.75" customHeight="1">
      <c r="A504" s="32"/>
      <c r="C504" s="32"/>
      <c r="D504" s="32"/>
      <c r="E504" s="32"/>
      <c r="F504" s="32"/>
      <c r="G504" s="32"/>
    </row>
    <row r="505" ht="15.75" customHeight="1">
      <c r="A505" s="32"/>
      <c r="C505" s="32"/>
      <c r="D505" s="32"/>
      <c r="E505" s="32"/>
      <c r="F505" s="32"/>
      <c r="G505" s="32"/>
    </row>
    <row r="506" ht="15.75" customHeight="1">
      <c r="A506" s="32"/>
      <c r="C506" s="32"/>
      <c r="D506" s="32"/>
      <c r="E506" s="32"/>
      <c r="F506" s="32"/>
      <c r="G506" s="32"/>
    </row>
    <row r="507" ht="15.75" customHeight="1">
      <c r="A507" s="32"/>
      <c r="C507" s="32"/>
      <c r="D507" s="32"/>
      <c r="E507" s="32"/>
      <c r="F507" s="32"/>
      <c r="G507" s="32"/>
    </row>
    <row r="508" ht="15.75" customHeight="1">
      <c r="A508" s="32"/>
      <c r="C508" s="32"/>
      <c r="D508" s="32"/>
      <c r="E508" s="32"/>
      <c r="F508" s="32"/>
      <c r="G508" s="32"/>
    </row>
    <row r="509" ht="15.75" customHeight="1">
      <c r="A509" s="32"/>
      <c r="C509" s="32"/>
      <c r="D509" s="32"/>
      <c r="E509" s="32"/>
      <c r="F509" s="32"/>
      <c r="G509" s="32"/>
    </row>
    <row r="510" ht="15.75" customHeight="1">
      <c r="A510" s="32"/>
      <c r="C510" s="32"/>
      <c r="D510" s="32"/>
      <c r="E510" s="32"/>
      <c r="F510" s="32"/>
      <c r="G510" s="32"/>
    </row>
    <row r="511" ht="15.75" customHeight="1">
      <c r="A511" s="32"/>
      <c r="C511" s="32"/>
      <c r="D511" s="32"/>
      <c r="E511" s="32"/>
      <c r="F511" s="32"/>
      <c r="G511" s="32"/>
    </row>
    <row r="512" ht="15.75" customHeight="1">
      <c r="A512" s="32"/>
      <c r="C512" s="32"/>
      <c r="D512" s="32"/>
      <c r="E512" s="32"/>
      <c r="F512" s="32"/>
      <c r="G512" s="32"/>
    </row>
    <row r="513" ht="15.75" customHeight="1">
      <c r="A513" s="32"/>
      <c r="C513" s="32"/>
      <c r="D513" s="32"/>
      <c r="E513" s="32"/>
      <c r="F513" s="32"/>
      <c r="G513" s="32"/>
    </row>
    <row r="514" ht="15.75" customHeight="1">
      <c r="A514" s="32"/>
      <c r="C514" s="32"/>
      <c r="D514" s="32"/>
      <c r="E514" s="32"/>
      <c r="F514" s="32"/>
      <c r="G514" s="32"/>
    </row>
    <row r="515" ht="15.75" customHeight="1">
      <c r="A515" s="32"/>
      <c r="C515" s="32"/>
      <c r="D515" s="32"/>
      <c r="E515" s="32"/>
      <c r="F515" s="32"/>
      <c r="G515" s="32"/>
    </row>
    <row r="516" ht="15.75" customHeight="1">
      <c r="A516" s="32"/>
      <c r="C516" s="32"/>
      <c r="D516" s="32"/>
      <c r="E516" s="32"/>
      <c r="F516" s="32"/>
      <c r="G516" s="32"/>
    </row>
    <row r="517" ht="15.75" customHeight="1">
      <c r="A517" s="32"/>
      <c r="C517" s="32"/>
      <c r="D517" s="32"/>
      <c r="E517" s="32"/>
      <c r="F517" s="32"/>
      <c r="G517" s="32"/>
    </row>
    <row r="518" ht="15.75" customHeight="1">
      <c r="A518" s="32"/>
      <c r="C518" s="32"/>
      <c r="D518" s="32"/>
      <c r="E518" s="32"/>
      <c r="F518" s="32"/>
      <c r="G518" s="32"/>
    </row>
    <row r="519" ht="15.75" customHeight="1">
      <c r="A519" s="32"/>
      <c r="C519" s="32"/>
      <c r="D519" s="32"/>
      <c r="E519" s="32"/>
      <c r="F519" s="32"/>
      <c r="G519" s="32"/>
    </row>
    <row r="520" ht="15.75" customHeight="1">
      <c r="A520" s="32"/>
      <c r="C520" s="32"/>
      <c r="D520" s="32"/>
      <c r="E520" s="32"/>
      <c r="F520" s="32"/>
      <c r="G520" s="32"/>
    </row>
    <row r="521" ht="15.75" customHeight="1">
      <c r="A521" s="32"/>
      <c r="C521" s="32"/>
      <c r="D521" s="32"/>
      <c r="E521" s="32"/>
      <c r="F521" s="32"/>
      <c r="G521" s="32"/>
    </row>
    <row r="522" ht="15.75" customHeight="1">
      <c r="A522" s="32"/>
      <c r="C522" s="32"/>
      <c r="D522" s="32"/>
      <c r="E522" s="32"/>
      <c r="F522" s="32"/>
      <c r="G522" s="32"/>
    </row>
    <row r="523" ht="15.75" customHeight="1">
      <c r="A523" s="32"/>
      <c r="C523" s="32"/>
      <c r="D523" s="32"/>
      <c r="E523" s="32"/>
      <c r="F523" s="32"/>
      <c r="G523" s="32"/>
    </row>
    <row r="524" ht="15.75" customHeight="1">
      <c r="A524" s="32"/>
      <c r="C524" s="32"/>
      <c r="D524" s="32"/>
      <c r="E524" s="32"/>
      <c r="F524" s="32"/>
      <c r="G524" s="32"/>
    </row>
    <row r="525" ht="15.75" customHeight="1">
      <c r="A525" s="32"/>
      <c r="C525" s="32"/>
      <c r="D525" s="32"/>
      <c r="E525" s="32"/>
      <c r="F525" s="32"/>
      <c r="G525" s="32"/>
    </row>
    <row r="526" ht="15.75" customHeight="1">
      <c r="A526" s="32"/>
      <c r="C526" s="32"/>
      <c r="D526" s="32"/>
      <c r="E526" s="32"/>
      <c r="F526" s="32"/>
      <c r="G526" s="32"/>
    </row>
    <row r="527" ht="15.75" customHeight="1">
      <c r="A527" s="32"/>
      <c r="C527" s="32"/>
      <c r="D527" s="32"/>
      <c r="E527" s="32"/>
      <c r="F527" s="32"/>
      <c r="G527" s="32"/>
    </row>
    <row r="528" ht="15.75" customHeight="1">
      <c r="A528" s="32"/>
      <c r="C528" s="32"/>
      <c r="D528" s="32"/>
      <c r="E528" s="32"/>
      <c r="F528" s="32"/>
      <c r="G528" s="32"/>
    </row>
    <row r="529" ht="15.75" customHeight="1">
      <c r="A529" s="32"/>
      <c r="C529" s="32"/>
      <c r="D529" s="32"/>
      <c r="E529" s="32"/>
      <c r="F529" s="32"/>
      <c r="G529" s="32"/>
    </row>
    <row r="530" ht="15.75" customHeight="1">
      <c r="A530" s="32"/>
      <c r="C530" s="32"/>
      <c r="D530" s="32"/>
      <c r="E530" s="32"/>
      <c r="F530" s="32"/>
      <c r="G530" s="32"/>
    </row>
    <row r="531" ht="15.75" customHeight="1">
      <c r="A531" s="32"/>
      <c r="C531" s="32"/>
      <c r="D531" s="32"/>
      <c r="E531" s="32"/>
      <c r="F531" s="32"/>
      <c r="G531" s="32"/>
    </row>
    <row r="532" ht="15.75" customHeight="1">
      <c r="A532" s="32"/>
      <c r="C532" s="32"/>
      <c r="D532" s="32"/>
      <c r="E532" s="32"/>
      <c r="F532" s="32"/>
      <c r="G532" s="32"/>
    </row>
    <row r="533" ht="15.75" customHeight="1">
      <c r="A533" s="32"/>
      <c r="C533" s="32"/>
      <c r="D533" s="32"/>
      <c r="E533" s="32"/>
      <c r="F533" s="32"/>
      <c r="G533" s="32"/>
    </row>
    <row r="534" ht="15.75" customHeight="1">
      <c r="A534" s="32"/>
      <c r="C534" s="32"/>
      <c r="D534" s="32"/>
      <c r="E534" s="32"/>
      <c r="F534" s="32"/>
      <c r="G534" s="32"/>
    </row>
    <row r="535" ht="15.75" customHeight="1">
      <c r="A535" s="32"/>
      <c r="C535" s="32"/>
      <c r="D535" s="32"/>
      <c r="E535" s="32"/>
      <c r="F535" s="32"/>
      <c r="G535" s="32"/>
    </row>
    <row r="536" ht="15.75" customHeight="1">
      <c r="A536" s="32"/>
      <c r="C536" s="32"/>
      <c r="D536" s="32"/>
      <c r="E536" s="32"/>
      <c r="F536" s="32"/>
      <c r="G536" s="32"/>
    </row>
    <row r="537" ht="15.75" customHeight="1">
      <c r="A537" s="32"/>
      <c r="C537" s="32"/>
      <c r="D537" s="32"/>
      <c r="E537" s="32"/>
      <c r="F537" s="32"/>
      <c r="G537" s="32"/>
    </row>
    <row r="538" ht="15.75" customHeight="1">
      <c r="A538" s="32"/>
      <c r="C538" s="32"/>
      <c r="D538" s="32"/>
      <c r="E538" s="32"/>
      <c r="F538" s="32"/>
      <c r="G538" s="32"/>
    </row>
    <row r="539" ht="15.75" customHeight="1">
      <c r="A539" s="32"/>
      <c r="C539" s="32"/>
      <c r="D539" s="32"/>
      <c r="E539" s="32"/>
      <c r="F539" s="32"/>
      <c r="G539" s="32"/>
    </row>
    <row r="540" ht="15.75" customHeight="1">
      <c r="A540" s="32"/>
      <c r="C540" s="32"/>
      <c r="D540" s="32"/>
      <c r="E540" s="32"/>
      <c r="F540" s="32"/>
      <c r="G540" s="32"/>
    </row>
    <row r="541" ht="15.75" customHeight="1">
      <c r="A541" s="32"/>
      <c r="C541" s="32"/>
      <c r="D541" s="32"/>
      <c r="E541" s="32"/>
      <c r="F541" s="32"/>
      <c r="G541" s="32"/>
    </row>
    <row r="542" ht="15.75" customHeight="1">
      <c r="A542" s="32"/>
      <c r="C542" s="32"/>
      <c r="D542" s="32"/>
      <c r="E542" s="32"/>
      <c r="F542" s="32"/>
      <c r="G542" s="32"/>
    </row>
    <row r="543" ht="15.75" customHeight="1">
      <c r="A543" s="32"/>
      <c r="C543" s="32"/>
      <c r="D543" s="32"/>
      <c r="E543" s="32"/>
      <c r="F543" s="32"/>
      <c r="G543" s="32"/>
    </row>
    <row r="544" ht="15.75" customHeight="1">
      <c r="A544" s="32"/>
      <c r="C544" s="32"/>
      <c r="D544" s="32"/>
      <c r="E544" s="32"/>
      <c r="F544" s="32"/>
      <c r="G544" s="32"/>
    </row>
    <row r="545" ht="15.75" customHeight="1">
      <c r="A545" s="32"/>
      <c r="C545" s="32"/>
      <c r="D545" s="32"/>
      <c r="E545" s="32"/>
      <c r="F545" s="32"/>
      <c r="G545" s="32"/>
    </row>
    <row r="546" ht="15.75" customHeight="1">
      <c r="A546" s="32"/>
      <c r="C546" s="32"/>
      <c r="D546" s="32"/>
      <c r="E546" s="32"/>
      <c r="F546" s="32"/>
      <c r="G546" s="32"/>
    </row>
    <row r="547" ht="15.75" customHeight="1">
      <c r="A547" s="32"/>
      <c r="C547" s="32"/>
      <c r="D547" s="32"/>
      <c r="E547" s="32"/>
      <c r="F547" s="32"/>
      <c r="G547" s="32"/>
    </row>
    <row r="548" ht="15.75" customHeight="1">
      <c r="A548" s="32"/>
      <c r="C548" s="32"/>
      <c r="D548" s="32"/>
      <c r="E548" s="32"/>
      <c r="F548" s="32"/>
      <c r="G548" s="32"/>
    </row>
    <row r="549" ht="15.75" customHeight="1">
      <c r="A549" s="32"/>
      <c r="C549" s="32"/>
      <c r="D549" s="32"/>
      <c r="E549" s="32"/>
      <c r="F549" s="32"/>
      <c r="G549" s="32"/>
    </row>
    <row r="550" ht="15.75" customHeight="1">
      <c r="A550" s="32"/>
      <c r="C550" s="32"/>
      <c r="D550" s="32"/>
      <c r="E550" s="32"/>
      <c r="F550" s="32"/>
      <c r="G550" s="32"/>
    </row>
    <row r="551" ht="15.75" customHeight="1">
      <c r="A551" s="32"/>
      <c r="C551" s="32"/>
      <c r="D551" s="32"/>
      <c r="E551" s="32"/>
      <c r="F551" s="32"/>
      <c r="G551" s="32"/>
    </row>
    <row r="552" ht="15.75" customHeight="1">
      <c r="A552" s="32"/>
      <c r="C552" s="32"/>
      <c r="D552" s="32"/>
      <c r="E552" s="32"/>
      <c r="F552" s="32"/>
      <c r="G552" s="32"/>
    </row>
    <row r="553" ht="15.75" customHeight="1">
      <c r="A553" s="32"/>
      <c r="C553" s="32"/>
      <c r="D553" s="32"/>
      <c r="E553" s="32"/>
      <c r="F553" s="32"/>
      <c r="G553" s="32"/>
    </row>
    <row r="554" ht="15.75" customHeight="1">
      <c r="A554" s="32"/>
      <c r="C554" s="32"/>
      <c r="D554" s="32"/>
      <c r="E554" s="32"/>
      <c r="F554" s="32"/>
      <c r="G554" s="32"/>
    </row>
    <row r="555" ht="15.75" customHeight="1">
      <c r="A555" s="32"/>
      <c r="C555" s="32"/>
      <c r="D555" s="32"/>
      <c r="E555" s="32"/>
      <c r="F555" s="32"/>
      <c r="G555" s="32"/>
    </row>
    <row r="556" ht="15.75" customHeight="1">
      <c r="A556" s="32"/>
      <c r="C556" s="32"/>
      <c r="D556" s="32"/>
      <c r="E556" s="32"/>
      <c r="F556" s="32"/>
      <c r="G556" s="32"/>
    </row>
    <row r="557" ht="15.75" customHeight="1">
      <c r="A557" s="32"/>
      <c r="C557" s="32"/>
      <c r="D557" s="32"/>
      <c r="E557" s="32"/>
      <c r="F557" s="32"/>
      <c r="G557" s="32"/>
    </row>
    <row r="558" ht="15.75" customHeight="1">
      <c r="A558" s="32"/>
      <c r="C558" s="32"/>
      <c r="D558" s="32"/>
      <c r="E558" s="32"/>
      <c r="F558" s="32"/>
      <c r="G558" s="32"/>
    </row>
    <row r="559" ht="15.75" customHeight="1">
      <c r="A559" s="32"/>
      <c r="C559" s="32"/>
      <c r="D559" s="32"/>
      <c r="E559" s="32"/>
      <c r="F559" s="32"/>
      <c r="G559" s="32"/>
    </row>
    <row r="560" ht="15.75" customHeight="1">
      <c r="A560" s="32"/>
      <c r="C560" s="32"/>
      <c r="D560" s="32"/>
      <c r="E560" s="32"/>
      <c r="F560" s="32"/>
      <c r="G560" s="32"/>
    </row>
    <row r="561" ht="15.75" customHeight="1">
      <c r="A561" s="32"/>
      <c r="C561" s="32"/>
      <c r="D561" s="32"/>
      <c r="E561" s="32"/>
      <c r="F561" s="32"/>
      <c r="G561" s="32"/>
    </row>
    <row r="562" ht="15.75" customHeight="1">
      <c r="A562" s="32"/>
      <c r="C562" s="32"/>
      <c r="D562" s="32"/>
      <c r="E562" s="32"/>
      <c r="F562" s="32"/>
      <c r="G562" s="32"/>
    </row>
    <row r="563" ht="15.75" customHeight="1">
      <c r="A563" s="32"/>
      <c r="C563" s="32"/>
      <c r="D563" s="32"/>
      <c r="E563" s="32"/>
      <c r="F563" s="32"/>
      <c r="G563" s="32"/>
    </row>
    <row r="564" ht="15.75" customHeight="1">
      <c r="A564" s="32"/>
      <c r="C564" s="32"/>
      <c r="D564" s="32"/>
      <c r="E564" s="32"/>
      <c r="F564" s="32"/>
      <c r="G564" s="32"/>
    </row>
    <row r="565" ht="15.75" customHeight="1">
      <c r="A565" s="32"/>
      <c r="C565" s="32"/>
      <c r="D565" s="32"/>
      <c r="E565" s="32"/>
      <c r="F565" s="32"/>
      <c r="G565" s="32"/>
    </row>
    <row r="566" ht="15.75" customHeight="1">
      <c r="A566" s="32"/>
      <c r="C566" s="32"/>
      <c r="D566" s="32"/>
      <c r="E566" s="32"/>
      <c r="F566" s="32"/>
      <c r="G566" s="32"/>
    </row>
    <row r="567" ht="15.75" customHeight="1">
      <c r="A567" s="32"/>
      <c r="C567" s="32"/>
      <c r="D567" s="32"/>
      <c r="E567" s="32"/>
      <c r="F567" s="32"/>
      <c r="G567" s="32"/>
    </row>
    <row r="568" ht="15.75" customHeight="1">
      <c r="A568" s="32"/>
      <c r="C568" s="32"/>
      <c r="D568" s="32"/>
      <c r="E568" s="32"/>
      <c r="F568" s="32"/>
      <c r="G568" s="32"/>
    </row>
    <row r="569" ht="15.75" customHeight="1">
      <c r="A569" s="32"/>
      <c r="C569" s="32"/>
      <c r="D569" s="32"/>
      <c r="E569" s="32"/>
      <c r="F569" s="32"/>
      <c r="G569" s="32"/>
    </row>
    <row r="570" ht="15.75" customHeight="1">
      <c r="A570" s="32"/>
      <c r="C570" s="32"/>
      <c r="D570" s="32"/>
      <c r="E570" s="32"/>
      <c r="F570" s="32"/>
      <c r="G570" s="32"/>
    </row>
    <row r="571" ht="15.75" customHeight="1">
      <c r="A571" s="32"/>
      <c r="C571" s="32"/>
      <c r="D571" s="32"/>
      <c r="E571" s="32"/>
      <c r="F571" s="32"/>
      <c r="G571" s="32"/>
    </row>
    <row r="572" ht="15.75" customHeight="1">
      <c r="A572" s="32"/>
      <c r="C572" s="32"/>
      <c r="D572" s="32"/>
      <c r="E572" s="32"/>
      <c r="F572" s="32"/>
      <c r="G572" s="32"/>
    </row>
    <row r="573" ht="15.75" customHeight="1">
      <c r="A573" s="32"/>
      <c r="C573" s="32"/>
      <c r="D573" s="32"/>
      <c r="E573" s="32"/>
      <c r="F573" s="32"/>
      <c r="G573" s="32"/>
    </row>
    <row r="574" ht="15.75" customHeight="1">
      <c r="A574" s="32"/>
      <c r="C574" s="32"/>
      <c r="D574" s="32"/>
      <c r="E574" s="32"/>
      <c r="F574" s="32"/>
      <c r="G574" s="32"/>
    </row>
    <row r="575" ht="15.75" customHeight="1">
      <c r="A575" s="32"/>
      <c r="C575" s="32"/>
      <c r="D575" s="32"/>
      <c r="E575" s="32"/>
      <c r="F575" s="32"/>
      <c r="G575" s="32"/>
    </row>
    <row r="576" ht="15.75" customHeight="1">
      <c r="A576" s="32"/>
      <c r="C576" s="32"/>
      <c r="D576" s="32"/>
      <c r="E576" s="32"/>
      <c r="F576" s="32"/>
      <c r="G576" s="32"/>
    </row>
    <row r="577" ht="15.75" customHeight="1">
      <c r="A577" s="32"/>
      <c r="C577" s="32"/>
      <c r="D577" s="32"/>
      <c r="E577" s="32"/>
      <c r="F577" s="32"/>
      <c r="G577" s="32"/>
    </row>
    <row r="578" ht="15.75" customHeight="1">
      <c r="A578" s="32"/>
      <c r="C578" s="32"/>
      <c r="D578" s="32"/>
      <c r="E578" s="32"/>
      <c r="F578" s="32"/>
      <c r="G578" s="32"/>
    </row>
    <row r="579" ht="15.75" customHeight="1">
      <c r="A579" s="32"/>
      <c r="C579" s="32"/>
      <c r="D579" s="32"/>
      <c r="E579" s="32"/>
      <c r="F579" s="32"/>
      <c r="G579" s="32"/>
    </row>
    <row r="580" ht="15.75" customHeight="1">
      <c r="A580" s="32"/>
      <c r="C580" s="32"/>
      <c r="D580" s="32"/>
      <c r="E580" s="32"/>
      <c r="F580" s="32"/>
      <c r="G580" s="32"/>
    </row>
    <row r="581" ht="15.75" customHeight="1">
      <c r="A581" s="32"/>
      <c r="C581" s="32"/>
      <c r="D581" s="32"/>
      <c r="E581" s="32"/>
      <c r="F581" s="32"/>
      <c r="G581" s="32"/>
    </row>
    <row r="582" ht="15.75" customHeight="1">
      <c r="A582" s="32"/>
      <c r="C582" s="32"/>
      <c r="D582" s="32"/>
      <c r="E582" s="32"/>
      <c r="F582" s="32"/>
      <c r="G582" s="32"/>
    </row>
    <row r="583" ht="15.75" customHeight="1">
      <c r="A583" s="32"/>
      <c r="C583" s="32"/>
      <c r="D583" s="32"/>
      <c r="E583" s="32"/>
      <c r="F583" s="32"/>
      <c r="G583" s="32"/>
    </row>
    <row r="584" ht="15.75" customHeight="1">
      <c r="A584" s="32"/>
      <c r="C584" s="32"/>
      <c r="D584" s="32"/>
      <c r="E584" s="32"/>
      <c r="F584" s="32"/>
      <c r="G584" s="32"/>
    </row>
    <row r="585" ht="15.75" customHeight="1">
      <c r="A585" s="32"/>
      <c r="C585" s="32"/>
      <c r="D585" s="32"/>
      <c r="E585" s="32"/>
      <c r="F585" s="32"/>
      <c r="G585" s="32"/>
    </row>
    <row r="586" ht="15.75" customHeight="1">
      <c r="A586" s="32"/>
      <c r="C586" s="32"/>
      <c r="D586" s="32"/>
      <c r="E586" s="32"/>
      <c r="F586" s="32"/>
      <c r="G586" s="32"/>
    </row>
    <row r="587" ht="15.75" customHeight="1">
      <c r="A587" s="32"/>
      <c r="C587" s="32"/>
      <c r="D587" s="32"/>
      <c r="E587" s="32"/>
      <c r="F587" s="32"/>
      <c r="G587" s="32"/>
    </row>
    <row r="588" ht="15.75" customHeight="1">
      <c r="A588" s="32"/>
      <c r="C588" s="32"/>
      <c r="D588" s="32"/>
      <c r="E588" s="32"/>
      <c r="F588" s="32"/>
      <c r="G588" s="32"/>
    </row>
    <row r="589" ht="15.75" customHeight="1">
      <c r="A589" s="32"/>
      <c r="C589" s="32"/>
      <c r="D589" s="32"/>
      <c r="E589" s="32"/>
      <c r="F589" s="32"/>
      <c r="G589" s="32"/>
    </row>
    <row r="590" ht="15.75" customHeight="1">
      <c r="A590" s="32"/>
      <c r="C590" s="32"/>
      <c r="D590" s="32"/>
      <c r="E590" s="32"/>
      <c r="F590" s="32"/>
      <c r="G590" s="32"/>
    </row>
    <row r="591" ht="15.75" customHeight="1">
      <c r="A591" s="32"/>
      <c r="C591" s="32"/>
      <c r="D591" s="32"/>
      <c r="E591" s="32"/>
      <c r="F591" s="32"/>
      <c r="G591" s="32"/>
    </row>
    <row r="592" ht="15.75" customHeight="1">
      <c r="A592" s="32"/>
      <c r="C592" s="32"/>
      <c r="D592" s="32"/>
      <c r="E592" s="32"/>
      <c r="F592" s="32"/>
      <c r="G592" s="32"/>
    </row>
    <row r="593" ht="15.75" customHeight="1">
      <c r="A593" s="32"/>
      <c r="C593" s="32"/>
      <c r="D593" s="32"/>
      <c r="E593" s="32"/>
      <c r="F593" s="32"/>
      <c r="G593" s="32"/>
    </row>
    <row r="594" ht="15.75" customHeight="1">
      <c r="A594" s="32"/>
      <c r="C594" s="32"/>
      <c r="D594" s="32"/>
      <c r="E594" s="32"/>
      <c r="F594" s="32"/>
      <c r="G594" s="32"/>
    </row>
    <row r="595" ht="15.75" customHeight="1">
      <c r="A595" s="32"/>
      <c r="C595" s="32"/>
      <c r="D595" s="32"/>
      <c r="E595" s="32"/>
      <c r="F595" s="32"/>
      <c r="G595" s="32"/>
    </row>
    <row r="596" ht="15.75" customHeight="1">
      <c r="A596" s="32"/>
      <c r="C596" s="32"/>
      <c r="D596" s="32"/>
      <c r="E596" s="32"/>
      <c r="F596" s="32"/>
      <c r="G596" s="32"/>
    </row>
    <row r="597" ht="15.75" customHeight="1">
      <c r="A597" s="32"/>
      <c r="C597" s="32"/>
      <c r="D597" s="32"/>
      <c r="E597" s="32"/>
      <c r="F597" s="32"/>
      <c r="G597" s="32"/>
    </row>
    <row r="598" ht="15.75" customHeight="1">
      <c r="A598" s="32"/>
      <c r="C598" s="32"/>
      <c r="D598" s="32"/>
      <c r="E598" s="32"/>
      <c r="F598" s="32"/>
      <c r="G598" s="32"/>
    </row>
    <row r="599" ht="15.75" customHeight="1">
      <c r="A599" s="32"/>
      <c r="C599" s="32"/>
      <c r="D599" s="32"/>
      <c r="E599" s="32"/>
      <c r="F599" s="32"/>
      <c r="G599" s="32"/>
    </row>
    <row r="600" ht="15.75" customHeight="1">
      <c r="A600" s="32"/>
      <c r="C600" s="32"/>
      <c r="D600" s="32"/>
      <c r="E600" s="32"/>
      <c r="F600" s="32"/>
      <c r="G600" s="32"/>
    </row>
    <row r="601" ht="15.75" customHeight="1">
      <c r="A601" s="32"/>
      <c r="C601" s="32"/>
      <c r="D601" s="32"/>
      <c r="E601" s="32"/>
      <c r="F601" s="32"/>
      <c r="G601" s="32"/>
    </row>
    <row r="602" ht="15.75" customHeight="1">
      <c r="A602" s="32"/>
      <c r="C602" s="32"/>
      <c r="D602" s="32"/>
      <c r="E602" s="32"/>
      <c r="F602" s="32"/>
      <c r="G602" s="32"/>
    </row>
    <row r="603" ht="15.75" customHeight="1">
      <c r="A603" s="32"/>
      <c r="C603" s="32"/>
      <c r="D603" s="32"/>
      <c r="E603" s="32"/>
      <c r="F603" s="32"/>
      <c r="G603" s="32"/>
    </row>
    <row r="604" ht="15.75" customHeight="1">
      <c r="A604" s="32"/>
      <c r="C604" s="32"/>
      <c r="D604" s="32"/>
      <c r="E604" s="32"/>
      <c r="F604" s="32"/>
      <c r="G604" s="32"/>
    </row>
    <row r="605" ht="15.75" customHeight="1">
      <c r="A605" s="32"/>
      <c r="C605" s="32"/>
      <c r="D605" s="32"/>
      <c r="E605" s="32"/>
      <c r="F605" s="32"/>
      <c r="G605" s="32"/>
    </row>
    <row r="606" ht="15.75" customHeight="1">
      <c r="A606" s="32"/>
      <c r="C606" s="32"/>
      <c r="D606" s="32"/>
      <c r="E606" s="32"/>
      <c r="F606" s="32"/>
      <c r="G606" s="32"/>
    </row>
    <row r="607" ht="15.75" customHeight="1">
      <c r="A607" s="32"/>
      <c r="C607" s="32"/>
      <c r="D607" s="32"/>
      <c r="E607" s="32"/>
      <c r="F607" s="32"/>
      <c r="G607" s="32"/>
    </row>
    <row r="608" ht="15.75" customHeight="1">
      <c r="A608" s="32"/>
      <c r="C608" s="32"/>
      <c r="D608" s="32"/>
      <c r="E608" s="32"/>
      <c r="F608" s="32"/>
      <c r="G608" s="32"/>
    </row>
    <row r="609" ht="15.75" customHeight="1">
      <c r="A609" s="32"/>
      <c r="C609" s="32"/>
      <c r="D609" s="32"/>
      <c r="E609" s="32"/>
      <c r="F609" s="32"/>
      <c r="G609" s="32"/>
    </row>
    <row r="610" ht="15.75" customHeight="1">
      <c r="A610" s="32"/>
      <c r="C610" s="32"/>
      <c r="D610" s="32"/>
      <c r="E610" s="32"/>
      <c r="F610" s="32"/>
      <c r="G610" s="32"/>
    </row>
    <row r="611" ht="15.75" customHeight="1">
      <c r="A611" s="32"/>
      <c r="C611" s="32"/>
      <c r="D611" s="32"/>
      <c r="E611" s="32"/>
      <c r="F611" s="32"/>
      <c r="G611" s="32"/>
    </row>
    <row r="612" ht="15.75" customHeight="1">
      <c r="A612" s="32"/>
      <c r="C612" s="32"/>
      <c r="D612" s="32"/>
      <c r="E612" s="32"/>
      <c r="F612" s="32"/>
      <c r="G612" s="32"/>
    </row>
    <row r="613" ht="15.75" customHeight="1">
      <c r="A613" s="32"/>
      <c r="C613" s="32"/>
      <c r="D613" s="32"/>
      <c r="E613" s="32"/>
      <c r="F613" s="32"/>
      <c r="G613" s="32"/>
    </row>
    <row r="614" ht="15.75" customHeight="1">
      <c r="A614" s="32"/>
      <c r="C614" s="32"/>
      <c r="D614" s="32"/>
      <c r="E614" s="32"/>
      <c r="F614" s="32"/>
      <c r="G614" s="32"/>
    </row>
    <row r="615" ht="15.75" customHeight="1">
      <c r="A615" s="32"/>
      <c r="C615" s="32"/>
      <c r="D615" s="32"/>
      <c r="E615" s="32"/>
      <c r="F615" s="32"/>
      <c r="G615" s="32"/>
    </row>
    <row r="616" ht="15.75" customHeight="1">
      <c r="A616" s="32"/>
      <c r="C616" s="32"/>
      <c r="D616" s="32"/>
      <c r="E616" s="32"/>
      <c r="F616" s="32"/>
      <c r="G616" s="32"/>
    </row>
    <row r="617" ht="15.75" customHeight="1">
      <c r="A617" s="32"/>
      <c r="C617" s="32"/>
      <c r="D617" s="32"/>
      <c r="E617" s="32"/>
      <c r="F617" s="32"/>
      <c r="G617" s="32"/>
    </row>
    <row r="618" ht="15.75" customHeight="1">
      <c r="A618" s="32"/>
      <c r="C618" s="32"/>
      <c r="D618" s="32"/>
      <c r="E618" s="32"/>
      <c r="F618" s="32"/>
      <c r="G618" s="32"/>
    </row>
    <row r="619" ht="15.75" customHeight="1">
      <c r="A619" s="32"/>
      <c r="C619" s="32"/>
      <c r="D619" s="32"/>
      <c r="E619" s="32"/>
      <c r="F619" s="32"/>
      <c r="G619" s="32"/>
    </row>
    <row r="620" ht="15.75" customHeight="1">
      <c r="A620" s="32"/>
      <c r="C620" s="32"/>
      <c r="D620" s="32"/>
      <c r="E620" s="32"/>
      <c r="F620" s="32"/>
      <c r="G620" s="32"/>
    </row>
    <row r="621" ht="15.75" customHeight="1">
      <c r="A621" s="32"/>
      <c r="C621" s="32"/>
      <c r="D621" s="32"/>
      <c r="E621" s="32"/>
      <c r="F621" s="32"/>
      <c r="G621" s="32"/>
    </row>
    <row r="622" ht="15.75" customHeight="1">
      <c r="A622" s="32"/>
      <c r="C622" s="32"/>
      <c r="D622" s="32"/>
      <c r="E622" s="32"/>
      <c r="F622" s="32"/>
      <c r="G622" s="32"/>
    </row>
    <row r="623" ht="15.75" customHeight="1">
      <c r="A623" s="32"/>
      <c r="C623" s="32"/>
      <c r="D623" s="32"/>
      <c r="E623" s="32"/>
      <c r="F623" s="32"/>
      <c r="G623" s="32"/>
    </row>
    <row r="624" ht="15.75" customHeight="1">
      <c r="A624" s="32"/>
      <c r="C624" s="32"/>
      <c r="D624" s="32"/>
      <c r="E624" s="32"/>
      <c r="F624" s="32"/>
      <c r="G624" s="32"/>
    </row>
    <row r="625" ht="15.75" customHeight="1">
      <c r="A625" s="32"/>
      <c r="C625" s="32"/>
      <c r="D625" s="32"/>
      <c r="E625" s="32"/>
      <c r="F625" s="32"/>
      <c r="G625" s="32"/>
    </row>
    <row r="626" ht="15.75" customHeight="1">
      <c r="A626" s="32"/>
      <c r="C626" s="32"/>
      <c r="D626" s="32"/>
      <c r="E626" s="32"/>
      <c r="F626" s="32"/>
      <c r="G626" s="32"/>
    </row>
    <row r="627" ht="15.75" customHeight="1">
      <c r="A627" s="32"/>
      <c r="C627" s="32"/>
      <c r="D627" s="32"/>
      <c r="E627" s="32"/>
      <c r="F627" s="32"/>
      <c r="G627" s="32"/>
    </row>
    <row r="628" ht="15.75" customHeight="1">
      <c r="A628" s="32"/>
      <c r="C628" s="32"/>
      <c r="D628" s="32"/>
      <c r="E628" s="32"/>
      <c r="F628" s="32"/>
      <c r="G628" s="32"/>
    </row>
    <row r="629" ht="15.75" customHeight="1">
      <c r="A629" s="32"/>
      <c r="C629" s="32"/>
      <c r="D629" s="32"/>
      <c r="E629" s="32"/>
      <c r="F629" s="32"/>
      <c r="G629" s="32"/>
    </row>
    <row r="630" ht="15.75" customHeight="1">
      <c r="A630" s="32"/>
      <c r="C630" s="32"/>
      <c r="D630" s="32"/>
      <c r="E630" s="32"/>
      <c r="F630" s="32"/>
      <c r="G630" s="32"/>
    </row>
    <row r="631" ht="15.75" customHeight="1">
      <c r="A631" s="32"/>
      <c r="C631" s="32"/>
      <c r="D631" s="32"/>
      <c r="E631" s="32"/>
      <c r="F631" s="32"/>
      <c r="G631" s="32"/>
    </row>
    <row r="632" ht="15.75" customHeight="1">
      <c r="A632" s="32"/>
      <c r="C632" s="32"/>
      <c r="D632" s="32"/>
      <c r="E632" s="32"/>
      <c r="F632" s="32"/>
      <c r="G632" s="32"/>
    </row>
    <row r="633" ht="15.75" customHeight="1">
      <c r="A633" s="32"/>
      <c r="C633" s="32"/>
      <c r="D633" s="32"/>
      <c r="E633" s="32"/>
      <c r="F633" s="32"/>
      <c r="G633" s="32"/>
    </row>
    <row r="634" ht="15.75" customHeight="1">
      <c r="A634" s="32"/>
      <c r="C634" s="32"/>
      <c r="D634" s="32"/>
      <c r="E634" s="32"/>
      <c r="F634" s="32"/>
      <c r="G634" s="32"/>
    </row>
    <row r="635" ht="15.75" customHeight="1">
      <c r="A635" s="32"/>
      <c r="C635" s="32"/>
      <c r="D635" s="32"/>
      <c r="E635" s="32"/>
      <c r="F635" s="32"/>
      <c r="G635" s="32"/>
    </row>
    <row r="636" ht="15.75" customHeight="1">
      <c r="A636" s="32"/>
      <c r="C636" s="32"/>
      <c r="D636" s="32"/>
      <c r="E636" s="32"/>
      <c r="F636" s="32"/>
      <c r="G636" s="32"/>
    </row>
    <row r="637" ht="15.75" customHeight="1">
      <c r="A637" s="32"/>
      <c r="C637" s="32"/>
      <c r="D637" s="32"/>
      <c r="E637" s="32"/>
      <c r="F637" s="32"/>
      <c r="G637" s="32"/>
    </row>
    <row r="638" ht="15.75" customHeight="1">
      <c r="A638" s="32"/>
      <c r="C638" s="32"/>
      <c r="D638" s="32"/>
      <c r="E638" s="32"/>
      <c r="F638" s="32"/>
      <c r="G638" s="32"/>
    </row>
    <row r="639" ht="15.75" customHeight="1">
      <c r="A639" s="32"/>
      <c r="C639" s="32"/>
      <c r="D639" s="32"/>
      <c r="E639" s="32"/>
      <c r="F639" s="32"/>
      <c r="G639" s="32"/>
    </row>
    <row r="640" ht="15.75" customHeight="1">
      <c r="A640" s="32"/>
      <c r="C640" s="32"/>
      <c r="D640" s="32"/>
      <c r="E640" s="32"/>
      <c r="F640" s="32"/>
      <c r="G640" s="32"/>
    </row>
    <row r="641" ht="15.75" customHeight="1">
      <c r="A641" s="32"/>
      <c r="C641" s="32"/>
      <c r="D641" s="32"/>
      <c r="E641" s="32"/>
      <c r="F641" s="32"/>
      <c r="G641" s="32"/>
    </row>
    <row r="642" ht="15.75" customHeight="1">
      <c r="A642" s="32"/>
      <c r="C642" s="32"/>
      <c r="D642" s="32"/>
      <c r="E642" s="32"/>
      <c r="F642" s="32"/>
      <c r="G642" s="32"/>
    </row>
    <row r="643" ht="15.75" customHeight="1">
      <c r="A643" s="32"/>
      <c r="C643" s="32"/>
      <c r="D643" s="32"/>
      <c r="E643" s="32"/>
      <c r="F643" s="32"/>
      <c r="G643" s="32"/>
    </row>
    <row r="644" ht="15.75" customHeight="1">
      <c r="A644" s="32"/>
      <c r="C644" s="32"/>
      <c r="D644" s="32"/>
      <c r="E644" s="32"/>
      <c r="F644" s="32"/>
      <c r="G644" s="32"/>
    </row>
    <row r="645" ht="15.75" customHeight="1">
      <c r="A645" s="32"/>
      <c r="C645" s="32"/>
      <c r="D645" s="32"/>
      <c r="E645" s="32"/>
      <c r="F645" s="32"/>
      <c r="G645" s="32"/>
    </row>
    <row r="646" ht="15.75" customHeight="1">
      <c r="A646" s="32"/>
      <c r="C646" s="32"/>
      <c r="D646" s="32"/>
      <c r="E646" s="32"/>
      <c r="F646" s="32"/>
      <c r="G646" s="32"/>
    </row>
    <row r="647" ht="15.75" customHeight="1">
      <c r="A647" s="32"/>
      <c r="C647" s="32"/>
      <c r="D647" s="32"/>
      <c r="E647" s="32"/>
      <c r="F647" s="32"/>
      <c r="G647" s="32"/>
    </row>
    <row r="648" ht="15.75" customHeight="1">
      <c r="A648" s="32"/>
      <c r="C648" s="32"/>
      <c r="D648" s="32"/>
      <c r="E648" s="32"/>
      <c r="F648" s="32"/>
      <c r="G648" s="32"/>
    </row>
    <row r="649" ht="15.75" customHeight="1">
      <c r="A649" s="32"/>
      <c r="C649" s="32"/>
      <c r="D649" s="32"/>
      <c r="E649" s="32"/>
      <c r="F649" s="32"/>
      <c r="G649" s="32"/>
    </row>
    <row r="650" ht="15.75" customHeight="1">
      <c r="A650" s="32"/>
      <c r="C650" s="32"/>
      <c r="D650" s="32"/>
      <c r="E650" s="32"/>
      <c r="F650" s="32"/>
      <c r="G650" s="32"/>
    </row>
    <row r="651" ht="15.75" customHeight="1">
      <c r="A651" s="32"/>
      <c r="C651" s="32"/>
      <c r="D651" s="32"/>
      <c r="E651" s="32"/>
      <c r="F651" s="32"/>
      <c r="G651" s="32"/>
    </row>
    <row r="652" ht="15.75" customHeight="1">
      <c r="A652" s="32"/>
      <c r="C652" s="32"/>
      <c r="D652" s="32"/>
      <c r="E652" s="32"/>
      <c r="F652" s="32"/>
      <c r="G652" s="32"/>
    </row>
    <row r="653" ht="15.75" customHeight="1">
      <c r="A653" s="32"/>
      <c r="C653" s="32"/>
      <c r="D653" s="32"/>
      <c r="E653" s="32"/>
      <c r="F653" s="32"/>
      <c r="G653" s="32"/>
    </row>
    <row r="654" ht="15.75" customHeight="1">
      <c r="A654" s="32"/>
      <c r="C654" s="32"/>
      <c r="D654" s="32"/>
      <c r="E654" s="32"/>
      <c r="F654" s="32"/>
      <c r="G654" s="32"/>
    </row>
    <row r="655" ht="15.75" customHeight="1">
      <c r="A655" s="32"/>
      <c r="C655" s="32"/>
      <c r="D655" s="32"/>
      <c r="E655" s="32"/>
      <c r="F655" s="32"/>
      <c r="G655" s="32"/>
    </row>
    <row r="656" ht="15.75" customHeight="1">
      <c r="A656" s="32"/>
      <c r="C656" s="32"/>
      <c r="D656" s="32"/>
      <c r="E656" s="32"/>
      <c r="F656" s="32"/>
      <c r="G656" s="32"/>
    </row>
    <row r="657" ht="15.75" customHeight="1">
      <c r="A657" s="32"/>
      <c r="C657" s="32"/>
      <c r="D657" s="32"/>
      <c r="E657" s="32"/>
      <c r="F657" s="32"/>
      <c r="G657" s="32"/>
    </row>
    <row r="658" ht="15.75" customHeight="1">
      <c r="A658" s="32"/>
      <c r="C658" s="32"/>
      <c r="D658" s="32"/>
      <c r="E658" s="32"/>
      <c r="F658" s="32"/>
      <c r="G658" s="32"/>
    </row>
    <row r="659" ht="15.75" customHeight="1">
      <c r="A659" s="32"/>
      <c r="C659" s="32"/>
      <c r="D659" s="32"/>
      <c r="E659" s="32"/>
      <c r="F659" s="32"/>
      <c r="G659" s="32"/>
    </row>
    <row r="660" ht="15.75" customHeight="1">
      <c r="A660" s="32"/>
      <c r="C660" s="32"/>
      <c r="D660" s="32"/>
      <c r="E660" s="32"/>
      <c r="F660" s="32"/>
      <c r="G660" s="32"/>
    </row>
    <row r="661" ht="15.75" customHeight="1">
      <c r="A661" s="32"/>
      <c r="C661" s="32"/>
      <c r="D661" s="32"/>
      <c r="E661" s="32"/>
      <c r="F661" s="32"/>
      <c r="G661" s="32"/>
    </row>
    <row r="662" ht="15.75" customHeight="1">
      <c r="A662" s="32"/>
      <c r="C662" s="32"/>
      <c r="D662" s="32"/>
      <c r="E662" s="32"/>
      <c r="F662" s="32"/>
      <c r="G662" s="32"/>
    </row>
    <row r="663" ht="15.75" customHeight="1">
      <c r="A663" s="32"/>
      <c r="C663" s="32"/>
      <c r="D663" s="32"/>
      <c r="E663" s="32"/>
      <c r="F663" s="32"/>
      <c r="G663" s="32"/>
    </row>
    <row r="664" ht="15.75" customHeight="1">
      <c r="A664" s="32"/>
      <c r="C664" s="32"/>
      <c r="D664" s="32"/>
      <c r="E664" s="32"/>
      <c r="F664" s="32"/>
      <c r="G664" s="32"/>
    </row>
    <row r="665" ht="15.75" customHeight="1">
      <c r="A665" s="32"/>
      <c r="C665" s="32"/>
      <c r="D665" s="32"/>
      <c r="E665" s="32"/>
      <c r="F665" s="32"/>
      <c r="G665" s="32"/>
    </row>
    <row r="666" ht="15.75" customHeight="1">
      <c r="A666" s="32"/>
      <c r="C666" s="32"/>
      <c r="D666" s="32"/>
      <c r="E666" s="32"/>
      <c r="F666" s="32"/>
      <c r="G666" s="32"/>
    </row>
    <row r="667" ht="15.75" customHeight="1">
      <c r="A667" s="32"/>
      <c r="C667" s="32"/>
      <c r="D667" s="32"/>
      <c r="E667" s="32"/>
      <c r="F667" s="32"/>
      <c r="G667" s="32"/>
    </row>
    <row r="668" ht="15.75" customHeight="1">
      <c r="A668" s="32"/>
      <c r="C668" s="32"/>
      <c r="D668" s="32"/>
      <c r="E668" s="32"/>
      <c r="F668" s="32"/>
      <c r="G668" s="32"/>
    </row>
    <row r="669" ht="15.75" customHeight="1">
      <c r="A669" s="32"/>
      <c r="C669" s="32"/>
      <c r="D669" s="32"/>
      <c r="E669" s="32"/>
      <c r="F669" s="32"/>
      <c r="G669" s="32"/>
    </row>
    <row r="670" ht="15.75" customHeight="1">
      <c r="A670" s="32"/>
      <c r="C670" s="32"/>
      <c r="D670" s="32"/>
      <c r="E670" s="32"/>
      <c r="F670" s="32"/>
      <c r="G670" s="32"/>
    </row>
    <row r="671" ht="15.75" customHeight="1">
      <c r="A671" s="32"/>
      <c r="C671" s="32"/>
      <c r="D671" s="32"/>
      <c r="E671" s="32"/>
      <c r="F671" s="32"/>
      <c r="G671" s="32"/>
    </row>
    <row r="672" ht="15.75" customHeight="1">
      <c r="A672" s="32"/>
      <c r="C672" s="32"/>
      <c r="D672" s="32"/>
      <c r="E672" s="32"/>
      <c r="F672" s="32"/>
      <c r="G672" s="32"/>
    </row>
    <row r="673" ht="15.75" customHeight="1">
      <c r="A673" s="32"/>
      <c r="C673" s="32"/>
      <c r="D673" s="32"/>
      <c r="E673" s="32"/>
      <c r="F673" s="32"/>
      <c r="G673" s="32"/>
    </row>
    <row r="674" ht="15.75" customHeight="1">
      <c r="A674" s="32"/>
      <c r="C674" s="32"/>
      <c r="D674" s="32"/>
      <c r="E674" s="32"/>
      <c r="F674" s="32"/>
      <c r="G674" s="32"/>
    </row>
    <row r="675" ht="15.75" customHeight="1">
      <c r="A675" s="32"/>
      <c r="C675" s="32"/>
      <c r="D675" s="32"/>
      <c r="E675" s="32"/>
      <c r="F675" s="32"/>
      <c r="G675" s="32"/>
    </row>
    <row r="676" ht="15.75" customHeight="1">
      <c r="A676" s="32"/>
      <c r="C676" s="32"/>
      <c r="D676" s="32"/>
      <c r="E676" s="32"/>
      <c r="F676" s="32"/>
      <c r="G676" s="32"/>
    </row>
    <row r="677" ht="15.75" customHeight="1">
      <c r="A677" s="32"/>
      <c r="C677" s="32"/>
      <c r="D677" s="32"/>
      <c r="E677" s="32"/>
      <c r="F677" s="32"/>
      <c r="G677" s="32"/>
    </row>
    <row r="678" ht="15.75" customHeight="1">
      <c r="A678" s="32"/>
      <c r="C678" s="32"/>
      <c r="D678" s="32"/>
      <c r="E678" s="32"/>
      <c r="F678" s="32"/>
      <c r="G678" s="32"/>
    </row>
    <row r="679" ht="15.75" customHeight="1">
      <c r="A679" s="32"/>
      <c r="C679" s="32"/>
      <c r="D679" s="32"/>
      <c r="E679" s="32"/>
      <c r="F679" s="32"/>
      <c r="G679" s="32"/>
    </row>
    <row r="680" ht="15.75" customHeight="1">
      <c r="A680" s="32"/>
      <c r="C680" s="32"/>
      <c r="D680" s="32"/>
      <c r="E680" s="32"/>
      <c r="F680" s="32"/>
      <c r="G680" s="32"/>
    </row>
    <row r="681" ht="15.75" customHeight="1">
      <c r="A681" s="32"/>
      <c r="C681" s="32"/>
      <c r="D681" s="32"/>
      <c r="E681" s="32"/>
      <c r="F681" s="32"/>
      <c r="G681" s="32"/>
    </row>
    <row r="682" ht="15.75" customHeight="1">
      <c r="A682" s="32"/>
      <c r="C682" s="32"/>
      <c r="D682" s="32"/>
      <c r="E682" s="32"/>
      <c r="F682" s="32"/>
      <c r="G682" s="32"/>
    </row>
    <row r="683" ht="15.75" customHeight="1">
      <c r="A683" s="32"/>
      <c r="C683" s="32"/>
      <c r="D683" s="32"/>
      <c r="E683" s="32"/>
      <c r="F683" s="32"/>
      <c r="G683" s="32"/>
    </row>
    <row r="684" ht="15.75" customHeight="1">
      <c r="A684" s="32"/>
      <c r="C684" s="32"/>
      <c r="D684" s="32"/>
      <c r="E684" s="32"/>
      <c r="F684" s="32"/>
      <c r="G684" s="32"/>
    </row>
    <row r="685" ht="15.75" customHeight="1">
      <c r="A685" s="32"/>
      <c r="C685" s="32"/>
      <c r="D685" s="32"/>
      <c r="E685" s="32"/>
      <c r="F685" s="32"/>
      <c r="G685" s="32"/>
    </row>
    <row r="686" ht="15.75" customHeight="1">
      <c r="A686" s="32"/>
      <c r="C686" s="32"/>
      <c r="D686" s="32"/>
      <c r="E686" s="32"/>
      <c r="F686" s="32"/>
      <c r="G686" s="32"/>
    </row>
    <row r="687" ht="15.75" customHeight="1">
      <c r="A687" s="32"/>
      <c r="C687" s="32"/>
      <c r="D687" s="32"/>
      <c r="E687" s="32"/>
      <c r="F687" s="32"/>
      <c r="G687" s="32"/>
    </row>
    <row r="688" ht="15.75" customHeight="1">
      <c r="A688" s="32"/>
      <c r="C688" s="32"/>
      <c r="D688" s="32"/>
      <c r="E688" s="32"/>
      <c r="F688" s="32"/>
      <c r="G688" s="32"/>
    </row>
    <row r="689" ht="15.75" customHeight="1">
      <c r="A689" s="32"/>
      <c r="C689" s="32"/>
      <c r="D689" s="32"/>
      <c r="E689" s="32"/>
      <c r="F689" s="32"/>
      <c r="G689" s="32"/>
    </row>
    <row r="690" ht="15.75" customHeight="1">
      <c r="A690" s="32"/>
      <c r="C690" s="32"/>
      <c r="D690" s="32"/>
      <c r="E690" s="32"/>
      <c r="F690" s="32"/>
      <c r="G690" s="32"/>
    </row>
    <row r="691" ht="15.75" customHeight="1">
      <c r="A691" s="32"/>
      <c r="C691" s="32"/>
      <c r="D691" s="32"/>
      <c r="E691" s="32"/>
      <c r="F691" s="32"/>
      <c r="G691" s="32"/>
    </row>
    <row r="692" ht="15.75" customHeight="1">
      <c r="A692" s="32"/>
      <c r="C692" s="32"/>
      <c r="D692" s="32"/>
      <c r="E692" s="32"/>
      <c r="F692" s="32"/>
      <c r="G692" s="32"/>
    </row>
    <row r="693" ht="15.75" customHeight="1">
      <c r="A693" s="32"/>
      <c r="C693" s="32"/>
      <c r="D693" s="32"/>
      <c r="E693" s="32"/>
      <c r="F693" s="32"/>
      <c r="G693" s="32"/>
    </row>
    <row r="694" ht="15.75" customHeight="1">
      <c r="A694" s="32"/>
      <c r="C694" s="32"/>
      <c r="D694" s="32"/>
      <c r="E694" s="32"/>
      <c r="F694" s="32"/>
      <c r="G694" s="32"/>
    </row>
    <row r="695" ht="15.75" customHeight="1">
      <c r="A695" s="32"/>
      <c r="C695" s="32"/>
      <c r="D695" s="32"/>
      <c r="E695" s="32"/>
      <c r="F695" s="32"/>
      <c r="G695" s="32"/>
    </row>
    <row r="696" ht="15.75" customHeight="1">
      <c r="A696" s="32"/>
      <c r="C696" s="32"/>
      <c r="D696" s="32"/>
      <c r="E696" s="32"/>
      <c r="F696" s="32"/>
      <c r="G696" s="32"/>
    </row>
    <row r="697" ht="15.75" customHeight="1">
      <c r="A697" s="32"/>
      <c r="C697" s="32"/>
      <c r="D697" s="32"/>
      <c r="E697" s="32"/>
      <c r="F697" s="32"/>
      <c r="G697" s="32"/>
    </row>
    <row r="698" ht="15.75" customHeight="1">
      <c r="A698" s="32"/>
      <c r="C698" s="32"/>
      <c r="D698" s="32"/>
      <c r="E698" s="32"/>
      <c r="F698" s="32"/>
      <c r="G698" s="32"/>
    </row>
    <row r="699" ht="15.75" customHeight="1">
      <c r="A699" s="32"/>
      <c r="C699" s="32"/>
      <c r="D699" s="32"/>
      <c r="E699" s="32"/>
      <c r="F699" s="32"/>
      <c r="G699" s="32"/>
    </row>
    <row r="700" ht="15.75" customHeight="1">
      <c r="A700" s="32"/>
      <c r="C700" s="32"/>
      <c r="D700" s="32"/>
      <c r="E700" s="32"/>
      <c r="F700" s="32"/>
      <c r="G700" s="32"/>
    </row>
    <row r="701" ht="15.75" customHeight="1">
      <c r="A701" s="32"/>
      <c r="C701" s="32"/>
      <c r="D701" s="32"/>
      <c r="E701" s="32"/>
      <c r="F701" s="32"/>
      <c r="G701" s="32"/>
    </row>
    <row r="702" ht="15.75" customHeight="1">
      <c r="A702" s="32"/>
      <c r="C702" s="32"/>
      <c r="D702" s="32"/>
      <c r="E702" s="32"/>
      <c r="F702" s="32"/>
      <c r="G702" s="32"/>
    </row>
    <row r="703" ht="15.75" customHeight="1">
      <c r="A703" s="32"/>
      <c r="C703" s="32"/>
      <c r="D703" s="32"/>
      <c r="E703" s="32"/>
      <c r="F703" s="32"/>
      <c r="G703" s="32"/>
    </row>
    <row r="704" ht="15.75" customHeight="1">
      <c r="A704" s="32"/>
      <c r="C704" s="32"/>
      <c r="D704" s="32"/>
      <c r="E704" s="32"/>
      <c r="F704" s="32"/>
      <c r="G704" s="32"/>
    </row>
    <row r="705" ht="15.75" customHeight="1">
      <c r="A705" s="32"/>
      <c r="C705" s="32"/>
      <c r="D705" s="32"/>
      <c r="E705" s="32"/>
      <c r="F705" s="32"/>
      <c r="G705" s="32"/>
    </row>
    <row r="706" ht="15.75" customHeight="1">
      <c r="A706" s="32"/>
      <c r="C706" s="32"/>
      <c r="D706" s="32"/>
      <c r="E706" s="32"/>
      <c r="F706" s="32"/>
      <c r="G706" s="32"/>
    </row>
    <row r="707" ht="15.75" customHeight="1">
      <c r="A707" s="32"/>
      <c r="C707" s="32"/>
      <c r="D707" s="32"/>
      <c r="E707" s="32"/>
      <c r="F707" s="32"/>
      <c r="G707" s="32"/>
    </row>
    <row r="708" ht="15.75" customHeight="1">
      <c r="A708" s="32"/>
      <c r="C708" s="32"/>
      <c r="D708" s="32"/>
      <c r="E708" s="32"/>
      <c r="F708" s="32"/>
      <c r="G708" s="32"/>
    </row>
    <row r="709" ht="15.75" customHeight="1">
      <c r="A709" s="32"/>
      <c r="C709" s="32"/>
      <c r="D709" s="32"/>
      <c r="E709" s="32"/>
      <c r="F709" s="32"/>
      <c r="G709" s="32"/>
    </row>
    <row r="710" ht="15.75" customHeight="1">
      <c r="A710" s="32"/>
      <c r="C710" s="32"/>
      <c r="D710" s="32"/>
      <c r="E710" s="32"/>
      <c r="F710" s="32"/>
      <c r="G710" s="32"/>
    </row>
    <row r="711" ht="15.75" customHeight="1">
      <c r="A711" s="32"/>
      <c r="C711" s="32"/>
      <c r="D711" s="32"/>
      <c r="E711" s="32"/>
      <c r="F711" s="32"/>
      <c r="G711" s="32"/>
    </row>
    <row r="712" ht="15.75" customHeight="1">
      <c r="A712" s="32"/>
      <c r="C712" s="32"/>
      <c r="D712" s="32"/>
      <c r="E712" s="32"/>
      <c r="F712" s="32"/>
      <c r="G712" s="32"/>
    </row>
    <row r="713" ht="15.75" customHeight="1">
      <c r="A713" s="32"/>
      <c r="C713" s="32"/>
      <c r="D713" s="32"/>
      <c r="E713" s="32"/>
      <c r="F713" s="32"/>
      <c r="G713" s="32"/>
    </row>
    <row r="714" ht="15.75" customHeight="1">
      <c r="A714" s="32"/>
      <c r="C714" s="32"/>
      <c r="D714" s="32"/>
      <c r="E714" s="32"/>
      <c r="F714" s="32"/>
      <c r="G714" s="32"/>
    </row>
    <row r="715" ht="15.75" customHeight="1">
      <c r="A715" s="32"/>
      <c r="C715" s="32"/>
      <c r="D715" s="32"/>
      <c r="E715" s="32"/>
      <c r="F715" s="32"/>
      <c r="G715" s="32"/>
    </row>
    <row r="716" ht="15.75" customHeight="1">
      <c r="A716" s="32"/>
      <c r="C716" s="32"/>
      <c r="D716" s="32"/>
      <c r="E716" s="32"/>
      <c r="F716" s="32"/>
      <c r="G716" s="32"/>
    </row>
    <row r="717" ht="15.75" customHeight="1">
      <c r="A717" s="32"/>
      <c r="C717" s="32"/>
      <c r="D717" s="32"/>
      <c r="E717" s="32"/>
      <c r="F717" s="32"/>
      <c r="G717" s="32"/>
    </row>
    <row r="718" ht="15.75" customHeight="1">
      <c r="A718" s="32"/>
      <c r="C718" s="32"/>
      <c r="D718" s="32"/>
      <c r="E718" s="32"/>
      <c r="F718" s="32"/>
      <c r="G718" s="32"/>
    </row>
    <row r="719" ht="15.75" customHeight="1">
      <c r="A719" s="32"/>
      <c r="C719" s="32"/>
      <c r="D719" s="32"/>
      <c r="E719" s="32"/>
      <c r="F719" s="32"/>
      <c r="G719" s="32"/>
    </row>
    <row r="720" ht="15.75" customHeight="1">
      <c r="A720" s="32"/>
      <c r="C720" s="32"/>
      <c r="D720" s="32"/>
      <c r="E720" s="32"/>
      <c r="F720" s="32"/>
      <c r="G720" s="32"/>
    </row>
    <row r="721" ht="15.75" customHeight="1">
      <c r="A721" s="32"/>
      <c r="C721" s="32"/>
      <c r="D721" s="32"/>
      <c r="E721" s="32"/>
      <c r="F721" s="32"/>
      <c r="G721" s="32"/>
    </row>
    <row r="722" ht="15.75" customHeight="1">
      <c r="A722" s="32"/>
      <c r="C722" s="32"/>
      <c r="D722" s="32"/>
      <c r="E722" s="32"/>
      <c r="F722" s="32"/>
      <c r="G722" s="32"/>
    </row>
    <row r="723" ht="15.75" customHeight="1">
      <c r="A723" s="32"/>
      <c r="C723" s="32"/>
      <c r="D723" s="32"/>
      <c r="E723" s="32"/>
      <c r="F723" s="32"/>
      <c r="G723" s="32"/>
    </row>
    <row r="724" ht="15.75" customHeight="1">
      <c r="A724" s="32"/>
      <c r="C724" s="32"/>
      <c r="D724" s="32"/>
      <c r="E724" s="32"/>
      <c r="F724" s="32"/>
      <c r="G724" s="32"/>
    </row>
    <row r="725" ht="15.75" customHeight="1">
      <c r="A725" s="32"/>
      <c r="C725" s="32"/>
      <c r="D725" s="32"/>
      <c r="E725" s="32"/>
      <c r="F725" s="32"/>
      <c r="G725" s="32"/>
    </row>
    <row r="726" ht="15.75" customHeight="1">
      <c r="A726" s="32"/>
      <c r="C726" s="32"/>
      <c r="D726" s="32"/>
      <c r="E726" s="32"/>
      <c r="F726" s="32"/>
      <c r="G726" s="32"/>
    </row>
    <row r="727" ht="15.75" customHeight="1">
      <c r="A727" s="32"/>
      <c r="C727" s="32"/>
      <c r="D727" s="32"/>
      <c r="E727" s="32"/>
      <c r="F727" s="32"/>
      <c r="G727" s="32"/>
    </row>
    <row r="728" ht="15.75" customHeight="1">
      <c r="A728" s="32"/>
      <c r="C728" s="32"/>
      <c r="D728" s="32"/>
      <c r="E728" s="32"/>
      <c r="F728" s="32"/>
      <c r="G728" s="32"/>
    </row>
    <row r="729" ht="15.75" customHeight="1">
      <c r="A729" s="32"/>
      <c r="C729" s="32"/>
      <c r="D729" s="32"/>
      <c r="E729" s="32"/>
      <c r="F729" s="32"/>
      <c r="G729" s="32"/>
    </row>
    <row r="730" ht="15.75" customHeight="1">
      <c r="A730" s="32"/>
      <c r="C730" s="32"/>
      <c r="D730" s="32"/>
      <c r="E730" s="32"/>
      <c r="F730" s="32"/>
      <c r="G730" s="32"/>
    </row>
    <row r="731" ht="15.75" customHeight="1">
      <c r="A731" s="32"/>
      <c r="C731" s="32"/>
      <c r="D731" s="32"/>
      <c r="E731" s="32"/>
      <c r="F731" s="32"/>
      <c r="G731" s="32"/>
    </row>
    <row r="732" ht="15.75" customHeight="1">
      <c r="A732" s="32"/>
      <c r="C732" s="32"/>
      <c r="D732" s="32"/>
      <c r="E732" s="32"/>
      <c r="F732" s="32"/>
      <c r="G732" s="32"/>
    </row>
    <row r="733" ht="15.75" customHeight="1">
      <c r="A733" s="32"/>
      <c r="C733" s="32"/>
      <c r="D733" s="32"/>
      <c r="E733" s="32"/>
      <c r="F733" s="32"/>
      <c r="G733" s="32"/>
    </row>
    <row r="734" ht="15.75" customHeight="1">
      <c r="A734" s="32"/>
      <c r="C734" s="32"/>
      <c r="D734" s="32"/>
      <c r="E734" s="32"/>
      <c r="F734" s="32"/>
      <c r="G734" s="32"/>
    </row>
    <row r="735" ht="15.75" customHeight="1">
      <c r="A735" s="32"/>
      <c r="C735" s="32"/>
      <c r="D735" s="32"/>
      <c r="E735" s="32"/>
      <c r="F735" s="32"/>
      <c r="G735" s="32"/>
    </row>
    <row r="736" ht="15.75" customHeight="1">
      <c r="A736" s="32"/>
      <c r="C736" s="32"/>
      <c r="D736" s="32"/>
      <c r="E736" s="32"/>
      <c r="F736" s="32"/>
      <c r="G736" s="32"/>
    </row>
    <row r="737" ht="15.75" customHeight="1">
      <c r="A737" s="32"/>
      <c r="C737" s="32"/>
      <c r="D737" s="32"/>
      <c r="E737" s="32"/>
      <c r="F737" s="32"/>
      <c r="G737" s="32"/>
    </row>
    <row r="738" ht="15.75" customHeight="1">
      <c r="A738" s="32"/>
      <c r="C738" s="32"/>
      <c r="D738" s="32"/>
      <c r="E738" s="32"/>
      <c r="F738" s="32"/>
      <c r="G738" s="32"/>
    </row>
    <row r="739" ht="15.75" customHeight="1">
      <c r="A739" s="32"/>
      <c r="C739" s="32"/>
      <c r="D739" s="32"/>
      <c r="E739" s="32"/>
      <c r="F739" s="32"/>
      <c r="G739" s="32"/>
    </row>
    <row r="740" ht="15.75" customHeight="1">
      <c r="A740" s="32"/>
      <c r="C740" s="32"/>
      <c r="D740" s="32"/>
      <c r="E740" s="32"/>
      <c r="F740" s="32"/>
      <c r="G740" s="32"/>
    </row>
    <row r="741" ht="15.75" customHeight="1">
      <c r="A741" s="32"/>
      <c r="C741" s="32"/>
      <c r="D741" s="32"/>
      <c r="E741" s="32"/>
      <c r="F741" s="32"/>
      <c r="G741" s="32"/>
    </row>
    <row r="742" ht="15.75" customHeight="1">
      <c r="A742" s="32"/>
      <c r="C742" s="32"/>
      <c r="D742" s="32"/>
      <c r="E742" s="32"/>
      <c r="F742" s="32"/>
      <c r="G742" s="32"/>
    </row>
    <row r="743" ht="15.75" customHeight="1">
      <c r="A743" s="32"/>
      <c r="C743" s="32"/>
      <c r="D743" s="32"/>
      <c r="E743" s="32"/>
      <c r="F743" s="32"/>
      <c r="G743" s="32"/>
    </row>
    <row r="744" ht="15.75" customHeight="1">
      <c r="A744" s="32"/>
      <c r="C744" s="32"/>
      <c r="D744" s="32"/>
      <c r="E744" s="32"/>
      <c r="F744" s="32"/>
      <c r="G744" s="32"/>
    </row>
    <row r="745" ht="15.75" customHeight="1">
      <c r="A745" s="32"/>
      <c r="C745" s="32"/>
      <c r="D745" s="32"/>
      <c r="E745" s="32"/>
      <c r="F745" s="32"/>
      <c r="G745" s="32"/>
    </row>
    <row r="746" ht="15.75" customHeight="1">
      <c r="A746" s="32"/>
      <c r="C746" s="32"/>
      <c r="D746" s="32"/>
      <c r="E746" s="32"/>
      <c r="F746" s="32"/>
      <c r="G746" s="32"/>
    </row>
    <row r="747" ht="15.75" customHeight="1">
      <c r="A747" s="32"/>
      <c r="C747" s="32"/>
      <c r="D747" s="32"/>
      <c r="E747" s="32"/>
      <c r="F747" s="32"/>
      <c r="G747" s="32"/>
    </row>
    <row r="748" ht="15.75" customHeight="1">
      <c r="A748" s="32"/>
      <c r="C748" s="32"/>
      <c r="D748" s="32"/>
      <c r="E748" s="32"/>
      <c r="F748" s="32"/>
      <c r="G748" s="32"/>
    </row>
    <row r="749" ht="15.75" customHeight="1">
      <c r="A749" s="32"/>
      <c r="C749" s="32"/>
      <c r="D749" s="32"/>
      <c r="E749" s="32"/>
      <c r="F749" s="32"/>
      <c r="G749" s="32"/>
    </row>
    <row r="750" ht="15.75" customHeight="1">
      <c r="A750" s="32"/>
      <c r="C750" s="32"/>
      <c r="D750" s="32"/>
      <c r="E750" s="32"/>
      <c r="F750" s="32"/>
      <c r="G750" s="32"/>
    </row>
    <row r="751" ht="15.75" customHeight="1">
      <c r="A751" s="32"/>
      <c r="C751" s="32"/>
      <c r="D751" s="32"/>
      <c r="E751" s="32"/>
      <c r="F751" s="32"/>
      <c r="G751" s="32"/>
    </row>
    <row r="752" ht="15.75" customHeight="1">
      <c r="A752" s="32"/>
      <c r="C752" s="32"/>
      <c r="D752" s="32"/>
      <c r="E752" s="32"/>
      <c r="F752" s="32"/>
      <c r="G752" s="32"/>
    </row>
    <row r="753" ht="15.75" customHeight="1">
      <c r="A753" s="32"/>
      <c r="C753" s="32"/>
      <c r="D753" s="32"/>
      <c r="E753" s="32"/>
      <c r="F753" s="32"/>
      <c r="G753" s="32"/>
    </row>
    <row r="754" ht="15.75" customHeight="1">
      <c r="A754" s="32"/>
      <c r="C754" s="32"/>
      <c r="D754" s="32"/>
      <c r="E754" s="32"/>
      <c r="F754" s="32"/>
      <c r="G754" s="32"/>
    </row>
    <row r="755" ht="15.75" customHeight="1">
      <c r="A755" s="32"/>
      <c r="C755" s="32"/>
      <c r="D755" s="32"/>
      <c r="E755" s="32"/>
      <c r="F755" s="32"/>
      <c r="G755" s="32"/>
    </row>
    <row r="756" ht="15.75" customHeight="1">
      <c r="A756" s="32"/>
      <c r="C756" s="32"/>
      <c r="D756" s="32"/>
      <c r="E756" s="32"/>
      <c r="F756" s="32"/>
      <c r="G756" s="32"/>
    </row>
    <row r="757" ht="15.75" customHeight="1">
      <c r="A757" s="32"/>
      <c r="C757" s="32"/>
      <c r="D757" s="32"/>
      <c r="E757" s="32"/>
      <c r="F757" s="32"/>
      <c r="G757" s="32"/>
    </row>
    <row r="758" ht="15.75" customHeight="1">
      <c r="A758" s="32"/>
      <c r="C758" s="32"/>
      <c r="D758" s="32"/>
      <c r="E758" s="32"/>
      <c r="F758" s="32"/>
      <c r="G758" s="32"/>
    </row>
    <row r="759" ht="15.75" customHeight="1">
      <c r="A759" s="32"/>
      <c r="C759" s="32"/>
      <c r="D759" s="32"/>
      <c r="E759" s="32"/>
      <c r="F759" s="32"/>
      <c r="G759" s="32"/>
    </row>
    <row r="760" ht="15.75" customHeight="1">
      <c r="A760" s="32"/>
      <c r="C760" s="32"/>
      <c r="D760" s="32"/>
      <c r="E760" s="32"/>
      <c r="F760" s="32"/>
      <c r="G760" s="32"/>
    </row>
    <row r="761" ht="15.75" customHeight="1">
      <c r="A761" s="32"/>
      <c r="C761" s="32"/>
      <c r="D761" s="32"/>
      <c r="E761" s="32"/>
      <c r="F761" s="32"/>
      <c r="G761" s="32"/>
    </row>
    <row r="762" ht="15.75" customHeight="1">
      <c r="A762" s="32"/>
      <c r="C762" s="32"/>
      <c r="D762" s="32"/>
      <c r="E762" s="32"/>
      <c r="F762" s="32"/>
      <c r="G762" s="32"/>
    </row>
    <row r="763" ht="15.75" customHeight="1">
      <c r="A763" s="32"/>
      <c r="C763" s="32"/>
      <c r="D763" s="32"/>
      <c r="E763" s="32"/>
      <c r="F763" s="32"/>
      <c r="G763" s="32"/>
    </row>
    <row r="764" ht="15.75" customHeight="1">
      <c r="A764" s="32"/>
      <c r="C764" s="32"/>
      <c r="D764" s="32"/>
      <c r="E764" s="32"/>
      <c r="F764" s="32"/>
      <c r="G764" s="32"/>
    </row>
    <row r="765" ht="15.75" customHeight="1">
      <c r="A765" s="32"/>
      <c r="C765" s="32"/>
      <c r="D765" s="32"/>
      <c r="E765" s="32"/>
      <c r="F765" s="32"/>
      <c r="G765" s="32"/>
    </row>
    <row r="766" ht="15.75" customHeight="1">
      <c r="A766" s="32"/>
      <c r="C766" s="32"/>
      <c r="D766" s="32"/>
      <c r="E766" s="32"/>
      <c r="F766" s="32"/>
      <c r="G766" s="32"/>
    </row>
    <row r="767" ht="15.75" customHeight="1">
      <c r="A767" s="32"/>
      <c r="C767" s="32"/>
      <c r="D767" s="32"/>
      <c r="E767" s="32"/>
      <c r="F767" s="32"/>
      <c r="G767" s="32"/>
    </row>
    <row r="768" ht="15.75" customHeight="1">
      <c r="A768" s="32"/>
      <c r="C768" s="32"/>
      <c r="D768" s="32"/>
      <c r="E768" s="32"/>
      <c r="F768" s="32"/>
      <c r="G768" s="32"/>
    </row>
    <row r="769" ht="15.75" customHeight="1">
      <c r="A769" s="32"/>
      <c r="C769" s="32"/>
      <c r="D769" s="32"/>
      <c r="E769" s="32"/>
      <c r="F769" s="32"/>
      <c r="G769" s="32"/>
    </row>
    <row r="770" ht="15.75" customHeight="1">
      <c r="A770" s="32"/>
      <c r="C770" s="32"/>
      <c r="D770" s="32"/>
      <c r="E770" s="32"/>
      <c r="F770" s="32"/>
      <c r="G770" s="32"/>
    </row>
    <row r="771" ht="15.75" customHeight="1">
      <c r="A771" s="32"/>
      <c r="C771" s="32"/>
      <c r="D771" s="32"/>
      <c r="E771" s="32"/>
      <c r="F771" s="32"/>
      <c r="G771" s="32"/>
    </row>
    <row r="772" ht="15.75" customHeight="1">
      <c r="A772" s="32"/>
      <c r="C772" s="32"/>
      <c r="D772" s="32"/>
      <c r="E772" s="32"/>
      <c r="F772" s="32"/>
      <c r="G772" s="32"/>
    </row>
    <row r="773" ht="15.75" customHeight="1">
      <c r="A773" s="32"/>
      <c r="C773" s="32"/>
      <c r="D773" s="32"/>
      <c r="E773" s="32"/>
      <c r="F773" s="32"/>
      <c r="G773" s="32"/>
    </row>
    <row r="774" ht="15.75" customHeight="1">
      <c r="A774" s="32"/>
      <c r="C774" s="32"/>
      <c r="D774" s="32"/>
      <c r="E774" s="32"/>
      <c r="F774" s="32"/>
      <c r="G774" s="32"/>
    </row>
    <row r="775" ht="15.75" customHeight="1">
      <c r="A775" s="32"/>
      <c r="C775" s="32"/>
      <c r="D775" s="32"/>
      <c r="E775" s="32"/>
      <c r="F775" s="32"/>
      <c r="G775" s="32"/>
    </row>
    <row r="776" ht="15.75" customHeight="1">
      <c r="A776" s="32"/>
      <c r="C776" s="32"/>
      <c r="D776" s="32"/>
      <c r="E776" s="32"/>
      <c r="F776" s="32"/>
      <c r="G776" s="32"/>
    </row>
    <row r="777" ht="15.75" customHeight="1">
      <c r="A777" s="32"/>
      <c r="C777" s="32"/>
      <c r="D777" s="32"/>
      <c r="E777" s="32"/>
      <c r="F777" s="32"/>
      <c r="G777" s="32"/>
    </row>
    <row r="778" ht="15.75" customHeight="1">
      <c r="A778" s="32"/>
      <c r="C778" s="32"/>
      <c r="D778" s="32"/>
      <c r="E778" s="32"/>
      <c r="F778" s="32"/>
      <c r="G778" s="32"/>
    </row>
    <row r="779" ht="15.75" customHeight="1">
      <c r="A779" s="32"/>
      <c r="C779" s="32"/>
      <c r="D779" s="32"/>
      <c r="E779" s="32"/>
      <c r="F779" s="32"/>
      <c r="G779" s="32"/>
    </row>
    <row r="780" ht="15.75" customHeight="1">
      <c r="A780" s="32"/>
      <c r="C780" s="32"/>
      <c r="D780" s="32"/>
      <c r="E780" s="32"/>
      <c r="F780" s="32"/>
      <c r="G780" s="32"/>
    </row>
    <row r="781" ht="15.75" customHeight="1">
      <c r="A781" s="32"/>
      <c r="C781" s="32"/>
      <c r="D781" s="32"/>
      <c r="E781" s="32"/>
      <c r="F781" s="32"/>
      <c r="G781" s="32"/>
    </row>
    <row r="782" ht="15.75" customHeight="1">
      <c r="A782" s="32"/>
      <c r="C782" s="32"/>
      <c r="D782" s="32"/>
      <c r="E782" s="32"/>
      <c r="F782" s="32"/>
      <c r="G782" s="32"/>
    </row>
    <row r="783" ht="15.75" customHeight="1">
      <c r="A783" s="32"/>
      <c r="C783" s="32"/>
      <c r="D783" s="32"/>
      <c r="E783" s="32"/>
      <c r="F783" s="32"/>
      <c r="G783" s="32"/>
    </row>
    <row r="784" ht="15.75" customHeight="1">
      <c r="A784" s="32"/>
      <c r="C784" s="32"/>
      <c r="D784" s="32"/>
      <c r="E784" s="32"/>
      <c r="F784" s="32"/>
      <c r="G784" s="32"/>
    </row>
    <row r="785" ht="15.75" customHeight="1">
      <c r="A785" s="32"/>
      <c r="C785" s="32"/>
      <c r="D785" s="32"/>
      <c r="E785" s="32"/>
      <c r="F785" s="32"/>
      <c r="G785" s="32"/>
    </row>
    <row r="786" ht="15.75" customHeight="1">
      <c r="A786" s="32"/>
      <c r="C786" s="32"/>
      <c r="D786" s="32"/>
      <c r="E786" s="32"/>
      <c r="F786" s="32"/>
      <c r="G786" s="32"/>
    </row>
    <row r="787" ht="15.75" customHeight="1">
      <c r="A787" s="32"/>
      <c r="C787" s="32"/>
      <c r="D787" s="32"/>
      <c r="E787" s="32"/>
      <c r="F787" s="32"/>
      <c r="G787" s="32"/>
    </row>
    <row r="788" ht="15.75" customHeight="1">
      <c r="A788" s="32"/>
      <c r="C788" s="32"/>
      <c r="D788" s="32"/>
      <c r="E788" s="32"/>
      <c r="F788" s="32"/>
      <c r="G788" s="32"/>
    </row>
    <row r="789" ht="15.75" customHeight="1">
      <c r="A789" s="32"/>
      <c r="C789" s="32"/>
      <c r="D789" s="32"/>
      <c r="E789" s="32"/>
      <c r="F789" s="32"/>
      <c r="G789" s="32"/>
    </row>
    <row r="790" ht="15.75" customHeight="1">
      <c r="A790" s="32"/>
      <c r="C790" s="32"/>
      <c r="D790" s="32"/>
      <c r="E790" s="32"/>
      <c r="F790" s="32"/>
      <c r="G790" s="32"/>
    </row>
    <row r="791" ht="15.75" customHeight="1">
      <c r="A791" s="32"/>
      <c r="C791" s="32"/>
      <c r="D791" s="32"/>
      <c r="E791" s="32"/>
      <c r="F791" s="32"/>
      <c r="G791" s="32"/>
    </row>
    <row r="792" ht="15.75" customHeight="1">
      <c r="A792" s="32"/>
      <c r="C792" s="32"/>
      <c r="D792" s="32"/>
      <c r="E792" s="32"/>
      <c r="F792" s="32"/>
      <c r="G792" s="32"/>
    </row>
    <row r="793" ht="15.75" customHeight="1">
      <c r="A793" s="32"/>
      <c r="C793" s="32"/>
      <c r="D793" s="32"/>
      <c r="E793" s="32"/>
      <c r="F793" s="32"/>
      <c r="G793" s="32"/>
    </row>
    <row r="794" ht="15.75" customHeight="1">
      <c r="A794" s="32"/>
      <c r="C794" s="32"/>
      <c r="D794" s="32"/>
      <c r="E794" s="32"/>
      <c r="F794" s="32"/>
      <c r="G794" s="32"/>
    </row>
    <row r="795" ht="15.75" customHeight="1">
      <c r="A795" s="32"/>
      <c r="C795" s="32"/>
      <c r="D795" s="32"/>
      <c r="E795" s="32"/>
      <c r="F795" s="32"/>
      <c r="G795" s="32"/>
    </row>
    <row r="796" ht="15.75" customHeight="1">
      <c r="A796" s="32"/>
      <c r="C796" s="32"/>
      <c r="D796" s="32"/>
      <c r="E796" s="32"/>
      <c r="F796" s="32"/>
      <c r="G796" s="32"/>
    </row>
    <row r="797" ht="15.75" customHeight="1">
      <c r="A797" s="32"/>
      <c r="C797" s="32"/>
      <c r="D797" s="32"/>
      <c r="E797" s="32"/>
      <c r="F797" s="32"/>
      <c r="G797" s="32"/>
    </row>
    <row r="798" ht="15.75" customHeight="1">
      <c r="A798" s="32"/>
      <c r="C798" s="32"/>
      <c r="D798" s="32"/>
      <c r="E798" s="32"/>
      <c r="F798" s="32"/>
      <c r="G798" s="32"/>
    </row>
    <row r="799" ht="15.75" customHeight="1">
      <c r="A799" s="32"/>
      <c r="C799" s="32"/>
      <c r="D799" s="32"/>
      <c r="E799" s="32"/>
      <c r="F799" s="32"/>
      <c r="G799" s="32"/>
    </row>
    <row r="800" ht="15.75" customHeight="1">
      <c r="A800" s="32"/>
      <c r="C800" s="32"/>
      <c r="D800" s="32"/>
      <c r="E800" s="32"/>
      <c r="F800" s="32"/>
      <c r="G800" s="32"/>
    </row>
    <row r="801" ht="15.75" customHeight="1">
      <c r="A801" s="32"/>
      <c r="C801" s="32"/>
      <c r="D801" s="32"/>
      <c r="E801" s="32"/>
      <c r="F801" s="32"/>
      <c r="G801" s="32"/>
    </row>
    <row r="802" ht="15.75" customHeight="1">
      <c r="A802" s="32"/>
      <c r="C802" s="32"/>
      <c r="D802" s="32"/>
      <c r="E802" s="32"/>
      <c r="F802" s="32"/>
      <c r="G802" s="32"/>
    </row>
    <row r="803" ht="15.75" customHeight="1">
      <c r="A803" s="32"/>
      <c r="C803" s="32"/>
      <c r="D803" s="32"/>
      <c r="E803" s="32"/>
      <c r="F803" s="32"/>
      <c r="G803" s="32"/>
    </row>
    <row r="804" ht="15.75" customHeight="1">
      <c r="A804" s="32"/>
      <c r="C804" s="32"/>
      <c r="D804" s="32"/>
      <c r="E804" s="32"/>
      <c r="F804" s="32"/>
      <c r="G804" s="32"/>
    </row>
    <row r="805" ht="15.75" customHeight="1">
      <c r="A805" s="32"/>
      <c r="C805" s="32"/>
      <c r="D805" s="32"/>
      <c r="E805" s="32"/>
      <c r="F805" s="32"/>
      <c r="G805" s="32"/>
    </row>
    <row r="806" ht="15.75" customHeight="1">
      <c r="A806" s="32"/>
      <c r="C806" s="32"/>
      <c r="D806" s="32"/>
      <c r="E806" s="32"/>
      <c r="F806" s="32"/>
      <c r="G806" s="32"/>
    </row>
    <row r="807" ht="15.75" customHeight="1">
      <c r="A807" s="32"/>
      <c r="C807" s="32"/>
      <c r="D807" s="32"/>
      <c r="E807" s="32"/>
      <c r="F807" s="32"/>
      <c r="G807" s="32"/>
    </row>
    <row r="808" ht="15.75" customHeight="1">
      <c r="A808" s="32"/>
      <c r="C808" s="32"/>
      <c r="D808" s="32"/>
      <c r="E808" s="32"/>
      <c r="F808" s="32"/>
      <c r="G808" s="32"/>
    </row>
    <row r="809" ht="15.75" customHeight="1">
      <c r="A809" s="32"/>
      <c r="C809" s="32"/>
      <c r="D809" s="32"/>
      <c r="E809" s="32"/>
      <c r="F809" s="32"/>
      <c r="G809" s="32"/>
    </row>
    <row r="810" ht="15.75" customHeight="1">
      <c r="A810" s="32"/>
      <c r="C810" s="32"/>
      <c r="D810" s="32"/>
      <c r="E810" s="32"/>
      <c r="F810" s="32"/>
      <c r="G810" s="32"/>
    </row>
    <row r="811" ht="15.75" customHeight="1">
      <c r="A811" s="32"/>
      <c r="C811" s="32"/>
      <c r="D811" s="32"/>
      <c r="E811" s="32"/>
      <c r="F811" s="32"/>
      <c r="G811" s="32"/>
    </row>
    <row r="812" ht="15.75" customHeight="1">
      <c r="A812" s="32"/>
      <c r="C812" s="32"/>
      <c r="D812" s="32"/>
      <c r="E812" s="32"/>
      <c r="F812" s="32"/>
      <c r="G812" s="32"/>
    </row>
    <row r="813" ht="15.75" customHeight="1">
      <c r="A813" s="32"/>
      <c r="C813" s="32"/>
      <c r="D813" s="32"/>
      <c r="E813" s="32"/>
      <c r="F813" s="32"/>
      <c r="G813" s="32"/>
    </row>
    <row r="814" ht="15.75" customHeight="1">
      <c r="A814" s="32"/>
      <c r="C814" s="32"/>
      <c r="D814" s="32"/>
      <c r="E814" s="32"/>
      <c r="F814" s="32"/>
      <c r="G814" s="32"/>
    </row>
    <row r="815" ht="15.75" customHeight="1">
      <c r="A815" s="32"/>
      <c r="C815" s="32"/>
      <c r="D815" s="32"/>
      <c r="E815" s="32"/>
      <c r="F815" s="32"/>
      <c r="G815" s="32"/>
    </row>
    <row r="816" ht="15.75" customHeight="1">
      <c r="A816" s="32"/>
      <c r="C816" s="32"/>
      <c r="D816" s="32"/>
      <c r="E816" s="32"/>
      <c r="F816" s="32"/>
      <c r="G816" s="32"/>
    </row>
    <row r="817" ht="15.75" customHeight="1">
      <c r="A817" s="32"/>
      <c r="C817" s="32"/>
      <c r="D817" s="32"/>
      <c r="E817" s="32"/>
      <c r="F817" s="32"/>
      <c r="G817" s="32"/>
    </row>
    <row r="818" ht="15.75" customHeight="1">
      <c r="A818" s="32"/>
      <c r="C818" s="32"/>
      <c r="D818" s="32"/>
      <c r="E818" s="32"/>
      <c r="F818" s="32"/>
      <c r="G818" s="32"/>
    </row>
    <row r="819" ht="15.75" customHeight="1">
      <c r="A819" s="32"/>
      <c r="C819" s="32"/>
      <c r="D819" s="32"/>
      <c r="E819" s="32"/>
      <c r="F819" s="32"/>
      <c r="G819" s="32"/>
    </row>
    <row r="820" ht="15.75" customHeight="1">
      <c r="A820" s="32"/>
      <c r="C820" s="32"/>
      <c r="D820" s="32"/>
      <c r="E820" s="32"/>
      <c r="F820" s="32"/>
      <c r="G820" s="32"/>
    </row>
    <row r="821" ht="15.75" customHeight="1">
      <c r="A821" s="32"/>
      <c r="C821" s="32"/>
      <c r="D821" s="32"/>
      <c r="E821" s="32"/>
      <c r="F821" s="32"/>
      <c r="G821" s="32"/>
    </row>
    <row r="822" ht="15.75" customHeight="1">
      <c r="A822" s="32"/>
      <c r="C822" s="32"/>
      <c r="D822" s="32"/>
      <c r="E822" s="32"/>
      <c r="F822" s="32"/>
      <c r="G822" s="32"/>
    </row>
    <row r="823" ht="15.75" customHeight="1">
      <c r="A823" s="32"/>
      <c r="C823" s="32"/>
      <c r="D823" s="32"/>
      <c r="E823" s="32"/>
      <c r="F823" s="32"/>
      <c r="G823" s="32"/>
    </row>
    <row r="824" ht="15.75" customHeight="1">
      <c r="A824" s="32"/>
      <c r="C824" s="32"/>
      <c r="D824" s="32"/>
      <c r="E824" s="32"/>
      <c r="F824" s="32"/>
      <c r="G824" s="32"/>
    </row>
    <row r="825" ht="15.75" customHeight="1">
      <c r="A825" s="32"/>
      <c r="C825" s="32"/>
      <c r="D825" s="32"/>
      <c r="E825" s="32"/>
      <c r="F825" s="32"/>
      <c r="G825" s="32"/>
    </row>
    <row r="826" ht="15.75" customHeight="1">
      <c r="A826" s="32"/>
      <c r="C826" s="32"/>
      <c r="D826" s="32"/>
      <c r="E826" s="32"/>
      <c r="F826" s="32"/>
      <c r="G826" s="32"/>
    </row>
    <row r="827" ht="15.75" customHeight="1">
      <c r="A827" s="32"/>
      <c r="C827" s="32"/>
      <c r="D827" s="32"/>
      <c r="E827" s="32"/>
      <c r="F827" s="32"/>
      <c r="G827" s="32"/>
    </row>
    <row r="828" ht="15.75" customHeight="1">
      <c r="A828" s="32"/>
      <c r="C828" s="32"/>
      <c r="D828" s="32"/>
      <c r="E828" s="32"/>
      <c r="F828" s="32"/>
      <c r="G828" s="32"/>
    </row>
    <row r="829" ht="15.75" customHeight="1">
      <c r="A829" s="32"/>
      <c r="C829" s="32"/>
      <c r="D829" s="32"/>
      <c r="E829" s="32"/>
      <c r="F829" s="32"/>
      <c r="G829" s="32"/>
    </row>
    <row r="830" ht="15.75" customHeight="1">
      <c r="A830" s="32"/>
      <c r="C830" s="32"/>
      <c r="D830" s="32"/>
      <c r="E830" s="32"/>
      <c r="F830" s="32"/>
      <c r="G830" s="32"/>
    </row>
    <row r="831" ht="15.75" customHeight="1">
      <c r="A831" s="32"/>
      <c r="C831" s="32"/>
      <c r="D831" s="32"/>
      <c r="E831" s="32"/>
      <c r="F831" s="32"/>
      <c r="G831" s="32"/>
    </row>
    <row r="832" ht="15.75" customHeight="1">
      <c r="A832" s="32"/>
      <c r="C832" s="32"/>
      <c r="D832" s="32"/>
      <c r="E832" s="32"/>
      <c r="F832" s="32"/>
      <c r="G832" s="32"/>
    </row>
    <row r="833" ht="15.75" customHeight="1">
      <c r="A833" s="32"/>
      <c r="C833" s="32"/>
      <c r="D833" s="32"/>
      <c r="E833" s="32"/>
      <c r="F833" s="32"/>
      <c r="G833" s="32"/>
    </row>
    <row r="834" ht="15.75" customHeight="1">
      <c r="A834" s="32"/>
      <c r="C834" s="32"/>
      <c r="D834" s="32"/>
      <c r="E834" s="32"/>
      <c r="F834" s="32"/>
      <c r="G834" s="32"/>
    </row>
    <row r="835" ht="15.75" customHeight="1">
      <c r="A835" s="32"/>
      <c r="C835" s="32"/>
      <c r="D835" s="32"/>
      <c r="E835" s="32"/>
      <c r="F835" s="32"/>
      <c r="G835" s="32"/>
    </row>
    <row r="836" ht="15.75" customHeight="1">
      <c r="A836" s="32"/>
      <c r="C836" s="32"/>
      <c r="D836" s="32"/>
      <c r="E836" s="32"/>
      <c r="F836" s="32"/>
      <c r="G836" s="32"/>
    </row>
    <row r="837" ht="15.75" customHeight="1">
      <c r="A837" s="32"/>
      <c r="C837" s="32"/>
      <c r="D837" s="32"/>
      <c r="E837" s="32"/>
      <c r="F837" s="32"/>
      <c r="G837" s="32"/>
    </row>
    <row r="838" ht="15.75" customHeight="1">
      <c r="A838" s="32"/>
      <c r="C838" s="32"/>
      <c r="D838" s="32"/>
      <c r="E838" s="32"/>
      <c r="F838" s="32"/>
      <c r="G838" s="32"/>
    </row>
    <row r="839" ht="15.75" customHeight="1">
      <c r="A839" s="32"/>
      <c r="C839" s="32"/>
      <c r="D839" s="32"/>
      <c r="E839" s="32"/>
      <c r="F839" s="32"/>
      <c r="G839" s="32"/>
    </row>
    <row r="840" ht="15.75" customHeight="1">
      <c r="A840" s="32"/>
      <c r="C840" s="32"/>
      <c r="D840" s="32"/>
      <c r="E840" s="32"/>
      <c r="F840" s="32"/>
      <c r="G840" s="32"/>
    </row>
    <row r="841" ht="15.75" customHeight="1">
      <c r="A841" s="32"/>
      <c r="C841" s="32"/>
      <c r="D841" s="32"/>
      <c r="E841" s="32"/>
      <c r="F841" s="32"/>
      <c r="G841" s="32"/>
    </row>
    <row r="842" ht="15.75" customHeight="1">
      <c r="A842" s="32"/>
      <c r="C842" s="32"/>
      <c r="D842" s="32"/>
      <c r="E842" s="32"/>
      <c r="F842" s="32"/>
      <c r="G842" s="32"/>
    </row>
    <row r="843" ht="15.75" customHeight="1">
      <c r="A843" s="32"/>
      <c r="C843" s="32"/>
      <c r="D843" s="32"/>
      <c r="E843" s="32"/>
      <c r="F843" s="32"/>
      <c r="G843" s="32"/>
    </row>
    <row r="844" ht="15.75" customHeight="1">
      <c r="A844" s="32"/>
      <c r="C844" s="32"/>
      <c r="D844" s="32"/>
      <c r="E844" s="32"/>
      <c r="F844" s="32"/>
      <c r="G844" s="32"/>
    </row>
    <row r="845" ht="15.75" customHeight="1">
      <c r="A845" s="32"/>
      <c r="C845" s="32"/>
      <c r="D845" s="32"/>
      <c r="E845" s="32"/>
      <c r="F845" s="32"/>
      <c r="G845" s="32"/>
    </row>
    <row r="846" ht="15.75" customHeight="1">
      <c r="A846" s="32"/>
      <c r="C846" s="32"/>
      <c r="D846" s="32"/>
      <c r="E846" s="32"/>
      <c r="F846" s="32"/>
      <c r="G846" s="32"/>
    </row>
    <row r="847" ht="15.75" customHeight="1">
      <c r="A847" s="32"/>
      <c r="C847" s="32"/>
      <c r="D847" s="32"/>
      <c r="E847" s="32"/>
      <c r="F847" s="32"/>
      <c r="G847" s="32"/>
    </row>
    <row r="848" ht="15.75" customHeight="1">
      <c r="A848" s="32"/>
      <c r="C848" s="32"/>
      <c r="D848" s="32"/>
      <c r="E848" s="32"/>
      <c r="F848" s="32"/>
      <c r="G848" s="32"/>
    </row>
    <row r="849" ht="15.75" customHeight="1">
      <c r="A849" s="32"/>
      <c r="C849" s="32"/>
      <c r="D849" s="32"/>
      <c r="E849" s="32"/>
      <c r="F849" s="32"/>
      <c r="G849" s="32"/>
    </row>
    <row r="850" ht="15.75" customHeight="1">
      <c r="A850" s="32"/>
      <c r="C850" s="32"/>
      <c r="D850" s="32"/>
      <c r="E850" s="32"/>
      <c r="F850" s="32"/>
      <c r="G850" s="32"/>
    </row>
    <row r="851" ht="15.75" customHeight="1">
      <c r="A851" s="32"/>
      <c r="C851" s="32"/>
      <c r="D851" s="32"/>
      <c r="E851" s="32"/>
      <c r="F851" s="32"/>
      <c r="G851" s="32"/>
    </row>
    <row r="852" ht="15.75" customHeight="1">
      <c r="A852" s="32"/>
      <c r="C852" s="32"/>
      <c r="D852" s="32"/>
      <c r="E852" s="32"/>
      <c r="F852" s="32"/>
      <c r="G852" s="32"/>
    </row>
    <row r="853" ht="15.75" customHeight="1">
      <c r="A853" s="32"/>
      <c r="C853" s="32"/>
      <c r="D853" s="32"/>
      <c r="E853" s="32"/>
      <c r="F853" s="32"/>
      <c r="G853" s="32"/>
    </row>
    <row r="854" ht="15.75" customHeight="1">
      <c r="A854" s="32"/>
      <c r="C854" s="32"/>
      <c r="D854" s="32"/>
      <c r="E854" s="32"/>
      <c r="F854" s="32"/>
      <c r="G854" s="32"/>
    </row>
    <row r="855" ht="15.75" customHeight="1">
      <c r="A855" s="32"/>
      <c r="C855" s="32"/>
      <c r="D855" s="32"/>
      <c r="E855" s="32"/>
      <c r="F855" s="32"/>
      <c r="G855" s="32"/>
    </row>
    <row r="856" ht="15.75" customHeight="1">
      <c r="A856" s="32"/>
      <c r="C856" s="32"/>
      <c r="D856" s="32"/>
      <c r="E856" s="32"/>
      <c r="F856" s="32"/>
      <c r="G856" s="32"/>
    </row>
    <row r="857" ht="15.75" customHeight="1">
      <c r="A857" s="32"/>
      <c r="C857" s="32"/>
      <c r="D857" s="32"/>
      <c r="E857" s="32"/>
      <c r="F857" s="32"/>
      <c r="G857" s="32"/>
    </row>
    <row r="858" ht="15.75" customHeight="1">
      <c r="A858" s="32"/>
      <c r="C858" s="32"/>
      <c r="D858" s="32"/>
      <c r="E858" s="32"/>
      <c r="F858" s="32"/>
      <c r="G858" s="32"/>
    </row>
    <row r="859" ht="15.75" customHeight="1">
      <c r="A859" s="32"/>
      <c r="C859" s="32"/>
      <c r="D859" s="32"/>
      <c r="E859" s="32"/>
      <c r="F859" s="32"/>
      <c r="G859" s="32"/>
    </row>
    <row r="860" ht="15.75" customHeight="1">
      <c r="A860" s="32"/>
      <c r="C860" s="32"/>
      <c r="D860" s="32"/>
      <c r="E860" s="32"/>
      <c r="F860" s="32"/>
      <c r="G860" s="32"/>
    </row>
    <row r="861" ht="15.75" customHeight="1">
      <c r="A861" s="32"/>
      <c r="C861" s="32"/>
      <c r="D861" s="32"/>
      <c r="E861" s="32"/>
      <c r="F861" s="32"/>
      <c r="G861" s="32"/>
    </row>
    <row r="862" ht="15.75" customHeight="1">
      <c r="A862" s="32"/>
      <c r="C862" s="32"/>
      <c r="D862" s="32"/>
      <c r="E862" s="32"/>
      <c r="F862" s="32"/>
      <c r="G862" s="32"/>
    </row>
    <row r="863" ht="15.75" customHeight="1">
      <c r="A863" s="32"/>
      <c r="C863" s="32"/>
      <c r="D863" s="32"/>
      <c r="E863" s="32"/>
      <c r="F863" s="32"/>
      <c r="G863" s="32"/>
    </row>
    <row r="864" ht="15.75" customHeight="1">
      <c r="A864" s="32"/>
      <c r="C864" s="32"/>
      <c r="D864" s="32"/>
      <c r="E864" s="32"/>
      <c r="F864" s="32"/>
      <c r="G864" s="32"/>
    </row>
    <row r="865" ht="15.75" customHeight="1">
      <c r="A865" s="32"/>
      <c r="C865" s="32"/>
      <c r="D865" s="32"/>
      <c r="E865" s="32"/>
      <c r="F865" s="32"/>
      <c r="G865" s="32"/>
    </row>
    <row r="866" ht="15.75" customHeight="1">
      <c r="A866" s="32"/>
      <c r="C866" s="32"/>
      <c r="D866" s="32"/>
      <c r="E866" s="32"/>
      <c r="F866" s="32"/>
      <c r="G866" s="32"/>
    </row>
    <row r="867" ht="15.75" customHeight="1">
      <c r="A867" s="32"/>
      <c r="C867" s="32"/>
      <c r="D867" s="32"/>
      <c r="E867" s="32"/>
      <c r="F867" s="32"/>
      <c r="G867" s="32"/>
    </row>
    <row r="868" ht="15.75" customHeight="1">
      <c r="A868" s="32"/>
      <c r="C868" s="32"/>
      <c r="D868" s="32"/>
      <c r="E868" s="32"/>
      <c r="F868" s="32"/>
      <c r="G868" s="32"/>
    </row>
    <row r="869" ht="15.75" customHeight="1">
      <c r="A869" s="32"/>
      <c r="C869" s="32"/>
      <c r="D869" s="32"/>
      <c r="E869" s="32"/>
      <c r="F869" s="32"/>
      <c r="G869" s="32"/>
    </row>
    <row r="870" ht="15.75" customHeight="1">
      <c r="A870" s="32"/>
      <c r="C870" s="32"/>
      <c r="D870" s="32"/>
      <c r="E870" s="32"/>
      <c r="F870" s="32"/>
      <c r="G870" s="32"/>
    </row>
    <row r="871" ht="15.75" customHeight="1">
      <c r="A871" s="32"/>
      <c r="C871" s="32"/>
      <c r="D871" s="32"/>
      <c r="E871" s="32"/>
      <c r="F871" s="32"/>
      <c r="G871" s="32"/>
    </row>
    <row r="872" ht="15.75" customHeight="1">
      <c r="A872" s="32"/>
      <c r="C872" s="32"/>
      <c r="D872" s="32"/>
      <c r="E872" s="32"/>
      <c r="F872" s="32"/>
      <c r="G872" s="32"/>
    </row>
    <row r="873" ht="15.75" customHeight="1">
      <c r="A873" s="32"/>
      <c r="C873" s="32"/>
      <c r="D873" s="32"/>
      <c r="E873" s="32"/>
      <c r="F873" s="32"/>
      <c r="G873" s="32"/>
    </row>
    <row r="874" ht="15.75" customHeight="1">
      <c r="A874" s="32"/>
      <c r="C874" s="32"/>
      <c r="D874" s="32"/>
      <c r="E874" s="32"/>
      <c r="F874" s="32"/>
      <c r="G874" s="32"/>
    </row>
    <row r="875" ht="15.75" customHeight="1">
      <c r="A875" s="32"/>
      <c r="C875" s="32"/>
      <c r="D875" s="32"/>
      <c r="E875" s="32"/>
      <c r="F875" s="32"/>
      <c r="G875" s="32"/>
    </row>
    <row r="876" ht="15.75" customHeight="1">
      <c r="A876" s="32"/>
      <c r="C876" s="32"/>
      <c r="D876" s="32"/>
      <c r="E876" s="32"/>
      <c r="F876" s="32"/>
      <c r="G876" s="32"/>
    </row>
    <row r="877" ht="15.75" customHeight="1">
      <c r="A877" s="32"/>
      <c r="C877" s="32"/>
      <c r="D877" s="32"/>
      <c r="E877" s="32"/>
      <c r="F877" s="32"/>
      <c r="G877" s="32"/>
    </row>
    <row r="878" ht="15.75" customHeight="1">
      <c r="A878" s="32"/>
      <c r="C878" s="32"/>
      <c r="D878" s="32"/>
      <c r="E878" s="32"/>
      <c r="F878" s="32"/>
      <c r="G878" s="32"/>
    </row>
    <row r="879" ht="15.75" customHeight="1">
      <c r="A879" s="32"/>
      <c r="C879" s="32"/>
      <c r="D879" s="32"/>
      <c r="E879" s="32"/>
      <c r="F879" s="32"/>
      <c r="G879" s="32"/>
    </row>
    <row r="880" ht="15.75" customHeight="1">
      <c r="A880" s="32"/>
      <c r="C880" s="32"/>
      <c r="D880" s="32"/>
      <c r="E880" s="32"/>
      <c r="F880" s="32"/>
      <c r="G880" s="32"/>
    </row>
    <row r="881" ht="15.75" customHeight="1">
      <c r="A881" s="32"/>
      <c r="C881" s="32"/>
      <c r="D881" s="32"/>
      <c r="E881" s="32"/>
      <c r="F881" s="32"/>
      <c r="G881" s="32"/>
    </row>
    <row r="882" ht="15.75" customHeight="1">
      <c r="A882" s="32"/>
      <c r="C882" s="32"/>
      <c r="D882" s="32"/>
      <c r="E882" s="32"/>
      <c r="F882" s="32"/>
      <c r="G882" s="32"/>
    </row>
    <row r="883" ht="15.75" customHeight="1">
      <c r="A883" s="32"/>
      <c r="C883" s="32"/>
      <c r="D883" s="32"/>
      <c r="E883" s="32"/>
      <c r="F883" s="32"/>
      <c r="G883" s="32"/>
    </row>
    <row r="884" ht="15.75" customHeight="1">
      <c r="A884" s="32"/>
      <c r="C884" s="32"/>
      <c r="D884" s="32"/>
      <c r="E884" s="32"/>
      <c r="F884" s="32"/>
      <c r="G884" s="32"/>
    </row>
    <row r="885" ht="15.75" customHeight="1">
      <c r="A885" s="32"/>
      <c r="C885" s="32"/>
      <c r="D885" s="32"/>
      <c r="E885" s="32"/>
      <c r="F885" s="32"/>
      <c r="G885" s="32"/>
    </row>
    <row r="886" ht="15.75" customHeight="1">
      <c r="A886" s="32"/>
      <c r="C886" s="32"/>
      <c r="D886" s="32"/>
      <c r="E886" s="32"/>
      <c r="F886" s="32"/>
      <c r="G886" s="32"/>
    </row>
    <row r="887" ht="15.75" customHeight="1">
      <c r="A887" s="32"/>
      <c r="C887" s="32"/>
      <c r="D887" s="32"/>
      <c r="E887" s="32"/>
      <c r="F887" s="32"/>
      <c r="G887" s="32"/>
    </row>
    <row r="888" ht="15.75" customHeight="1">
      <c r="A888" s="32"/>
      <c r="C888" s="32"/>
      <c r="D888" s="32"/>
      <c r="E888" s="32"/>
      <c r="F888" s="32"/>
      <c r="G888" s="32"/>
    </row>
    <row r="889" ht="15.75" customHeight="1">
      <c r="A889" s="32"/>
      <c r="C889" s="32"/>
      <c r="D889" s="32"/>
      <c r="E889" s="32"/>
      <c r="F889" s="32"/>
      <c r="G889" s="32"/>
    </row>
    <row r="890" ht="15.75" customHeight="1">
      <c r="A890" s="32"/>
      <c r="C890" s="32"/>
      <c r="D890" s="32"/>
      <c r="E890" s="32"/>
      <c r="F890" s="32"/>
      <c r="G890" s="32"/>
    </row>
    <row r="891" ht="15.75" customHeight="1">
      <c r="A891" s="32"/>
      <c r="C891" s="32"/>
      <c r="D891" s="32"/>
      <c r="E891" s="32"/>
      <c r="F891" s="32"/>
      <c r="G891" s="32"/>
    </row>
    <row r="892" ht="15.75" customHeight="1">
      <c r="A892" s="32"/>
      <c r="C892" s="32"/>
      <c r="D892" s="32"/>
      <c r="E892" s="32"/>
      <c r="F892" s="32"/>
      <c r="G892" s="32"/>
    </row>
    <row r="893" ht="15.75" customHeight="1">
      <c r="A893" s="32"/>
      <c r="C893" s="32"/>
      <c r="D893" s="32"/>
      <c r="E893" s="32"/>
      <c r="F893" s="32"/>
      <c r="G893" s="32"/>
    </row>
    <row r="894" ht="15.75" customHeight="1">
      <c r="A894" s="32"/>
      <c r="C894" s="32"/>
      <c r="D894" s="32"/>
      <c r="E894" s="32"/>
      <c r="F894" s="32"/>
      <c r="G894" s="32"/>
    </row>
    <row r="895" ht="15.75" customHeight="1">
      <c r="A895" s="32"/>
      <c r="C895" s="32"/>
      <c r="D895" s="32"/>
      <c r="E895" s="32"/>
      <c r="F895" s="32"/>
      <c r="G895" s="32"/>
    </row>
    <row r="896" ht="15.75" customHeight="1">
      <c r="A896" s="32"/>
      <c r="C896" s="32"/>
      <c r="D896" s="32"/>
      <c r="E896" s="32"/>
      <c r="F896" s="32"/>
      <c r="G896" s="32"/>
    </row>
    <row r="897" ht="15.75" customHeight="1">
      <c r="A897" s="32"/>
      <c r="C897" s="32"/>
      <c r="D897" s="32"/>
      <c r="E897" s="32"/>
      <c r="F897" s="32"/>
      <c r="G897" s="32"/>
    </row>
    <row r="898" ht="15.75" customHeight="1">
      <c r="A898" s="32"/>
      <c r="C898" s="32"/>
      <c r="D898" s="32"/>
      <c r="E898" s="32"/>
      <c r="F898" s="32"/>
      <c r="G898" s="32"/>
    </row>
    <row r="899" ht="15.75" customHeight="1">
      <c r="A899" s="32"/>
      <c r="C899" s="32"/>
      <c r="D899" s="32"/>
      <c r="E899" s="32"/>
      <c r="F899" s="32"/>
      <c r="G899" s="32"/>
    </row>
    <row r="900" ht="15.75" customHeight="1">
      <c r="A900" s="32"/>
      <c r="C900" s="32"/>
      <c r="D900" s="32"/>
      <c r="E900" s="32"/>
      <c r="F900" s="32"/>
      <c r="G900" s="32"/>
    </row>
    <row r="901" ht="15.75" customHeight="1">
      <c r="A901" s="32"/>
      <c r="C901" s="32"/>
      <c r="D901" s="32"/>
      <c r="E901" s="32"/>
      <c r="F901" s="32"/>
      <c r="G901" s="32"/>
    </row>
    <row r="902" ht="15.75" customHeight="1">
      <c r="A902" s="32"/>
      <c r="C902" s="32"/>
      <c r="D902" s="32"/>
      <c r="E902" s="32"/>
      <c r="F902" s="32"/>
      <c r="G902" s="32"/>
    </row>
    <row r="903" ht="15.75" customHeight="1">
      <c r="A903" s="32"/>
      <c r="C903" s="32"/>
      <c r="D903" s="32"/>
      <c r="E903" s="32"/>
      <c r="F903" s="32"/>
      <c r="G903" s="32"/>
    </row>
    <row r="904" ht="15.75" customHeight="1">
      <c r="A904" s="32"/>
      <c r="C904" s="32"/>
      <c r="D904" s="32"/>
      <c r="E904" s="32"/>
      <c r="F904" s="32"/>
      <c r="G904" s="32"/>
    </row>
    <row r="905" ht="15.75" customHeight="1">
      <c r="A905" s="32"/>
      <c r="C905" s="32"/>
      <c r="D905" s="32"/>
      <c r="E905" s="32"/>
      <c r="F905" s="32"/>
      <c r="G905" s="32"/>
    </row>
    <row r="906" ht="15.75" customHeight="1">
      <c r="A906" s="32"/>
      <c r="C906" s="32"/>
      <c r="D906" s="32"/>
      <c r="E906" s="32"/>
      <c r="F906" s="32"/>
      <c r="G906" s="32"/>
    </row>
    <row r="907" ht="15.75" customHeight="1">
      <c r="A907" s="32"/>
      <c r="C907" s="32"/>
      <c r="D907" s="32"/>
      <c r="E907" s="32"/>
      <c r="F907" s="32"/>
      <c r="G907" s="32"/>
    </row>
    <row r="908" ht="15.75" customHeight="1">
      <c r="A908" s="32"/>
      <c r="C908" s="32"/>
      <c r="D908" s="32"/>
      <c r="E908" s="32"/>
      <c r="F908" s="32"/>
      <c r="G908" s="32"/>
    </row>
    <row r="909" ht="15.75" customHeight="1">
      <c r="A909" s="32"/>
      <c r="C909" s="32"/>
      <c r="D909" s="32"/>
      <c r="E909" s="32"/>
      <c r="F909" s="32"/>
      <c r="G909" s="32"/>
    </row>
    <row r="910" ht="15.75" customHeight="1">
      <c r="A910" s="32"/>
      <c r="C910" s="32"/>
      <c r="D910" s="32"/>
      <c r="E910" s="32"/>
      <c r="F910" s="32"/>
      <c r="G910" s="32"/>
    </row>
    <row r="911" ht="15.75" customHeight="1">
      <c r="A911" s="32"/>
      <c r="C911" s="32"/>
      <c r="D911" s="32"/>
      <c r="E911" s="32"/>
      <c r="F911" s="32"/>
      <c r="G911" s="32"/>
    </row>
    <row r="912" ht="15.75" customHeight="1">
      <c r="A912" s="32"/>
      <c r="C912" s="32"/>
      <c r="D912" s="32"/>
      <c r="E912" s="32"/>
      <c r="F912" s="32"/>
      <c r="G912" s="32"/>
    </row>
    <row r="913" ht="15.75" customHeight="1">
      <c r="A913" s="32"/>
      <c r="C913" s="32"/>
      <c r="D913" s="32"/>
      <c r="E913" s="32"/>
      <c r="F913" s="32"/>
      <c r="G913" s="32"/>
    </row>
    <row r="914" ht="15.75" customHeight="1">
      <c r="A914" s="32"/>
      <c r="C914" s="32"/>
      <c r="D914" s="32"/>
      <c r="E914" s="32"/>
      <c r="F914" s="32"/>
      <c r="G914" s="32"/>
    </row>
    <row r="915" ht="15.75" customHeight="1">
      <c r="A915" s="32"/>
      <c r="C915" s="32"/>
      <c r="D915" s="32"/>
      <c r="E915" s="32"/>
      <c r="F915" s="32"/>
      <c r="G915" s="32"/>
    </row>
    <row r="916" ht="15.75" customHeight="1">
      <c r="A916" s="32"/>
      <c r="C916" s="32"/>
      <c r="D916" s="32"/>
      <c r="E916" s="32"/>
      <c r="F916" s="32"/>
      <c r="G916" s="32"/>
    </row>
    <row r="917" ht="15.75" customHeight="1">
      <c r="A917" s="32"/>
      <c r="C917" s="32"/>
      <c r="D917" s="32"/>
      <c r="E917" s="32"/>
      <c r="F917" s="32"/>
      <c r="G917" s="32"/>
    </row>
    <row r="918" ht="15.75" customHeight="1">
      <c r="A918" s="32"/>
      <c r="C918" s="32"/>
      <c r="D918" s="32"/>
      <c r="E918" s="32"/>
      <c r="F918" s="32"/>
      <c r="G918" s="32"/>
    </row>
    <row r="919" ht="15.75" customHeight="1">
      <c r="A919" s="32"/>
      <c r="C919" s="32"/>
      <c r="D919" s="32"/>
      <c r="E919" s="32"/>
      <c r="F919" s="32"/>
      <c r="G919" s="32"/>
    </row>
    <row r="920" ht="15.75" customHeight="1">
      <c r="A920" s="32"/>
      <c r="C920" s="32"/>
      <c r="D920" s="32"/>
      <c r="E920" s="32"/>
      <c r="F920" s="32"/>
      <c r="G920" s="32"/>
    </row>
    <row r="921" ht="15.75" customHeight="1">
      <c r="A921" s="32"/>
      <c r="C921" s="32"/>
      <c r="D921" s="32"/>
      <c r="E921" s="32"/>
      <c r="F921" s="32"/>
      <c r="G921" s="32"/>
    </row>
    <row r="922" ht="15.75" customHeight="1">
      <c r="A922" s="32"/>
      <c r="C922" s="32"/>
      <c r="D922" s="32"/>
      <c r="E922" s="32"/>
      <c r="F922" s="32"/>
      <c r="G922" s="32"/>
    </row>
    <row r="923" ht="15.75" customHeight="1">
      <c r="A923" s="32"/>
      <c r="C923" s="32"/>
      <c r="D923" s="32"/>
      <c r="E923" s="32"/>
      <c r="F923" s="32"/>
      <c r="G923" s="32"/>
    </row>
    <row r="924" ht="15.75" customHeight="1">
      <c r="A924" s="32"/>
      <c r="C924" s="32"/>
      <c r="D924" s="32"/>
      <c r="E924" s="32"/>
      <c r="F924" s="32"/>
      <c r="G924" s="32"/>
    </row>
    <row r="925" ht="15.75" customHeight="1">
      <c r="A925" s="32"/>
      <c r="C925" s="32"/>
      <c r="D925" s="32"/>
      <c r="E925" s="32"/>
      <c r="F925" s="32"/>
      <c r="G925" s="32"/>
    </row>
    <row r="926" ht="15.75" customHeight="1">
      <c r="A926" s="32"/>
      <c r="C926" s="32"/>
      <c r="D926" s="32"/>
      <c r="E926" s="32"/>
      <c r="F926" s="32"/>
      <c r="G926" s="32"/>
    </row>
    <row r="927" ht="15.75" customHeight="1">
      <c r="A927" s="32"/>
      <c r="C927" s="32"/>
      <c r="D927" s="32"/>
      <c r="E927" s="32"/>
      <c r="F927" s="32"/>
      <c r="G927" s="32"/>
    </row>
    <row r="928" ht="15.75" customHeight="1">
      <c r="A928" s="32"/>
      <c r="C928" s="32"/>
      <c r="D928" s="32"/>
      <c r="E928" s="32"/>
      <c r="F928" s="32"/>
      <c r="G928" s="32"/>
    </row>
    <row r="929" ht="15.75" customHeight="1">
      <c r="A929" s="32"/>
      <c r="C929" s="32"/>
      <c r="D929" s="32"/>
      <c r="E929" s="32"/>
      <c r="F929" s="32"/>
      <c r="G929" s="32"/>
    </row>
    <row r="930" ht="15.75" customHeight="1">
      <c r="A930" s="32"/>
      <c r="C930" s="32"/>
      <c r="D930" s="32"/>
      <c r="E930" s="32"/>
      <c r="F930" s="32"/>
      <c r="G930" s="32"/>
    </row>
    <row r="931" ht="15.75" customHeight="1">
      <c r="A931" s="32"/>
      <c r="C931" s="32"/>
      <c r="D931" s="32"/>
      <c r="E931" s="32"/>
      <c r="F931" s="32"/>
      <c r="G931" s="32"/>
    </row>
    <row r="932" ht="15.75" customHeight="1">
      <c r="A932" s="32"/>
      <c r="C932" s="32"/>
      <c r="D932" s="32"/>
      <c r="E932" s="32"/>
      <c r="F932" s="32"/>
      <c r="G932" s="32"/>
    </row>
    <row r="933" ht="15.75" customHeight="1">
      <c r="A933" s="32"/>
      <c r="C933" s="32"/>
      <c r="D933" s="32"/>
      <c r="E933" s="32"/>
      <c r="F933" s="32"/>
      <c r="G933" s="32"/>
    </row>
    <row r="934" ht="15.75" customHeight="1">
      <c r="A934" s="32"/>
      <c r="C934" s="32"/>
      <c r="D934" s="32"/>
      <c r="E934" s="32"/>
      <c r="F934" s="32"/>
      <c r="G934" s="32"/>
    </row>
    <row r="935" ht="15.75" customHeight="1">
      <c r="A935" s="32"/>
      <c r="C935" s="32"/>
      <c r="D935" s="32"/>
      <c r="E935" s="32"/>
      <c r="F935" s="32"/>
      <c r="G935" s="32"/>
    </row>
    <row r="936" ht="15.75" customHeight="1">
      <c r="A936" s="32"/>
      <c r="C936" s="32"/>
      <c r="D936" s="32"/>
      <c r="E936" s="32"/>
      <c r="F936" s="32"/>
      <c r="G936" s="32"/>
    </row>
    <row r="937" ht="15.75" customHeight="1">
      <c r="A937" s="32"/>
      <c r="C937" s="32"/>
      <c r="D937" s="32"/>
      <c r="E937" s="32"/>
      <c r="F937" s="32"/>
      <c r="G937" s="32"/>
    </row>
    <row r="938" ht="15.75" customHeight="1">
      <c r="A938" s="32"/>
      <c r="C938" s="32"/>
      <c r="D938" s="32"/>
      <c r="E938" s="32"/>
      <c r="F938" s="32"/>
      <c r="G938" s="32"/>
    </row>
    <row r="939" ht="15.75" customHeight="1">
      <c r="A939" s="32"/>
      <c r="C939" s="32"/>
      <c r="D939" s="32"/>
      <c r="E939" s="32"/>
      <c r="F939" s="32"/>
      <c r="G939" s="32"/>
    </row>
    <row r="940" ht="15.75" customHeight="1">
      <c r="A940" s="32"/>
      <c r="C940" s="32"/>
      <c r="D940" s="32"/>
      <c r="E940" s="32"/>
      <c r="F940" s="32"/>
      <c r="G940" s="32"/>
    </row>
    <row r="941" ht="15.75" customHeight="1">
      <c r="A941" s="32"/>
      <c r="C941" s="32"/>
      <c r="D941" s="32"/>
      <c r="E941" s="32"/>
      <c r="F941" s="32"/>
      <c r="G941" s="32"/>
    </row>
    <row r="942" ht="15.75" customHeight="1">
      <c r="A942" s="32"/>
      <c r="C942" s="32"/>
      <c r="D942" s="32"/>
      <c r="E942" s="32"/>
      <c r="F942" s="32"/>
      <c r="G942" s="32"/>
    </row>
    <row r="943" ht="15.75" customHeight="1">
      <c r="A943" s="32"/>
      <c r="C943" s="32"/>
      <c r="D943" s="32"/>
      <c r="E943" s="32"/>
      <c r="F943" s="32"/>
      <c r="G943" s="32"/>
    </row>
    <row r="944" ht="15.75" customHeight="1">
      <c r="A944" s="32"/>
      <c r="C944" s="32"/>
      <c r="D944" s="32"/>
      <c r="E944" s="32"/>
      <c r="F944" s="32"/>
      <c r="G944" s="32"/>
    </row>
    <row r="945" ht="15.75" customHeight="1">
      <c r="A945" s="32"/>
      <c r="C945" s="32"/>
      <c r="D945" s="32"/>
      <c r="E945" s="32"/>
      <c r="F945" s="32"/>
      <c r="G945" s="32"/>
    </row>
    <row r="946" ht="15.75" customHeight="1">
      <c r="A946" s="32"/>
      <c r="C946" s="32"/>
      <c r="D946" s="32"/>
      <c r="E946" s="32"/>
      <c r="F946" s="32"/>
      <c r="G946" s="32"/>
    </row>
    <row r="947" ht="15.75" customHeight="1">
      <c r="A947" s="32"/>
      <c r="C947" s="32"/>
      <c r="D947" s="32"/>
      <c r="E947" s="32"/>
      <c r="F947" s="32"/>
      <c r="G947" s="32"/>
    </row>
    <row r="948" ht="15.75" customHeight="1">
      <c r="A948" s="32"/>
      <c r="C948" s="32"/>
      <c r="D948" s="32"/>
      <c r="E948" s="32"/>
      <c r="F948" s="32"/>
      <c r="G948" s="32"/>
    </row>
    <row r="949" ht="15.75" customHeight="1">
      <c r="A949" s="32"/>
      <c r="C949" s="32"/>
      <c r="D949" s="32"/>
      <c r="E949" s="32"/>
      <c r="F949" s="32"/>
      <c r="G949" s="32"/>
    </row>
    <row r="950" ht="15.75" customHeight="1">
      <c r="A950" s="32"/>
      <c r="C950" s="32"/>
      <c r="D950" s="32"/>
      <c r="E950" s="32"/>
      <c r="F950" s="32"/>
      <c r="G950" s="32"/>
    </row>
    <row r="951" ht="15.75" customHeight="1">
      <c r="A951" s="32"/>
      <c r="C951" s="32"/>
      <c r="D951" s="32"/>
      <c r="E951" s="32"/>
      <c r="F951" s="32"/>
      <c r="G951" s="32"/>
    </row>
    <row r="952" ht="15.75" customHeight="1">
      <c r="A952" s="32"/>
      <c r="C952" s="32"/>
      <c r="D952" s="32"/>
      <c r="E952" s="32"/>
      <c r="F952" s="32"/>
      <c r="G952" s="32"/>
    </row>
    <row r="953" ht="15.75" customHeight="1">
      <c r="A953" s="32"/>
      <c r="C953" s="32"/>
      <c r="D953" s="32"/>
      <c r="E953" s="32"/>
      <c r="F953" s="32"/>
      <c r="G953" s="32"/>
    </row>
    <row r="954" ht="15.75" customHeight="1">
      <c r="A954" s="32"/>
      <c r="C954" s="32"/>
      <c r="D954" s="32"/>
      <c r="E954" s="32"/>
      <c r="F954" s="32"/>
      <c r="G954" s="32"/>
    </row>
    <row r="955" ht="15.75" customHeight="1">
      <c r="A955" s="32"/>
      <c r="C955" s="32"/>
      <c r="D955" s="32"/>
      <c r="E955" s="32"/>
      <c r="F955" s="32"/>
      <c r="G955" s="32"/>
    </row>
    <row r="956" ht="15.75" customHeight="1">
      <c r="A956" s="32"/>
      <c r="C956" s="32"/>
      <c r="D956" s="32"/>
      <c r="E956" s="32"/>
      <c r="F956" s="32"/>
      <c r="G956" s="32"/>
    </row>
    <row r="957" ht="15.75" customHeight="1">
      <c r="A957" s="32"/>
      <c r="C957" s="32"/>
      <c r="D957" s="32"/>
      <c r="E957" s="32"/>
      <c r="F957" s="32"/>
      <c r="G957" s="32"/>
    </row>
    <row r="958" ht="15.75" customHeight="1">
      <c r="A958" s="32"/>
      <c r="C958" s="32"/>
      <c r="D958" s="32"/>
      <c r="E958" s="32"/>
      <c r="F958" s="32"/>
      <c r="G958" s="32"/>
    </row>
    <row r="959" ht="15.75" customHeight="1">
      <c r="A959" s="32"/>
      <c r="C959" s="32"/>
      <c r="D959" s="32"/>
      <c r="E959" s="32"/>
      <c r="F959" s="32"/>
      <c r="G959" s="32"/>
    </row>
    <row r="960" ht="15.75" customHeight="1">
      <c r="A960" s="32"/>
      <c r="C960" s="32"/>
      <c r="D960" s="32"/>
      <c r="E960" s="32"/>
      <c r="F960" s="32"/>
      <c r="G960" s="32"/>
    </row>
    <row r="961" ht="15.75" customHeight="1">
      <c r="A961" s="32"/>
      <c r="C961" s="32"/>
      <c r="D961" s="32"/>
      <c r="E961" s="32"/>
      <c r="F961" s="32"/>
      <c r="G961" s="32"/>
    </row>
    <row r="962" ht="15.75" customHeight="1">
      <c r="A962" s="32"/>
      <c r="C962" s="32"/>
      <c r="D962" s="32"/>
      <c r="E962" s="32"/>
      <c r="F962" s="32"/>
      <c r="G962" s="32"/>
    </row>
    <row r="963" ht="15.75" customHeight="1">
      <c r="A963" s="32"/>
      <c r="C963" s="32"/>
      <c r="D963" s="32"/>
      <c r="E963" s="32"/>
      <c r="F963" s="32"/>
      <c r="G963" s="32"/>
    </row>
    <row r="964" ht="15.75" customHeight="1">
      <c r="A964" s="32"/>
      <c r="C964" s="32"/>
      <c r="D964" s="32"/>
      <c r="E964" s="32"/>
      <c r="F964" s="32"/>
      <c r="G964" s="32"/>
    </row>
    <row r="965" ht="15.75" customHeight="1">
      <c r="A965" s="32"/>
      <c r="C965" s="32"/>
      <c r="D965" s="32"/>
      <c r="E965" s="32"/>
      <c r="F965" s="32"/>
      <c r="G965" s="32"/>
    </row>
    <row r="966" ht="15.75" customHeight="1">
      <c r="A966" s="32"/>
      <c r="C966" s="32"/>
      <c r="D966" s="32"/>
      <c r="E966" s="32"/>
      <c r="F966" s="32"/>
      <c r="G966" s="32"/>
    </row>
    <row r="967" ht="15.75" customHeight="1">
      <c r="A967" s="32"/>
      <c r="C967" s="32"/>
      <c r="D967" s="32"/>
      <c r="E967" s="32"/>
      <c r="F967" s="32"/>
      <c r="G967" s="32"/>
    </row>
    <row r="968" ht="15.75" customHeight="1">
      <c r="A968" s="32"/>
      <c r="C968" s="32"/>
      <c r="D968" s="32"/>
      <c r="E968" s="32"/>
      <c r="F968" s="32"/>
      <c r="G968" s="32"/>
    </row>
    <row r="969" ht="15.75" customHeight="1">
      <c r="A969" s="32"/>
      <c r="C969" s="32"/>
      <c r="D969" s="32"/>
      <c r="E969" s="32"/>
      <c r="F969" s="32"/>
      <c r="G969" s="32"/>
    </row>
    <row r="970" ht="15.75" customHeight="1">
      <c r="A970" s="32"/>
      <c r="C970" s="32"/>
      <c r="D970" s="32"/>
      <c r="E970" s="32"/>
      <c r="F970" s="32"/>
      <c r="G970" s="32"/>
    </row>
    <row r="971" ht="15.75" customHeight="1">
      <c r="A971" s="32"/>
      <c r="C971" s="32"/>
      <c r="D971" s="32"/>
      <c r="E971" s="32"/>
      <c r="F971" s="32"/>
      <c r="G971" s="32"/>
    </row>
    <row r="972" ht="15.75" customHeight="1">
      <c r="A972" s="32"/>
      <c r="C972" s="32"/>
      <c r="D972" s="32"/>
      <c r="E972" s="32"/>
      <c r="F972" s="32"/>
      <c r="G972" s="32"/>
    </row>
    <row r="973" ht="15.75" customHeight="1">
      <c r="A973" s="32"/>
      <c r="C973" s="32"/>
      <c r="D973" s="32"/>
      <c r="E973" s="32"/>
      <c r="F973" s="32"/>
      <c r="G973" s="32"/>
    </row>
    <row r="974" ht="15.75" customHeight="1">
      <c r="A974" s="32"/>
      <c r="C974" s="32"/>
      <c r="D974" s="32"/>
      <c r="E974" s="32"/>
      <c r="F974" s="32"/>
      <c r="G974" s="32"/>
    </row>
    <row r="975" ht="15.75" customHeight="1">
      <c r="A975" s="32"/>
      <c r="C975" s="32"/>
      <c r="D975" s="32"/>
      <c r="E975" s="32"/>
      <c r="F975" s="32"/>
      <c r="G975" s="32"/>
    </row>
    <row r="976" ht="15.75" customHeight="1">
      <c r="A976" s="32"/>
      <c r="C976" s="32"/>
      <c r="D976" s="32"/>
      <c r="E976" s="32"/>
      <c r="F976" s="32"/>
      <c r="G976" s="32"/>
    </row>
    <row r="977" ht="15.75" customHeight="1">
      <c r="A977" s="32"/>
      <c r="C977" s="32"/>
      <c r="D977" s="32"/>
      <c r="E977" s="32"/>
      <c r="F977" s="32"/>
      <c r="G977" s="32"/>
    </row>
    <row r="978" ht="15.75" customHeight="1">
      <c r="A978" s="32"/>
      <c r="C978" s="32"/>
      <c r="D978" s="32"/>
      <c r="E978" s="32"/>
      <c r="F978" s="32"/>
      <c r="G978" s="32"/>
    </row>
    <row r="979" ht="15.75" customHeight="1">
      <c r="A979" s="32"/>
      <c r="C979" s="32"/>
      <c r="D979" s="32"/>
      <c r="E979" s="32"/>
      <c r="F979" s="32"/>
      <c r="G979" s="32"/>
    </row>
    <row r="980" ht="15.75" customHeight="1">
      <c r="A980" s="32"/>
      <c r="C980" s="32"/>
      <c r="D980" s="32"/>
      <c r="E980" s="32"/>
      <c r="F980" s="32"/>
      <c r="G980" s="32"/>
    </row>
    <row r="981" ht="15.75" customHeight="1">
      <c r="A981" s="32"/>
      <c r="C981" s="32"/>
      <c r="D981" s="32"/>
      <c r="E981" s="32"/>
      <c r="F981" s="32"/>
      <c r="G981" s="32"/>
    </row>
    <row r="982" ht="15.75" customHeight="1">
      <c r="A982" s="32"/>
      <c r="C982" s="32"/>
      <c r="D982" s="32"/>
      <c r="E982" s="32"/>
      <c r="F982" s="32"/>
      <c r="G982" s="32"/>
    </row>
    <row r="983" ht="15.75" customHeight="1">
      <c r="A983" s="32"/>
      <c r="C983" s="32"/>
      <c r="D983" s="32"/>
      <c r="E983" s="32"/>
      <c r="F983" s="32"/>
      <c r="G983" s="32"/>
    </row>
    <row r="984" ht="15.75" customHeight="1">
      <c r="A984" s="32"/>
      <c r="C984" s="32"/>
      <c r="D984" s="32"/>
      <c r="E984" s="32"/>
      <c r="F984" s="32"/>
      <c r="G984" s="32"/>
    </row>
    <row r="985" ht="15.75" customHeight="1">
      <c r="A985" s="32"/>
      <c r="C985" s="32"/>
      <c r="D985" s="32"/>
      <c r="E985" s="32"/>
      <c r="F985" s="32"/>
      <c r="G985" s="32"/>
    </row>
    <row r="986" ht="15.75" customHeight="1">
      <c r="A986" s="32"/>
      <c r="C986" s="32"/>
      <c r="D986" s="32"/>
      <c r="E986" s="32"/>
      <c r="F986" s="32"/>
      <c r="G986" s="32"/>
    </row>
    <row r="987" ht="15.75" customHeight="1">
      <c r="A987" s="32"/>
      <c r="C987" s="32"/>
      <c r="D987" s="32"/>
      <c r="E987" s="32"/>
      <c r="F987" s="32"/>
      <c r="G987" s="32"/>
    </row>
    <row r="988" ht="15.75" customHeight="1">
      <c r="A988" s="32"/>
      <c r="C988" s="32"/>
      <c r="D988" s="32"/>
      <c r="E988" s="32"/>
      <c r="F988" s="32"/>
      <c r="G988" s="32"/>
    </row>
    <row r="989" ht="15.75" customHeight="1">
      <c r="A989" s="32"/>
      <c r="C989" s="32"/>
      <c r="D989" s="32"/>
      <c r="E989" s="32"/>
      <c r="F989" s="32"/>
      <c r="G989" s="32"/>
    </row>
    <row r="990" ht="15.75" customHeight="1">
      <c r="A990" s="32"/>
      <c r="C990" s="32"/>
      <c r="D990" s="32"/>
      <c r="E990" s="32"/>
      <c r="F990" s="32"/>
      <c r="G990" s="32"/>
    </row>
    <row r="991" ht="15.75" customHeight="1">
      <c r="A991" s="32"/>
      <c r="C991" s="32"/>
      <c r="D991" s="32"/>
      <c r="E991" s="32"/>
      <c r="F991" s="32"/>
      <c r="G991" s="32"/>
    </row>
    <row r="992" ht="15.75" customHeight="1">
      <c r="A992" s="32"/>
      <c r="C992" s="32"/>
      <c r="D992" s="32"/>
      <c r="E992" s="32"/>
      <c r="F992" s="32"/>
      <c r="G992" s="32"/>
    </row>
    <row r="993" ht="15.75" customHeight="1">
      <c r="A993" s="32"/>
      <c r="C993" s="32"/>
      <c r="D993" s="32"/>
      <c r="E993" s="32"/>
      <c r="F993" s="32"/>
      <c r="G993" s="32"/>
    </row>
    <row r="994" ht="15.75" customHeight="1">
      <c r="A994" s="32"/>
      <c r="C994" s="32"/>
      <c r="D994" s="32"/>
      <c r="E994" s="32"/>
      <c r="F994" s="32"/>
      <c r="G994" s="32"/>
    </row>
    <row r="995" ht="15.75" customHeight="1">
      <c r="A995" s="32"/>
      <c r="C995" s="32"/>
      <c r="D995" s="32"/>
      <c r="E995" s="32"/>
      <c r="F995" s="32"/>
      <c r="G995" s="32"/>
    </row>
    <row r="996" ht="15.75" customHeight="1">
      <c r="A996" s="32"/>
      <c r="C996" s="32"/>
      <c r="D996" s="32"/>
      <c r="E996" s="32"/>
      <c r="F996" s="32"/>
      <c r="G996" s="32"/>
    </row>
    <row r="997" ht="15.75" customHeight="1">
      <c r="A997" s="32"/>
      <c r="C997" s="32"/>
      <c r="D997" s="32"/>
      <c r="E997" s="32"/>
      <c r="F997" s="32"/>
      <c r="G997" s="32"/>
    </row>
    <row r="998" ht="15.75" customHeight="1">
      <c r="A998" s="32"/>
      <c r="C998" s="32"/>
      <c r="D998" s="32"/>
      <c r="E998" s="32"/>
      <c r="F998" s="32"/>
      <c r="G998" s="32"/>
    </row>
    <row r="999" ht="15.75" customHeight="1">
      <c r="A999" s="32"/>
      <c r="C999" s="32"/>
      <c r="D999" s="32"/>
      <c r="E999" s="32"/>
      <c r="F999" s="32"/>
      <c r="G999" s="32"/>
    </row>
    <row r="1000" ht="15.75" customHeight="1">
      <c r="A1000" s="32"/>
      <c r="C1000" s="32"/>
      <c r="D1000" s="32"/>
      <c r="E1000" s="32"/>
      <c r="F1000" s="32"/>
      <c r="G1000" s="32"/>
    </row>
  </sheetData>
  <mergeCells count="6">
    <mergeCell ref="D1:G1"/>
    <mergeCell ref="A3:A8"/>
    <mergeCell ref="A10:A15"/>
    <mergeCell ref="A17:A22"/>
    <mergeCell ref="A24:A31"/>
    <mergeCell ref="A33:A38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2.63"/>
    <col customWidth="1" min="3" max="3" width="2.38"/>
    <col customWidth="1" min="4" max="4" width="26.5"/>
    <col customWidth="1" min="5" max="5" width="25.75"/>
    <col customWidth="1" min="6" max="6" width="24.38"/>
    <col customWidth="1" min="7" max="7" width="26.13"/>
  </cols>
  <sheetData>
    <row r="1" ht="15.75" customHeight="1">
      <c r="A1" s="129"/>
      <c r="B1" s="130"/>
      <c r="C1" s="131"/>
      <c r="D1" s="149" t="s">
        <v>22</v>
      </c>
      <c r="E1" s="8"/>
      <c r="F1" s="8"/>
      <c r="G1" s="10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5.75" customHeight="1">
      <c r="A2" s="99" t="s">
        <v>20</v>
      </c>
      <c r="B2" s="140" t="s">
        <v>23</v>
      </c>
      <c r="C2" s="131"/>
      <c r="D2" s="98" t="s">
        <v>74</v>
      </c>
      <c r="E2" s="99" t="s">
        <v>75</v>
      </c>
      <c r="F2" s="99" t="s">
        <v>76</v>
      </c>
      <c r="G2" s="99" t="s">
        <v>77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5.75" customHeight="1">
      <c r="A3" s="134" t="s">
        <v>770</v>
      </c>
      <c r="B3" s="140" t="s">
        <v>164</v>
      </c>
      <c r="C3" s="131"/>
      <c r="D3" s="75" t="str">
        <f>'Horário - Graduação'!AT17</f>
        <v>História da Educação I (Bergston)(2/1)</v>
      </c>
      <c r="E3" s="75" t="str">
        <f>'Horário - Graduação'!AU17</f>
        <v/>
      </c>
      <c r="F3" s="75" t="str">
        <f>'Horário - Graduação'!AV17</f>
        <v/>
      </c>
      <c r="G3" s="75" t="str">
        <f>'Horário - Graduação'!AW17</f>
        <v>UCE VII: Tecendo a FormAÇÃO: ação-reflexãoação (Laio) (2/4)</v>
      </c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ht="15.75" customHeight="1">
      <c r="A4" s="36"/>
      <c r="B4" s="140" t="s">
        <v>174</v>
      </c>
      <c r="C4" s="131"/>
      <c r="D4" s="150" t="str">
        <f>'Horário - Graduação'!AT18</f>
        <v>Relações Étnico-Raciais na Educação Infantil e SIEF (Márlio) (2/1)</v>
      </c>
      <c r="E4" s="150" t="str">
        <f>'Horário - Graduação'!AU18</f>
        <v>Fundamentos e Metodologia da Matemática na Educação Infantil  (Lilian)  (2/2)</v>
      </c>
      <c r="F4" s="150" t="str">
        <f>'Horário - Graduação'!AV18</f>
        <v>Educação do Campo (Patrícia Lima)  (2/3)</v>
      </c>
      <c r="G4" s="150" t="str">
        <f>'Horário - Graduação'!AW18</f>
        <v>Optativa II: Neurociência e Educação (Giuliana) (2/4)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ht="15.75" customHeight="1">
      <c r="A5" s="36"/>
      <c r="B5" s="140" t="s">
        <v>193</v>
      </c>
      <c r="C5" s="131"/>
      <c r="D5" s="150" t="str">
        <f>'Horário - Graduação'!AT19</f>
        <v>Relações Étnico-Raciais na Educação Infantil e SIEF (Márlio) (2/1)</v>
      </c>
      <c r="E5" s="150" t="str">
        <f>'Horário - Graduação'!AU19</f>
        <v>Fundamentos e Metodologia da Matemática na Educação Infantil  (Lilian)  (2/2)</v>
      </c>
      <c r="F5" s="150" t="str">
        <f>'Horário - Graduação'!AV19</f>
        <v>Educação do Campo (Patrícia Lima) (2/3)</v>
      </c>
      <c r="G5" s="150" t="str">
        <f>'Horário - Graduação'!AW19</f>
        <v>Optativa II: Neurociência e Educação (Giuliana) (2/4)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ht="15.75" customHeight="1">
      <c r="A6" s="36"/>
      <c r="B6" s="147" t="s">
        <v>111</v>
      </c>
      <c r="C6" s="131"/>
      <c r="D6" s="143" t="str">
        <f>'Horário - Graduação'!AT20</f>
        <v/>
      </c>
      <c r="E6" s="143" t="str">
        <f>'Horário - Graduação'!AU20</f>
        <v/>
      </c>
      <c r="F6" s="143" t="str">
        <f>'Horário - Graduação'!AV20</f>
        <v/>
      </c>
      <c r="G6" s="143" t="str">
        <f>'Horário - Graduação'!AW20</f>
        <v/>
      </c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5.75" customHeight="1">
      <c r="A7" s="36"/>
      <c r="B7" s="140" t="s">
        <v>198</v>
      </c>
      <c r="C7" s="131"/>
      <c r="D7" s="150" t="str">
        <f>'Horário - Graduação'!AT21</f>
        <v>Matemática Básica (Fabiano) (2/1)</v>
      </c>
      <c r="E7" s="150" t="str">
        <f>'Horário - Graduação'!AU21</f>
        <v>Fundamentos e Metodologia da Matemática na Educação Infantil  (Lilian)  (2/2)</v>
      </c>
      <c r="F7" s="150" t="str">
        <f>'Horário - Graduação'!AV21</f>
        <v>Estágio V - Estágio Curricular Supervisionado V: Docência nas SIEF (Giuliana) (2/3)</v>
      </c>
      <c r="G7" s="150" t="str">
        <f>'Horário - Graduação'!AW21</f>
        <v>UCE VII: Tecendo a FormAÇÃO: ação-reflexãoação (Laio) (2/4)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5.75" customHeight="1">
      <c r="A8" s="66"/>
      <c r="B8" s="140" t="s">
        <v>210</v>
      </c>
      <c r="C8" s="131"/>
      <c r="D8" s="150" t="str">
        <f>'Horário - Graduação'!AT22</f>
        <v>Matemática Básica (Fabiano) (2/1)</v>
      </c>
      <c r="E8" s="150" t="str">
        <f>'Horário - Graduação'!AU22</f>
        <v>Fundamentos e Metodologia da Matemática na Educação Infantil  (Lilian)  (2/2)</v>
      </c>
      <c r="F8" s="150" t="str">
        <f>'Horário - Graduação'!AV22</f>
        <v>Estágio V - Estágio Curricular Supervisionado V: Docência nas SIEF (Giuliana) (2/3)</v>
      </c>
      <c r="G8" s="150" t="str">
        <f>'Horário - Graduação'!AW22</f>
        <v>UCE VII: Tecendo a FormAÇÃO: ação-reflexãoação (Laio) (2/4)</v>
      </c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5.75" customHeight="1">
      <c r="A9" s="99" t="s">
        <v>20</v>
      </c>
      <c r="B9" s="140" t="s">
        <v>23</v>
      </c>
      <c r="C9" s="131"/>
      <c r="D9" s="98" t="s">
        <v>74</v>
      </c>
      <c r="E9" s="99" t="s">
        <v>75</v>
      </c>
      <c r="F9" s="99" t="s">
        <v>76</v>
      </c>
      <c r="G9" s="99" t="s">
        <v>77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5.75" customHeight="1">
      <c r="A10" s="134" t="s">
        <v>11</v>
      </c>
      <c r="B10" s="140" t="s">
        <v>164</v>
      </c>
      <c r="C10" s="131"/>
      <c r="D10" s="75" t="str">
        <f>'Horário - Graduação'!AT38</f>
        <v/>
      </c>
      <c r="E10" s="75" t="str">
        <f>'Horário - Graduação'!AU38</f>
        <v>Pesquisa e Prática Pedagógica IV (Giuliana)  (2/2)</v>
      </c>
      <c r="F10" s="75" t="str">
        <f>'Horário - Graduação'!AV38</f>
        <v/>
      </c>
      <c r="G10" s="75" t="str">
        <f>'Horário - Graduação'!AW38</f>
        <v>Educação: Corpo e Ludicidade (Jairo / Fabiene) (2/4)</v>
      </c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ht="15.75" customHeight="1">
      <c r="A11" s="36"/>
      <c r="B11" s="140" t="s">
        <v>174</v>
      </c>
      <c r="C11" s="131"/>
      <c r="D11" s="150" t="str">
        <f>'Horário - Graduação'!AT39</f>
        <v>Letramento (s): Dimensão Plural  (Cláudia) (2/1)</v>
      </c>
      <c r="E11" s="150" t="str">
        <f>'Horário - Graduação'!AU39</f>
        <v>Estágio Supervisionado III: Alfabetização e Avaliações Institucionais (Edna / Admilson)  (2/2)</v>
      </c>
      <c r="F11" s="150" t="str">
        <f>'Horário - Graduação'!AV39</f>
        <v>
Gestão da Educação em espaços não escolares
 (Emille) (2/3)</v>
      </c>
      <c r="G11" s="150" t="str">
        <f>'Horário - Graduação'!AW39</f>
        <v>Organização da Educação Brasileira (Gerson) (2/5)/  Optativa II: Pedagogia Empresarial  (Lilian) (2/4)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5.75" customHeight="1">
      <c r="A12" s="36"/>
      <c r="B12" s="140" t="s">
        <v>193</v>
      </c>
      <c r="C12" s="131"/>
      <c r="D12" s="150" t="str">
        <f>'Horário - Graduação'!AT40</f>
        <v>Letramento (s): Dimensão Plural  (Cláudia) (2/1)</v>
      </c>
      <c r="E12" s="150" t="str">
        <f>'Horário - Graduação'!AU40</f>
        <v>UCE IV: Alfaletrar: Práticas de Alfabetização na Escola (Admilson e Giuliana)  (2/2)</v>
      </c>
      <c r="F12" s="150" t="str">
        <f>'Horário - Graduação'!AV40</f>
        <v>
Gestão da Educação em espaços não escolares
 (Emille) (2/3)</v>
      </c>
      <c r="G12" s="150" t="str">
        <f>'Horário - Graduação'!AW40</f>
        <v>Organização da Educação Brasileira (Gerson) (2/5)/  Optativa II: Pedagogia Empresarial  (Lilian) (2/4)</v>
      </c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ht="15.75" customHeight="1">
      <c r="A13" s="36"/>
      <c r="B13" s="147" t="s">
        <v>111</v>
      </c>
      <c r="C13" s="131"/>
      <c r="D13" s="143" t="str">
        <f>'Horário - Graduação'!AT41</f>
        <v/>
      </c>
      <c r="E13" s="143" t="str">
        <f>'Horário - Graduação'!AU41</f>
        <v/>
      </c>
      <c r="F13" s="143" t="str">
        <f>'Horário - Graduação'!AV41</f>
        <v/>
      </c>
      <c r="G13" s="143" t="str">
        <f>'Horário - Graduação'!AW41</f>
        <v/>
      </c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ht="15.75" customHeight="1">
      <c r="A14" s="36"/>
      <c r="B14" s="140" t="s">
        <v>198</v>
      </c>
      <c r="C14" s="131"/>
      <c r="D14" s="150" t="str">
        <f>'Horário - Graduação'!AT42</f>
        <v>Matemática Básica (Fabiano) (2/1)</v>
      </c>
      <c r="E14" s="150" t="str">
        <f>'Horário - Graduação'!AU42</f>
        <v>Fundamentos e Metodologia da Língua Portuguesa na Educação Infantil (Emille)  (2/2)</v>
      </c>
      <c r="F14" s="150" t="str">
        <f>'Horário - Graduação'!AV42</f>
        <v>Educação do Campo (Patrícia Lima) (2/3)</v>
      </c>
      <c r="G14" s="150" t="str">
        <f>'Horário - Graduação'!AW42</f>
        <v>Organização da Educação Brasileira (Gerson) (2/5)/  Optativa II: Pedagogia Empresarial  (Lilian) (2/4)</v>
      </c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ht="15.75" customHeight="1">
      <c r="A15" s="66"/>
      <c r="B15" s="140" t="s">
        <v>210</v>
      </c>
      <c r="C15" s="131"/>
      <c r="D15" s="150" t="str">
        <f>'Horário - Graduação'!AT43</f>
        <v>Matemática Básica (Fabiano) (2/1)</v>
      </c>
      <c r="E15" s="150" t="str">
        <f>'Horário - Graduação'!AU43</f>
        <v>Fundamentos e Metodologia da Língua Portuguesa na Educação Infantil (Emille)  (2/2)</v>
      </c>
      <c r="F15" s="150" t="str">
        <f>'Horário - Graduação'!AV43</f>
        <v/>
      </c>
      <c r="G15" s="150" t="str">
        <f>'Horário - Graduação'!AW43</f>
        <v>Organização da Educação Brasileira (Gerson) (2/5)/  Optativa II: Pedagogia Empresarial  (Lilian) (2/4)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15.75" customHeight="1">
      <c r="A16" s="99" t="s">
        <v>20</v>
      </c>
      <c r="B16" s="140" t="s">
        <v>23</v>
      </c>
      <c r="C16" s="131"/>
      <c r="D16" s="98" t="s">
        <v>74</v>
      </c>
      <c r="E16" s="99" t="s">
        <v>75</v>
      </c>
      <c r="F16" s="99" t="s">
        <v>76</v>
      </c>
      <c r="G16" s="99" t="s">
        <v>77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15.75" customHeight="1">
      <c r="A17" s="134" t="s">
        <v>12</v>
      </c>
      <c r="B17" s="140" t="s">
        <v>164</v>
      </c>
      <c r="C17" s="131"/>
      <c r="D17" s="75" t="str">
        <f>'Horário - Graduação'!AT59</f>
        <v>UCE II: Educação e Diversidade (Emille) (2/1)</v>
      </c>
      <c r="E17" s="75" t="str">
        <f>'Horário - Graduação'!AU59</f>
        <v>UCE IV: Alfaletrar: Práticas de Alfabetização na Escola (Admilson e Giuliana)  (2/2)</v>
      </c>
      <c r="F17" s="75" t="str">
        <f>'Horário - Graduação'!AV59</f>
        <v>Libras I - EaD (Luciene)</v>
      </c>
      <c r="G17" s="75" t="str">
        <f>'Horário - Graduação'!AW59</f>
        <v>Estágio Curricular Supervisionado IV: Gestão Escolar (Lilian) (2/4)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15.75" customHeight="1">
      <c r="A18" s="36"/>
      <c r="B18" s="140" t="s">
        <v>174</v>
      </c>
      <c r="C18" s="131"/>
      <c r="D18" s="150" t="str">
        <f>'Horário - Graduação'!AT60</f>
        <v>Filosofia e Infância (Admilson) (2/1)</v>
      </c>
      <c r="E18" s="150" t="str">
        <f>'Horário - Graduação'!AU60</f>
        <v>Psicologia da Educação II (Emille)  (2/2)</v>
      </c>
      <c r="F18" s="150" t="str">
        <f>'Horário - Graduação'!AV60</f>
        <v>Educação do Campo (Patrícia Lima) (2/3)</v>
      </c>
      <c r="G18" s="150" t="str">
        <f>'Horário - Graduação'!AW60</f>
        <v>Estágio Curricular Supervisionado IV: Gestão Escolar (Lilian) (2/4)</v>
      </c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15.75" customHeight="1">
      <c r="A19" s="36"/>
      <c r="B19" s="140" t="s">
        <v>193</v>
      </c>
      <c r="C19" s="131"/>
      <c r="D19" s="150" t="str">
        <f>'Horário - Graduação'!AT61</f>
        <v>Filosofia e Infância (Admilson) (2/1)</v>
      </c>
      <c r="E19" s="150" t="str">
        <f>'Horário - Graduação'!AU61</f>
        <v>Psicologia da Educação II (Emille)  (2/2)</v>
      </c>
      <c r="F19" s="150" t="str">
        <f>'Horário - Graduação'!AV61</f>
        <v>Fundamentos e Metodologia da Educação de Jovens e Adultos (Edna) (2/3)</v>
      </c>
      <c r="G19" s="150" t="str">
        <f>'Horário - Graduação'!AW61</f>
        <v>Estágio Curricular Supervisionado IV: Gestão Escolar (Lilian) (2/4)</v>
      </c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ht="15.75" customHeight="1">
      <c r="A20" s="36"/>
      <c r="B20" s="147" t="s">
        <v>111</v>
      </c>
      <c r="C20" s="131"/>
      <c r="D20" s="143" t="str">
        <f>'Horário - Graduação'!AT62</f>
        <v/>
      </c>
      <c r="E20" s="143" t="str">
        <f>'Horário - Graduação'!AU62</f>
        <v/>
      </c>
      <c r="F20" s="143" t="str">
        <f>'Horário - Graduação'!AV62</f>
        <v/>
      </c>
      <c r="G20" s="143" t="str">
        <f>'Horário - Graduação'!AW62</f>
        <v/>
      </c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5.75" customHeight="1">
      <c r="A21" s="36"/>
      <c r="B21" s="140" t="s">
        <v>198</v>
      </c>
      <c r="C21" s="131"/>
      <c r="D21" s="150" t="str">
        <f>'Horário - Graduação'!AT63</f>
        <v>Filosofia e Infância (Admilson) (2/1)</v>
      </c>
      <c r="E21" s="150" t="str">
        <f>'Horário - Graduação'!AU63</f>
        <v>Fundamentos e Metodologia das Ciências na Educação Infantil (Laio)</v>
      </c>
      <c r="F21" s="150" t="str">
        <f>'Horário - Graduação'!AV63</f>
        <v>Fundamentos e Metodologia da Educação de Jovens e Adultos (Edna) (2/3)</v>
      </c>
      <c r="G21" s="150" t="str">
        <f>'Horário - Graduação'!AW63</f>
        <v>Optativa II: Neurociência e Educação (Giuliana) (2/4)</v>
      </c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66"/>
      <c r="B22" s="140" t="s">
        <v>210</v>
      </c>
      <c r="C22" s="131"/>
      <c r="D22" s="150" t="str">
        <f>'Horário - Graduação'!AT64</f>
        <v>Filosofia e Infância (Admilson) (2/1)</v>
      </c>
      <c r="E22" s="150" t="str">
        <f>'Horário - Graduação'!AU64</f>
        <v>Fundamentos e Metodologia das Ciências na Educação Infantil (Laio)</v>
      </c>
      <c r="F22" s="150" t="str">
        <f>'Horário - Graduação'!AV64</f>
        <v>Fundamentos e Metodologia da Educação de Jovens e Adultos (Edna) (2/3)</v>
      </c>
      <c r="G22" s="150" t="str">
        <f>'Horário - Graduação'!AW64</f>
        <v>Optativa II: Neurociência e Educação (Giuliana) (2/4)</v>
      </c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99" t="s">
        <v>20</v>
      </c>
      <c r="B23" s="140" t="s">
        <v>23</v>
      </c>
      <c r="C23" s="131"/>
      <c r="D23" s="98" t="s">
        <v>74</v>
      </c>
      <c r="E23" s="99" t="s">
        <v>75</v>
      </c>
      <c r="F23" s="99" t="s">
        <v>76</v>
      </c>
      <c r="G23" s="99" t="s">
        <v>77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4" t="s">
        <v>13</v>
      </c>
      <c r="B24" s="140" t="s">
        <v>164</v>
      </c>
      <c r="C24" s="131"/>
      <c r="D24" s="75" t="str">
        <f>'Horário - Graduação'!AT80</f>
        <v/>
      </c>
      <c r="E24" s="75" t="str">
        <f>'Horário - Graduação'!AU80</f>
        <v/>
      </c>
      <c r="F24" s="75" t="str">
        <f>'Horário - Graduação'!AV80</f>
        <v/>
      </c>
      <c r="G24" s="75" t="str">
        <f>'Horário - Graduação'!AW80</f>
        <v>Pesquisa Aplicada à Educação III – TCC III (Edna) (2/4)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36"/>
      <c r="B25" s="140" t="s">
        <v>174</v>
      </c>
      <c r="C25" s="131"/>
      <c r="D25" s="150" t="str">
        <f>'Horário - Graduação'!AT81</f>
        <v>Relações Étnico-Raciais na Educação Infantil e SIEF (Márlio) (2/1)</v>
      </c>
      <c r="E25" s="150" t="str">
        <f>'Horário - Graduação'!AU81</f>
        <v>Fundamentos e Metodologia da História e Geografia na Educação Infantil  (Laio)
  (2/2)</v>
      </c>
      <c r="F25" s="150" t="str">
        <f>'Horário - Graduação'!AV81</f>
        <v>Organização da Educação Brasileira (Gerson) (2/3)</v>
      </c>
      <c r="G25" s="150" t="str">
        <f>'Horário - Graduação'!AW81</f>
        <v>Pesquisa Aplicada à Educação III – TCC III (Edna) (2/4)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36"/>
      <c r="B26" s="140" t="s">
        <v>193</v>
      </c>
      <c r="C26" s="131"/>
      <c r="D26" s="150" t="str">
        <f>'Horário - Graduação'!AT82</f>
        <v>Relações Étnico-Raciais na Educação Infantil e SIEF (Márlio) (2/1)</v>
      </c>
      <c r="E26" s="150" t="str">
        <f>'Horário - Graduação'!AU82</f>
        <v>Fundamentos e Metodologia da História e Geografia na Educação Infantil  (Laio)  (2/2)</v>
      </c>
      <c r="F26" s="150" t="str">
        <f>'Horário - Graduação'!AV82</f>
        <v>Organização da Educação Brasileira (Gerson) (2/3)</v>
      </c>
      <c r="G26" s="150" t="str">
        <f>'Horário - Graduação'!AW82</f>
        <v>Pesquisa Aplicada à Educação III – TCC III (Edna) (2/4)</v>
      </c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36"/>
      <c r="B27" s="147" t="s">
        <v>111</v>
      </c>
      <c r="C27" s="131"/>
      <c r="D27" s="143" t="str">
        <f>'Horário - Graduação'!AT83</f>
        <v/>
      </c>
      <c r="E27" s="143" t="str">
        <f>'Horário - Graduação'!AU83</f>
        <v/>
      </c>
      <c r="F27" s="143" t="str">
        <f>'Horário - Graduação'!AV83</f>
        <v/>
      </c>
      <c r="G27" s="143" t="str">
        <f>'Horário - Graduação'!AW83</f>
        <v/>
      </c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36"/>
      <c r="B28" s="140" t="s">
        <v>198</v>
      </c>
      <c r="C28" s="131"/>
      <c r="D28" s="150" t="str">
        <f>'Horário - Graduação'!AT84</f>
        <v>História da Educação II (Renata)  (2/1)</v>
      </c>
      <c r="E28" s="150" t="str">
        <f>'Horário - Graduação'!AU84</f>
        <v>Fundamentos e Metodologia da Alfabetização e Letramento (Edna)  (2/2)</v>
      </c>
      <c r="F28" s="150" t="str">
        <f>'Horário - Graduação'!AV84</f>
        <v>Organização da Educação Brasileira (Gerson) (2/3)</v>
      </c>
      <c r="G28" s="150" t="str">
        <f>'Horário - Graduação'!AW84</f>
        <v>Educação: Corpo e Ludicidade (Jairo / Fabiene)(2/4)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66"/>
      <c r="B29" s="140" t="s">
        <v>210</v>
      </c>
      <c r="C29" s="131"/>
      <c r="D29" s="150" t="str">
        <f>'Horário - Graduação'!AT85</f>
        <v>História da Educação II (Renata ) (2/1)</v>
      </c>
      <c r="E29" s="150" t="str">
        <f>'Horário - Graduação'!AU85</f>
        <v>Fundamentos e Metodologia da Alfabetização e Letramento (Edna)  (2/2)</v>
      </c>
      <c r="F29" s="150" t="str">
        <f>'Horário - Graduação'!AV85</f>
        <v>Organização da Educação Brasileira (Gerson) (2/3)</v>
      </c>
      <c r="G29" s="150" t="str">
        <f>'Horário - Graduação'!AW85</f>
        <v>Educação: Corpo e Ludicidade (Jairo / Fabiene) (2/4)</v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99" t="s">
        <v>20</v>
      </c>
      <c r="B30" s="140" t="s">
        <v>23</v>
      </c>
      <c r="C30" s="131"/>
      <c r="D30" s="98" t="s">
        <v>74</v>
      </c>
      <c r="E30" s="99" t="s">
        <v>75</v>
      </c>
      <c r="F30" s="99" t="s">
        <v>76</v>
      </c>
      <c r="G30" s="99" t="s">
        <v>77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4" t="s">
        <v>14</v>
      </c>
      <c r="B31" s="140" t="s">
        <v>164</v>
      </c>
      <c r="C31" s="131"/>
      <c r="D31" s="75" t="str">
        <f>'Horário - Graduação'!AT101</f>
        <v>UCE II: Educação e Diversidade (Emille) (2/1)</v>
      </c>
      <c r="E31" s="75" t="str">
        <f>'Horário - Graduação'!AU101</f>
        <v>Pesquisa e Prática Pedagógica III (Edna)     (2/2)</v>
      </c>
      <c r="F31" s="75" t="str">
        <f>'Horário - Graduação'!AV101</f>
        <v>UCE V: Educação Popular (Emille e Bergston) (2/3)</v>
      </c>
      <c r="G31" s="75" t="str">
        <f>'Horário - Graduação'!AW101</f>
        <v/>
      </c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36"/>
      <c r="B32" s="140" t="s">
        <v>174</v>
      </c>
      <c r="C32" s="131"/>
      <c r="D32" s="150" t="str">
        <f>'Horário - Graduação'!AT102</f>
        <v/>
      </c>
      <c r="E32" s="150" t="str">
        <f>'Horário - Graduação'!AU102</f>
        <v>Estágio Supervisionado III: Alfabetização e Avaliações Institucionais (Edna / Admilson)  (2/2)</v>
      </c>
      <c r="F32" s="150" t="str">
        <f>'Horário - Graduação'!AV102</f>
        <v>UCE V: Educação Popular (Emille e Bergston ) (2/3)</v>
      </c>
      <c r="G32" s="150" t="str">
        <f>'Horário - Graduação'!AW102</f>
        <v>História Indígena e Educação (Bergston) (2/4)</v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36"/>
      <c r="B33" s="140" t="s">
        <v>193</v>
      </c>
      <c r="C33" s="131"/>
      <c r="D33" s="150" t="str">
        <f>'Horário - Graduação'!AT103</f>
        <v>Estágio Supervisionado II - Docência e Identidade  (Emille) (2/1)</v>
      </c>
      <c r="E33" s="150" t="str">
        <f>'Horário - Graduação'!AU103</f>
        <v>Estágio Supervisionado III: Alfabetização e Avaliações Institucionais (Edna / Admilson)  (2/2)</v>
      </c>
      <c r="F33" s="150" t="str">
        <f>'Horário - Graduação'!AV103</f>
        <v/>
      </c>
      <c r="G33" s="150" t="str">
        <f>'Horário - Graduação'!AW103</f>
        <v>História Indígena e Educação (Bergston) (2/4)</v>
      </c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36"/>
      <c r="B34" s="147" t="s">
        <v>111</v>
      </c>
      <c r="C34" s="131"/>
      <c r="D34" s="143" t="str">
        <f>'Horário - Graduação'!AT104</f>
        <v/>
      </c>
      <c r="E34" s="143" t="str">
        <f>'Horário - Graduação'!AU104</f>
        <v/>
      </c>
      <c r="F34" s="143" t="str">
        <f>'Horário - Graduação'!AV104</f>
        <v/>
      </c>
      <c r="G34" s="143" t="str">
        <f>'Horário - Graduação'!AW104</f>
        <v/>
      </c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36"/>
      <c r="B35" s="140" t="s">
        <v>198</v>
      </c>
      <c r="C35" s="131"/>
      <c r="D35" s="150" t="str">
        <f>'Horário - Graduação'!AT105</f>
        <v>Estágio Supervisionado II - Docência e Identidade  (Emille) (2/1)</v>
      </c>
      <c r="E35" s="150" t="str">
        <f>'Horário - Graduação'!AU105</f>
        <v>Fundamentos e Metodologia da Alfabetização e Letramento (Edna)  (2/2)</v>
      </c>
      <c r="F35" s="150" t="str">
        <f>'Horário - Graduação'!AV105</f>
        <v>Pesquisa Aplicada à Educação I – TCC I (Laio) (2/3)</v>
      </c>
      <c r="G35" s="150" t="str">
        <f>'Horário - Graduação'!AW105</f>
        <v>História Indígena e Educação (Bergston)(2/4)</v>
      </c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66"/>
      <c r="B36" s="140" t="s">
        <v>210</v>
      </c>
      <c r="C36" s="131"/>
      <c r="D36" s="150" t="str">
        <f>'Horário - Graduação'!AT106</f>
        <v>Estágio Supervisionado II - Docência e Identidade  (Emille) (2/1)</v>
      </c>
      <c r="E36" s="150" t="str">
        <f>'Horário - Graduação'!AU106</f>
        <v>Fundamentos e Metodologia da Alfabetização e Letramento (Edna) (2/2)</v>
      </c>
      <c r="F36" s="150" t="str">
        <f>'Horário - Graduação'!AV106</f>
        <v>Pesquisa Aplicada à Educação I – TCC I (Laio) (2/3)</v>
      </c>
      <c r="G36" s="150" t="str">
        <f>'Horário - Graduação'!AW106</f>
        <v>História Indígena e Educação (Bergston) (2/4)</v>
      </c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42" t="s">
        <v>20</v>
      </c>
      <c r="B37" s="140" t="s">
        <v>23</v>
      </c>
      <c r="C37" s="131"/>
      <c r="D37" s="98" t="s">
        <v>74</v>
      </c>
      <c r="E37" s="99" t="s">
        <v>75</v>
      </c>
      <c r="F37" s="99" t="s">
        <v>76</v>
      </c>
      <c r="G37" s="99" t="s">
        <v>77</v>
      </c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32"/>
      <c r="C238" s="32"/>
      <c r="D238" s="32"/>
      <c r="E238" s="32"/>
      <c r="F238" s="32"/>
      <c r="G238" s="32"/>
    </row>
    <row r="239" ht="15.75" customHeight="1">
      <c r="A239" s="32"/>
      <c r="C239" s="32"/>
      <c r="D239" s="32"/>
      <c r="E239" s="32"/>
      <c r="F239" s="32"/>
      <c r="G239" s="32"/>
    </row>
    <row r="240" ht="15.75" customHeight="1">
      <c r="A240" s="32"/>
      <c r="C240" s="32"/>
      <c r="D240" s="32"/>
      <c r="E240" s="32"/>
      <c r="F240" s="32"/>
      <c r="G240" s="32"/>
    </row>
    <row r="241" ht="15.75" customHeight="1">
      <c r="A241" s="32"/>
      <c r="C241" s="32"/>
      <c r="D241" s="32"/>
      <c r="E241" s="32"/>
      <c r="F241" s="32"/>
      <c r="G241" s="32"/>
    </row>
    <row r="242" ht="15.75" customHeight="1">
      <c r="A242" s="32"/>
      <c r="C242" s="32"/>
      <c r="D242" s="32"/>
      <c r="E242" s="32"/>
      <c r="F242" s="32"/>
      <c r="G242" s="32"/>
    </row>
    <row r="243" ht="15.75" customHeight="1">
      <c r="A243" s="32"/>
      <c r="C243" s="32"/>
      <c r="D243" s="32"/>
      <c r="E243" s="32"/>
      <c r="F243" s="32"/>
      <c r="G243" s="32"/>
    </row>
    <row r="244" ht="15.75" customHeight="1">
      <c r="A244" s="32"/>
      <c r="C244" s="32"/>
      <c r="D244" s="32"/>
      <c r="E244" s="32"/>
      <c r="F244" s="32"/>
      <c r="G244" s="32"/>
    </row>
    <row r="245" ht="15.75" customHeight="1">
      <c r="A245" s="32"/>
      <c r="C245" s="32"/>
      <c r="D245" s="32"/>
      <c r="E245" s="32"/>
      <c r="F245" s="32"/>
      <c r="G245" s="32"/>
    </row>
    <row r="246" ht="15.75" customHeight="1">
      <c r="A246" s="32"/>
      <c r="C246" s="32"/>
      <c r="D246" s="32"/>
      <c r="E246" s="32"/>
      <c r="F246" s="32"/>
      <c r="G246" s="32"/>
    </row>
    <row r="247" ht="15.75" customHeight="1">
      <c r="A247" s="32"/>
      <c r="C247" s="32"/>
      <c r="D247" s="32"/>
      <c r="E247" s="32"/>
      <c r="F247" s="32"/>
      <c r="G247" s="32"/>
    </row>
    <row r="248" ht="15.75" customHeight="1">
      <c r="A248" s="32"/>
      <c r="C248" s="32"/>
      <c r="D248" s="32"/>
      <c r="E248" s="32"/>
      <c r="F248" s="32"/>
      <c r="G248" s="32"/>
    </row>
    <row r="249" ht="15.75" customHeight="1">
      <c r="A249" s="32"/>
      <c r="C249" s="32"/>
      <c r="D249" s="32"/>
      <c r="E249" s="32"/>
      <c r="F249" s="32"/>
      <c r="G249" s="32"/>
    </row>
    <row r="250" ht="15.75" customHeight="1">
      <c r="A250" s="32"/>
      <c r="C250" s="32"/>
      <c r="D250" s="32"/>
      <c r="E250" s="32"/>
      <c r="F250" s="32"/>
      <c r="G250" s="32"/>
    </row>
    <row r="251" ht="15.75" customHeight="1">
      <c r="A251" s="32"/>
      <c r="C251" s="32"/>
      <c r="D251" s="32"/>
      <c r="E251" s="32"/>
      <c r="F251" s="32"/>
      <c r="G251" s="32"/>
    </row>
    <row r="252" ht="15.75" customHeight="1">
      <c r="A252" s="32"/>
      <c r="C252" s="32"/>
      <c r="D252" s="32"/>
      <c r="E252" s="32"/>
      <c r="F252" s="32"/>
      <c r="G252" s="32"/>
    </row>
    <row r="253" ht="15.75" customHeight="1">
      <c r="A253" s="32"/>
      <c r="C253" s="32"/>
      <c r="D253" s="32"/>
      <c r="E253" s="32"/>
      <c r="F253" s="32"/>
      <c r="G253" s="32"/>
    </row>
    <row r="254" ht="15.75" customHeight="1">
      <c r="A254" s="32"/>
      <c r="C254" s="32"/>
      <c r="D254" s="32"/>
      <c r="E254" s="32"/>
      <c r="F254" s="32"/>
      <c r="G254" s="32"/>
    </row>
    <row r="255" ht="15.75" customHeight="1">
      <c r="A255" s="32"/>
      <c r="C255" s="32"/>
      <c r="D255" s="32"/>
      <c r="E255" s="32"/>
      <c r="F255" s="32"/>
      <c r="G255" s="32"/>
    </row>
    <row r="256" ht="15.75" customHeight="1">
      <c r="A256" s="32"/>
      <c r="C256" s="32"/>
      <c r="D256" s="32"/>
      <c r="E256" s="32"/>
      <c r="F256" s="32"/>
      <c r="G256" s="32"/>
    </row>
    <row r="257" ht="15.75" customHeight="1">
      <c r="A257" s="32"/>
      <c r="C257" s="32"/>
      <c r="D257" s="32"/>
      <c r="E257" s="32"/>
      <c r="F257" s="32"/>
      <c r="G257" s="32"/>
    </row>
    <row r="258" ht="15.75" customHeight="1">
      <c r="A258" s="32"/>
      <c r="C258" s="32"/>
      <c r="D258" s="32"/>
      <c r="E258" s="32"/>
      <c r="F258" s="32"/>
      <c r="G258" s="32"/>
    </row>
    <row r="259" ht="15.75" customHeight="1">
      <c r="A259" s="32"/>
      <c r="C259" s="32"/>
      <c r="D259" s="32"/>
      <c r="E259" s="32"/>
      <c r="F259" s="32"/>
      <c r="G259" s="32"/>
    </row>
    <row r="260" ht="15.75" customHeight="1">
      <c r="A260" s="32"/>
      <c r="C260" s="32"/>
      <c r="D260" s="32"/>
      <c r="E260" s="32"/>
      <c r="F260" s="32"/>
      <c r="G260" s="32"/>
    </row>
    <row r="261" ht="15.75" customHeight="1">
      <c r="A261" s="32"/>
      <c r="C261" s="32"/>
      <c r="D261" s="32"/>
      <c r="E261" s="32"/>
      <c r="F261" s="32"/>
      <c r="G261" s="32"/>
    </row>
    <row r="262" ht="15.75" customHeight="1">
      <c r="A262" s="32"/>
      <c r="C262" s="32"/>
      <c r="D262" s="32"/>
      <c r="E262" s="32"/>
      <c r="F262" s="32"/>
      <c r="G262" s="32"/>
    </row>
    <row r="263" ht="15.75" customHeight="1">
      <c r="A263" s="32"/>
      <c r="C263" s="32"/>
      <c r="D263" s="32"/>
      <c r="E263" s="32"/>
      <c r="F263" s="32"/>
      <c r="G263" s="32"/>
    </row>
    <row r="264" ht="15.75" customHeight="1">
      <c r="A264" s="32"/>
      <c r="C264" s="32"/>
      <c r="D264" s="32"/>
      <c r="E264" s="32"/>
      <c r="F264" s="32"/>
      <c r="G264" s="32"/>
    </row>
    <row r="265" ht="15.75" customHeight="1">
      <c r="A265" s="32"/>
      <c r="C265" s="32"/>
      <c r="D265" s="32"/>
      <c r="E265" s="32"/>
      <c r="F265" s="32"/>
      <c r="G265" s="32"/>
    </row>
    <row r="266" ht="15.75" customHeight="1">
      <c r="A266" s="32"/>
      <c r="C266" s="32"/>
      <c r="D266" s="32"/>
      <c r="E266" s="32"/>
      <c r="F266" s="32"/>
      <c r="G266" s="32"/>
    </row>
    <row r="267" ht="15.75" customHeight="1">
      <c r="A267" s="32"/>
      <c r="C267" s="32"/>
      <c r="D267" s="32"/>
      <c r="E267" s="32"/>
      <c r="F267" s="32"/>
      <c r="G267" s="32"/>
    </row>
    <row r="268" ht="15.75" customHeight="1">
      <c r="A268" s="32"/>
      <c r="C268" s="32"/>
      <c r="D268" s="32"/>
      <c r="E268" s="32"/>
      <c r="F268" s="32"/>
      <c r="G268" s="32"/>
    </row>
    <row r="269" ht="15.75" customHeight="1">
      <c r="A269" s="32"/>
      <c r="C269" s="32"/>
      <c r="D269" s="32"/>
      <c r="E269" s="32"/>
      <c r="F269" s="32"/>
      <c r="G269" s="32"/>
    </row>
    <row r="270" ht="15.75" customHeight="1">
      <c r="A270" s="32"/>
      <c r="C270" s="32"/>
      <c r="D270" s="32"/>
      <c r="E270" s="32"/>
      <c r="F270" s="32"/>
      <c r="G270" s="32"/>
    </row>
    <row r="271" ht="15.75" customHeight="1">
      <c r="A271" s="32"/>
      <c r="C271" s="32"/>
      <c r="D271" s="32"/>
      <c r="E271" s="32"/>
      <c r="F271" s="32"/>
      <c r="G271" s="32"/>
    </row>
    <row r="272" ht="15.75" customHeight="1">
      <c r="A272" s="32"/>
      <c r="C272" s="32"/>
      <c r="D272" s="32"/>
      <c r="E272" s="32"/>
      <c r="F272" s="32"/>
      <c r="G272" s="32"/>
    </row>
    <row r="273" ht="15.75" customHeight="1">
      <c r="A273" s="32"/>
      <c r="C273" s="32"/>
      <c r="D273" s="32"/>
      <c r="E273" s="32"/>
      <c r="F273" s="32"/>
      <c r="G273" s="32"/>
    </row>
    <row r="274" ht="15.75" customHeight="1">
      <c r="A274" s="32"/>
      <c r="C274" s="32"/>
      <c r="D274" s="32"/>
      <c r="E274" s="32"/>
      <c r="F274" s="32"/>
      <c r="G274" s="32"/>
    </row>
    <row r="275" ht="15.75" customHeight="1">
      <c r="A275" s="32"/>
      <c r="C275" s="32"/>
      <c r="D275" s="32"/>
      <c r="E275" s="32"/>
      <c r="F275" s="32"/>
      <c r="G275" s="32"/>
    </row>
    <row r="276" ht="15.75" customHeight="1">
      <c r="A276" s="32"/>
      <c r="C276" s="32"/>
      <c r="D276" s="32"/>
      <c r="E276" s="32"/>
      <c r="F276" s="32"/>
      <c r="G276" s="32"/>
    </row>
    <row r="277" ht="15.75" customHeight="1">
      <c r="A277" s="32"/>
      <c r="C277" s="32"/>
      <c r="D277" s="32"/>
      <c r="E277" s="32"/>
      <c r="F277" s="32"/>
      <c r="G277" s="32"/>
    </row>
    <row r="278" ht="15.75" customHeight="1">
      <c r="A278" s="32"/>
      <c r="C278" s="32"/>
      <c r="D278" s="32"/>
      <c r="E278" s="32"/>
      <c r="F278" s="32"/>
      <c r="G278" s="32"/>
    </row>
    <row r="279" ht="15.75" customHeight="1">
      <c r="A279" s="32"/>
      <c r="C279" s="32"/>
      <c r="D279" s="32"/>
      <c r="E279" s="32"/>
      <c r="F279" s="32"/>
      <c r="G279" s="32"/>
    </row>
    <row r="280" ht="15.75" customHeight="1">
      <c r="A280" s="32"/>
      <c r="C280" s="32"/>
      <c r="D280" s="32"/>
      <c r="E280" s="32"/>
      <c r="F280" s="32"/>
      <c r="G280" s="32"/>
    </row>
    <row r="281" ht="15.75" customHeight="1">
      <c r="A281" s="32"/>
      <c r="C281" s="32"/>
      <c r="D281" s="32"/>
      <c r="E281" s="32"/>
      <c r="F281" s="32"/>
      <c r="G281" s="32"/>
    </row>
    <row r="282" ht="15.75" customHeight="1">
      <c r="A282" s="32"/>
      <c r="C282" s="32"/>
      <c r="D282" s="32"/>
      <c r="E282" s="32"/>
      <c r="F282" s="32"/>
      <c r="G282" s="32"/>
    </row>
    <row r="283" ht="15.75" customHeight="1">
      <c r="A283" s="32"/>
      <c r="C283" s="32"/>
      <c r="D283" s="32"/>
      <c r="E283" s="32"/>
      <c r="F283" s="32"/>
      <c r="G283" s="32"/>
    </row>
    <row r="284" ht="15.75" customHeight="1">
      <c r="A284" s="32"/>
      <c r="C284" s="32"/>
      <c r="D284" s="32"/>
      <c r="E284" s="32"/>
      <c r="F284" s="32"/>
      <c r="G284" s="32"/>
    </row>
    <row r="285" ht="15.75" customHeight="1">
      <c r="A285" s="32"/>
      <c r="C285" s="32"/>
      <c r="D285" s="32"/>
      <c r="E285" s="32"/>
      <c r="F285" s="32"/>
      <c r="G285" s="32"/>
    </row>
    <row r="286" ht="15.75" customHeight="1">
      <c r="A286" s="32"/>
      <c r="C286" s="32"/>
      <c r="D286" s="32"/>
      <c r="E286" s="32"/>
      <c r="F286" s="32"/>
      <c r="G286" s="32"/>
    </row>
    <row r="287" ht="15.75" customHeight="1">
      <c r="A287" s="32"/>
      <c r="C287" s="32"/>
      <c r="D287" s="32"/>
      <c r="E287" s="32"/>
      <c r="F287" s="32"/>
      <c r="G287" s="32"/>
    </row>
    <row r="288" ht="15.75" customHeight="1">
      <c r="A288" s="32"/>
      <c r="C288" s="32"/>
      <c r="D288" s="32"/>
      <c r="E288" s="32"/>
      <c r="F288" s="32"/>
      <c r="G288" s="32"/>
    </row>
    <row r="289" ht="15.75" customHeight="1">
      <c r="A289" s="32"/>
      <c r="C289" s="32"/>
      <c r="D289" s="32"/>
      <c r="E289" s="32"/>
      <c r="F289" s="32"/>
      <c r="G289" s="32"/>
    </row>
    <row r="290" ht="15.75" customHeight="1">
      <c r="A290" s="32"/>
      <c r="C290" s="32"/>
      <c r="D290" s="32"/>
      <c r="E290" s="32"/>
      <c r="F290" s="32"/>
      <c r="G290" s="32"/>
    </row>
    <row r="291" ht="15.75" customHeight="1">
      <c r="A291" s="32"/>
      <c r="C291" s="32"/>
      <c r="D291" s="32"/>
      <c r="E291" s="32"/>
      <c r="F291" s="32"/>
      <c r="G291" s="32"/>
    </row>
    <row r="292" ht="15.75" customHeight="1">
      <c r="A292" s="32"/>
      <c r="C292" s="32"/>
      <c r="D292" s="32"/>
      <c r="E292" s="32"/>
      <c r="F292" s="32"/>
      <c r="G292" s="32"/>
    </row>
    <row r="293" ht="15.75" customHeight="1">
      <c r="A293" s="32"/>
      <c r="C293" s="32"/>
      <c r="D293" s="32"/>
      <c r="E293" s="32"/>
      <c r="F293" s="32"/>
      <c r="G293" s="32"/>
    </row>
    <row r="294" ht="15.75" customHeight="1">
      <c r="A294" s="32"/>
      <c r="C294" s="32"/>
      <c r="D294" s="32"/>
      <c r="E294" s="32"/>
      <c r="F294" s="32"/>
      <c r="G294" s="32"/>
    </row>
    <row r="295" ht="15.75" customHeight="1">
      <c r="A295" s="32"/>
      <c r="C295" s="32"/>
      <c r="D295" s="32"/>
      <c r="E295" s="32"/>
      <c r="F295" s="32"/>
      <c r="G295" s="32"/>
    </row>
    <row r="296" ht="15.75" customHeight="1">
      <c r="A296" s="32"/>
      <c r="C296" s="32"/>
      <c r="D296" s="32"/>
      <c r="E296" s="32"/>
      <c r="F296" s="32"/>
      <c r="G296" s="32"/>
    </row>
    <row r="297" ht="15.75" customHeight="1">
      <c r="A297" s="32"/>
      <c r="C297" s="32"/>
      <c r="D297" s="32"/>
      <c r="E297" s="32"/>
      <c r="F297" s="32"/>
      <c r="G297" s="32"/>
    </row>
    <row r="298" ht="15.75" customHeight="1">
      <c r="A298" s="32"/>
      <c r="C298" s="32"/>
      <c r="D298" s="32"/>
      <c r="E298" s="32"/>
      <c r="F298" s="32"/>
      <c r="G298" s="32"/>
    </row>
    <row r="299" ht="15.75" customHeight="1">
      <c r="A299" s="32"/>
      <c r="C299" s="32"/>
      <c r="D299" s="32"/>
      <c r="E299" s="32"/>
      <c r="F299" s="32"/>
      <c r="G299" s="32"/>
    </row>
    <row r="300" ht="15.75" customHeight="1">
      <c r="A300" s="32"/>
      <c r="C300" s="32"/>
      <c r="D300" s="32"/>
      <c r="E300" s="32"/>
      <c r="F300" s="32"/>
      <c r="G300" s="32"/>
    </row>
    <row r="301" ht="15.75" customHeight="1">
      <c r="A301" s="32"/>
      <c r="C301" s="32"/>
      <c r="D301" s="32"/>
      <c r="E301" s="32"/>
      <c r="F301" s="32"/>
      <c r="G301" s="32"/>
    </row>
    <row r="302" ht="15.75" customHeight="1">
      <c r="A302" s="32"/>
      <c r="C302" s="32"/>
      <c r="D302" s="32"/>
      <c r="E302" s="32"/>
      <c r="F302" s="32"/>
      <c r="G302" s="32"/>
    </row>
    <row r="303" ht="15.75" customHeight="1">
      <c r="A303" s="32"/>
      <c r="C303" s="32"/>
      <c r="D303" s="32"/>
      <c r="E303" s="32"/>
      <c r="F303" s="32"/>
      <c r="G303" s="32"/>
    </row>
    <row r="304" ht="15.75" customHeight="1">
      <c r="A304" s="32"/>
      <c r="C304" s="32"/>
      <c r="D304" s="32"/>
      <c r="E304" s="32"/>
      <c r="F304" s="32"/>
      <c r="G304" s="32"/>
    </row>
    <row r="305" ht="15.75" customHeight="1">
      <c r="A305" s="32"/>
      <c r="C305" s="32"/>
      <c r="D305" s="32"/>
      <c r="E305" s="32"/>
      <c r="F305" s="32"/>
      <c r="G305" s="32"/>
    </row>
    <row r="306" ht="15.75" customHeight="1">
      <c r="A306" s="32"/>
      <c r="C306" s="32"/>
      <c r="D306" s="32"/>
      <c r="E306" s="32"/>
      <c r="F306" s="32"/>
      <c r="G306" s="32"/>
    </row>
    <row r="307" ht="15.75" customHeight="1">
      <c r="A307" s="32"/>
      <c r="C307" s="32"/>
      <c r="D307" s="32"/>
      <c r="E307" s="32"/>
      <c r="F307" s="32"/>
      <c r="G307" s="32"/>
    </row>
    <row r="308" ht="15.75" customHeight="1">
      <c r="A308" s="32"/>
      <c r="C308" s="32"/>
      <c r="D308" s="32"/>
      <c r="E308" s="32"/>
      <c r="F308" s="32"/>
      <c r="G308" s="32"/>
    </row>
    <row r="309" ht="15.75" customHeight="1">
      <c r="A309" s="32"/>
      <c r="C309" s="32"/>
      <c r="D309" s="32"/>
      <c r="E309" s="32"/>
      <c r="F309" s="32"/>
      <c r="G309" s="32"/>
    </row>
    <row r="310" ht="15.75" customHeight="1">
      <c r="A310" s="32"/>
      <c r="C310" s="32"/>
      <c r="D310" s="32"/>
      <c r="E310" s="32"/>
      <c r="F310" s="32"/>
      <c r="G310" s="32"/>
    </row>
    <row r="311" ht="15.75" customHeight="1">
      <c r="A311" s="32"/>
      <c r="C311" s="32"/>
      <c r="D311" s="32"/>
      <c r="E311" s="32"/>
      <c r="F311" s="32"/>
      <c r="G311" s="32"/>
    </row>
    <row r="312" ht="15.75" customHeight="1">
      <c r="A312" s="32"/>
      <c r="C312" s="32"/>
      <c r="D312" s="32"/>
      <c r="E312" s="32"/>
      <c r="F312" s="32"/>
      <c r="G312" s="32"/>
    </row>
    <row r="313" ht="15.75" customHeight="1">
      <c r="A313" s="32"/>
      <c r="C313" s="32"/>
      <c r="D313" s="32"/>
      <c r="E313" s="32"/>
      <c r="F313" s="32"/>
      <c r="G313" s="32"/>
    </row>
    <row r="314" ht="15.75" customHeight="1">
      <c r="A314" s="32"/>
      <c r="C314" s="32"/>
      <c r="D314" s="32"/>
      <c r="E314" s="32"/>
      <c r="F314" s="32"/>
      <c r="G314" s="32"/>
    </row>
    <row r="315" ht="15.75" customHeight="1">
      <c r="A315" s="32"/>
      <c r="C315" s="32"/>
      <c r="D315" s="32"/>
      <c r="E315" s="32"/>
      <c r="F315" s="32"/>
      <c r="G315" s="32"/>
    </row>
    <row r="316" ht="15.75" customHeight="1">
      <c r="A316" s="32"/>
      <c r="C316" s="32"/>
      <c r="D316" s="32"/>
      <c r="E316" s="32"/>
      <c r="F316" s="32"/>
      <c r="G316" s="32"/>
    </row>
    <row r="317" ht="15.75" customHeight="1">
      <c r="A317" s="32"/>
      <c r="C317" s="32"/>
      <c r="D317" s="32"/>
      <c r="E317" s="32"/>
      <c r="F317" s="32"/>
      <c r="G317" s="32"/>
    </row>
    <row r="318" ht="15.75" customHeight="1">
      <c r="A318" s="32"/>
      <c r="C318" s="32"/>
      <c r="D318" s="32"/>
      <c r="E318" s="32"/>
      <c r="F318" s="32"/>
      <c r="G318" s="32"/>
    </row>
    <row r="319" ht="15.75" customHeight="1">
      <c r="A319" s="32"/>
      <c r="C319" s="32"/>
      <c r="D319" s="32"/>
      <c r="E319" s="32"/>
      <c r="F319" s="32"/>
      <c r="G319" s="32"/>
    </row>
    <row r="320" ht="15.75" customHeight="1">
      <c r="A320" s="32"/>
      <c r="C320" s="32"/>
      <c r="D320" s="32"/>
      <c r="E320" s="32"/>
      <c r="F320" s="32"/>
      <c r="G320" s="32"/>
    </row>
    <row r="321" ht="15.75" customHeight="1">
      <c r="A321" s="32"/>
      <c r="C321" s="32"/>
      <c r="D321" s="32"/>
      <c r="E321" s="32"/>
      <c r="F321" s="32"/>
      <c r="G321" s="32"/>
    </row>
    <row r="322" ht="15.75" customHeight="1">
      <c r="A322" s="32"/>
      <c r="C322" s="32"/>
      <c r="D322" s="32"/>
      <c r="E322" s="32"/>
      <c r="F322" s="32"/>
      <c r="G322" s="32"/>
    </row>
    <row r="323" ht="15.75" customHeight="1">
      <c r="A323" s="32"/>
      <c r="C323" s="32"/>
      <c r="D323" s="32"/>
      <c r="E323" s="32"/>
      <c r="F323" s="32"/>
      <c r="G323" s="32"/>
    </row>
    <row r="324" ht="15.75" customHeight="1">
      <c r="A324" s="32"/>
      <c r="C324" s="32"/>
      <c r="D324" s="32"/>
      <c r="E324" s="32"/>
      <c r="F324" s="32"/>
      <c r="G324" s="32"/>
    </row>
    <row r="325" ht="15.75" customHeight="1">
      <c r="A325" s="32"/>
      <c r="C325" s="32"/>
      <c r="D325" s="32"/>
      <c r="E325" s="32"/>
      <c r="F325" s="32"/>
      <c r="G325" s="32"/>
    </row>
    <row r="326" ht="15.75" customHeight="1">
      <c r="A326" s="32"/>
      <c r="C326" s="32"/>
      <c r="D326" s="32"/>
      <c r="E326" s="32"/>
      <c r="F326" s="32"/>
      <c r="G326" s="32"/>
    </row>
    <row r="327" ht="15.75" customHeight="1">
      <c r="A327" s="32"/>
      <c r="C327" s="32"/>
      <c r="D327" s="32"/>
      <c r="E327" s="32"/>
      <c r="F327" s="32"/>
      <c r="G327" s="32"/>
    </row>
    <row r="328" ht="15.75" customHeight="1">
      <c r="A328" s="32"/>
      <c r="C328" s="32"/>
      <c r="D328" s="32"/>
      <c r="E328" s="32"/>
      <c r="F328" s="32"/>
      <c r="G328" s="32"/>
    </row>
    <row r="329" ht="15.75" customHeight="1">
      <c r="A329" s="32"/>
      <c r="C329" s="32"/>
      <c r="D329" s="32"/>
      <c r="E329" s="32"/>
      <c r="F329" s="32"/>
      <c r="G329" s="32"/>
    </row>
    <row r="330" ht="15.75" customHeight="1">
      <c r="A330" s="32"/>
      <c r="C330" s="32"/>
      <c r="D330" s="32"/>
      <c r="E330" s="32"/>
      <c r="F330" s="32"/>
      <c r="G330" s="32"/>
    </row>
    <row r="331" ht="15.75" customHeight="1">
      <c r="A331" s="32"/>
      <c r="C331" s="32"/>
      <c r="D331" s="32"/>
      <c r="E331" s="32"/>
      <c r="F331" s="32"/>
      <c r="G331" s="32"/>
    </row>
    <row r="332" ht="15.75" customHeight="1">
      <c r="A332" s="32"/>
      <c r="C332" s="32"/>
      <c r="D332" s="32"/>
      <c r="E332" s="32"/>
      <c r="F332" s="32"/>
      <c r="G332" s="32"/>
    </row>
    <row r="333" ht="15.75" customHeight="1">
      <c r="A333" s="32"/>
      <c r="C333" s="32"/>
      <c r="D333" s="32"/>
      <c r="E333" s="32"/>
      <c r="F333" s="32"/>
      <c r="G333" s="32"/>
    </row>
    <row r="334" ht="15.75" customHeight="1">
      <c r="A334" s="32"/>
      <c r="C334" s="32"/>
      <c r="D334" s="32"/>
      <c r="E334" s="32"/>
      <c r="F334" s="32"/>
      <c r="G334" s="32"/>
    </row>
    <row r="335" ht="15.75" customHeight="1">
      <c r="A335" s="32"/>
      <c r="C335" s="32"/>
      <c r="D335" s="32"/>
      <c r="E335" s="32"/>
      <c r="F335" s="32"/>
      <c r="G335" s="32"/>
    </row>
    <row r="336" ht="15.75" customHeight="1">
      <c r="A336" s="32"/>
      <c r="C336" s="32"/>
      <c r="D336" s="32"/>
      <c r="E336" s="32"/>
      <c r="F336" s="32"/>
      <c r="G336" s="32"/>
    </row>
    <row r="337" ht="15.75" customHeight="1">
      <c r="A337" s="32"/>
      <c r="C337" s="32"/>
      <c r="D337" s="32"/>
      <c r="E337" s="32"/>
      <c r="F337" s="32"/>
      <c r="G337" s="32"/>
    </row>
    <row r="338" ht="15.75" customHeight="1">
      <c r="A338" s="32"/>
      <c r="C338" s="32"/>
      <c r="D338" s="32"/>
      <c r="E338" s="32"/>
      <c r="F338" s="32"/>
      <c r="G338" s="32"/>
    </row>
    <row r="339" ht="15.75" customHeight="1">
      <c r="A339" s="32"/>
      <c r="C339" s="32"/>
      <c r="D339" s="32"/>
      <c r="E339" s="32"/>
      <c r="F339" s="32"/>
      <c r="G339" s="32"/>
    </row>
    <row r="340" ht="15.75" customHeight="1">
      <c r="A340" s="32"/>
      <c r="C340" s="32"/>
      <c r="D340" s="32"/>
      <c r="E340" s="32"/>
      <c r="F340" s="32"/>
      <c r="G340" s="32"/>
    </row>
    <row r="341" ht="15.75" customHeight="1">
      <c r="A341" s="32"/>
      <c r="C341" s="32"/>
      <c r="D341" s="32"/>
      <c r="E341" s="32"/>
      <c r="F341" s="32"/>
      <c r="G341" s="32"/>
    </row>
    <row r="342" ht="15.75" customHeight="1">
      <c r="A342" s="32"/>
      <c r="C342" s="32"/>
      <c r="D342" s="32"/>
      <c r="E342" s="32"/>
      <c r="F342" s="32"/>
      <c r="G342" s="32"/>
    </row>
    <row r="343" ht="15.75" customHeight="1">
      <c r="A343" s="32"/>
      <c r="C343" s="32"/>
      <c r="D343" s="32"/>
      <c r="E343" s="32"/>
      <c r="F343" s="32"/>
      <c r="G343" s="32"/>
    </row>
    <row r="344" ht="15.75" customHeight="1">
      <c r="A344" s="32"/>
      <c r="C344" s="32"/>
      <c r="D344" s="32"/>
      <c r="E344" s="32"/>
      <c r="F344" s="32"/>
      <c r="G344" s="32"/>
    </row>
    <row r="345" ht="15.75" customHeight="1">
      <c r="A345" s="32"/>
      <c r="C345" s="32"/>
      <c r="D345" s="32"/>
      <c r="E345" s="32"/>
      <c r="F345" s="32"/>
      <c r="G345" s="32"/>
    </row>
    <row r="346" ht="15.75" customHeight="1">
      <c r="A346" s="32"/>
      <c r="C346" s="32"/>
      <c r="D346" s="32"/>
      <c r="E346" s="32"/>
      <c r="F346" s="32"/>
      <c r="G346" s="32"/>
    </row>
    <row r="347" ht="15.75" customHeight="1">
      <c r="A347" s="32"/>
      <c r="C347" s="32"/>
      <c r="D347" s="32"/>
      <c r="E347" s="32"/>
      <c r="F347" s="32"/>
      <c r="G347" s="32"/>
    </row>
    <row r="348" ht="15.75" customHeight="1">
      <c r="A348" s="32"/>
      <c r="C348" s="32"/>
      <c r="D348" s="32"/>
      <c r="E348" s="32"/>
      <c r="F348" s="32"/>
      <c r="G348" s="32"/>
    </row>
    <row r="349" ht="15.75" customHeight="1">
      <c r="A349" s="32"/>
      <c r="C349" s="32"/>
      <c r="D349" s="32"/>
      <c r="E349" s="32"/>
      <c r="F349" s="32"/>
      <c r="G349" s="32"/>
    </row>
    <row r="350" ht="15.75" customHeight="1">
      <c r="A350" s="32"/>
      <c r="C350" s="32"/>
      <c r="D350" s="32"/>
      <c r="E350" s="32"/>
      <c r="F350" s="32"/>
      <c r="G350" s="32"/>
    </row>
    <row r="351" ht="15.75" customHeight="1">
      <c r="A351" s="32"/>
      <c r="C351" s="32"/>
      <c r="D351" s="32"/>
      <c r="E351" s="32"/>
      <c r="F351" s="32"/>
      <c r="G351" s="32"/>
    </row>
    <row r="352" ht="15.75" customHeight="1">
      <c r="A352" s="32"/>
      <c r="C352" s="32"/>
      <c r="D352" s="32"/>
      <c r="E352" s="32"/>
      <c r="F352" s="32"/>
      <c r="G352" s="32"/>
    </row>
    <row r="353" ht="15.75" customHeight="1">
      <c r="A353" s="32"/>
      <c r="C353" s="32"/>
      <c r="D353" s="32"/>
      <c r="E353" s="32"/>
      <c r="F353" s="32"/>
      <c r="G353" s="32"/>
    </row>
    <row r="354" ht="15.75" customHeight="1">
      <c r="A354" s="32"/>
      <c r="C354" s="32"/>
      <c r="D354" s="32"/>
      <c r="E354" s="32"/>
      <c r="F354" s="32"/>
      <c r="G354" s="32"/>
    </row>
    <row r="355" ht="15.75" customHeight="1">
      <c r="A355" s="32"/>
      <c r="C355" s="32"/>
      <c r="D355" s="32"/>
      <c r="E355" s="32"/>
      <c r="F355" s="32"/>
      <c r="G355" s="32"/>
    </row>
    <row r="356" ht="15.75" customHeight="1">
      <c r="A356" s="32"/>
      <c r="C356" s="32"/>
      <c r="D356" s="32"/>
      <c r="E356" s="32"/>
      <c r="F356" s="32"/>
      <c r="G356" s="32"/>
    </row>
    <row r="357" ht="15.75" customHeight="1">
      <c r="A357" s="32"/>
      <c r="C357" s="32"/>
      <c r="D357" s="32"/>
      <c r="E357" s="32"/>
      <c r="F357" s="32"/>
      <c r="G357" s="32"/>
    </row>
    <row r="358" ht="15.75" customHeight="1">
      <c r="A358" s="32"/>
      <c r="C358" s="32"/>
      <c r="D358" s="32"/>
      <c r="E358" s="32"/>
      <c r="F358" s="32"/>
      <c r="G358" s="32"/>
    </row>
    <row r="359" ht="15.75" customHeight="1">
      <c r="A359" s="32"/>
      <c r="C359" s="32"/>
      <c r="D359" s="32"/>
      <c r="E359" s="32"/>
      <c r="F359" s="32"/>
      <c r="G359" s="32"/>
    </row>
    <row r="360" ht="15.75" customHeight="1">
      <c r="A360" s="32"/>
      <c r="C360" s="32"/>
      <c r="D360" s="32"/>
      <c r="E360" s="32"/>
      <c r="F360" s="32"/>
      <c r="G360" s="32"/>
    </row>
    <row r="361" ht="15.75" customHeight="1">
      <c r="A361" s="32"/>
      <c r="C361" s="32"/>
      <c r="D361" s="32"/>
      <c r="E361" s="32"/>
      <c r="F361" s="32"/>
      <c r="G361" s="32"/>
    </row>
    <row r="362" ht="15.75" customHeight="1">
      <c r="A362" s="32"/>
      <c r="C362" s="32"/>
      <c r="D362" s="32"/>
      <c r="E362" s="32"/>
      <c r="F362" s="32"/>
      <c r="G362" s="32"/>
    </row>
    <row r="363" ht="15.75" customHeight="1">
      <c r="A363" s="32"/>
      <c r="C363" s="32"/>
      <c r="D363" s="32"/>
      <c r="E363" s="32"/>
      <c r="F363" s="32"/>
      <c r="G363" s="32"/>
    </row>
    <row r="364" ht="15.75" customHeight="1">
      <c r="A364" s="32"/>
      <c r="C364" s="32"/>
      <c r="D364" s="32"/>
      <c r="E364" s="32"/>
      <c r="F364" s="32"/>
      <c r="G364" s="32"/>
    </row>
    <row r="365" ht="15.75" customHeight="1">
      <c r="A365" s="32"/>
      <c r="C365" s="32"/>
      <c r="D365" s="32"/>
      <c r="E365" s="32"/>
      <c r="F365" s="32"/>
      <c r="G365" s="32"/>
    </row>
    <row r="366" ht="15.75" customHeight="1">
      <c r="A366" s="32"/>
      <c r="C366" s="32"/>
      <c r="D366" s="32"/>
      <c r="E366" s="32"/>
      <c r="F366" s="32"/>
      <c r="G366" s="32"/>
    </row>
    <row r="367" ht="15.75" customHeight="1">
      <c r="A367" s="32"/>
      <c r="C367" s="32"/>
      <c r="D367" s="32"/>
      <c r="E367" s="32"/>
      <c r="F367" s="32"/>
      <c r="G367" s="32"/>
    </row>
    <row r="368" ht="15.75" customHeight="1">
      <c r="A368" s="32"/>
      <c r="C368" s="32"/>
      <c r="D368" s="32"/>
      <c r="E368" s="32"/>
      <c r="F368" s="32"/>
      <c r="G368" s="32"/>
    </row>
    <row r="369" ht="15.75" customHeight="1">
      <c r="A369" s="32"/>
      <c r="C369" s="32"/>
      <c r="D369" s="32"/>
      <c r="E369" s="32"/>
      <c r="F369" s="32"/>
      <c r="G369" s="32"/>
    </row>
    <row r="370" ht="15.75" customHeight="1">
      <c r="A370" s="32"/>
      <c r="C370" s="32"/>
      <c r="D370" s="32"/>
      <c r="E370" s="32"/>
      <c r="F370" s="32"/>
      <c r="G370" s="32"/>
    </row>
    <row r="371" ht="15.75" customHeight="1">
      <c r="A371" s="32"/>
      <c r="C371" s="32"/>
      <c r="D371" s="32"/>
      <c r="E371" s="32"/>
      <c r="F371" s="32"/>
      <c r="G371" s="32"/>
    </row>
    <row r="372" ht="15.75" customHeight="1">
      <c r="A372" s="32"/>
      <c r="C372" s="32"/>
      <c r="D372" s="32"/>
      <c r="E372" s="32"/>
      <c r="F372" s="32"/>
      <c r="G372" s="32"/>
    </row>
    <row r="373" ht="15.75" customHeight="1">
      <c r="A373" s="32"/>
      <c r="C373" s="32"/>
      <c r="D373" s="32"/>
      <c r="E373" s="32"/>
      <c r="F373" s="32"/>
      <c r="G373" s="32"/>
    </row>
    <row r="374" ht="15.75" customHeight="1">
      <c r="A374" s="32"/>
      <c r="C374" s="32"/>
      <c r="D374" s="32"/>
      <c r="E374" s="32"/>
      <c r="F374" s="32"/>
      <c r="G374" s="32"/>
    </row>
    <row r="375" ht="15.75" customHeight="1">
      <c r="A375" s="32"/>
      <c r="C375" s="32"/>
      <c r="D375" s="32"/>
      <c r="E375" s="32"/>
      <c r="F375" s="32"/>
      <c r="G375" s="32"/>
    </row>
    <row r="376" ht="15.75" customHeight="1">
      <c r="A376" s="32"/>
      <c r="C376" s="32"/>
      <c r="D376" s="32"/>
      <c r="E376" s="32"/>
      <c r="F376" s="32"/>
      <c r="G376" s="32"/>
    </row>
    <row r="377" ht="15.75" customHeight="1">
      <c r="A377" s="32"/>
      <c r="C377" s="32"/>
      <c r="D377" s="32"/>
      <c r="E377" s="32"/>
      <c r="F377" s="32"/>
      <c r="G377" s="32"/>
    </row>
    <row r="378" ht="15.75" customHeight="1">
      <c r="A378" s="32"/>
      <c r="C378" s="32"/>
      <c r="D378" s="32"/>
      <c r="E378" s="32"/>
      <c r="F378" s="32"/>
      <c r="G378" s="32"/>
    </row>
    <row r="379" ht="15.75" customHeight="1">
      <c r="A379" s="32"/>
      <c r="C379" s="32"/>
      <c r="D379" s="32"/>
      <c r="E379" s="32"/>
      <c r="F379" s="32"/>
      <c r="G379" s="32"/>
    </row>
    <row r="380" ht="15.75" customHeight="1">
      <c r="A380" s="32"/>
      <c r="C380" s="32"/>
      <c r="D380" s="32"/>
      <c r="E380" s="32"/>
      <c r="F380" s="32"/>
      <c r="G380" s="32"/>
    </row>
    <row r="381" ht="15.75" customHeight="1">
      <c r="A381" s="32"/>
      <c r="C381" s="32"/>
      <c r="D381" s="32"/>
      <c r="E381" s="32"/>
      <c r="F381" s="32"/>
      <c r="G381" s="32"/>
    </row>
    <row r="382" ht="15.75" customHeight="1">
      <c r="A382" s="32"/>
      <c r="C382" s="32"/>
      <c r="D382" s="32"/>
      <c r="E382" s="32"/>
      <c r="F382" s="32"/>
      <c r="G382" s="32"/>
    </row>
    <row r="383" ht="15.75" customHeight="1">
      <c r="A383" s="32"/>
      <c r="C383" s="32"/>
      <c r="D383" s="32"/>
      <c r="E383" s="32"/>
      <c r="F383" s="32"/>
      <c r="G383" s="32"/>
    </row>
    <row r="384" ht="15.75" customHeight="1">
      <c r="A384" s="32"/>
      <c r="C384" s="32"/>
      <c r="D384" s="32"/>
      <c r="E384" s="32"/>
      <c r="F384" s="32"/>
      <c r="G384" s="32"/>
    </row>
    <row r="385" ht="15.75" customHeight="1">
      <c r="A385" s="32"/>
      <c r="C385" s="32"/>
      <c r="D385" s="32"/>
      <c r="E385" s="32"/>
      <c r="F385" s="32"/>
      <c r="G385" s="32"/>
    </row>
    <row r="386" ht="15.75" customHeight="1">
      <c r="A386" s="32"/>
      <c r="C386" s="32"/>
      <c r="D386" s="32"/>
      <c r="E386" s="32"/>
      <c r="F386" s="32"/>
      <c r="G386" s="32"/>
    </row>
    <row r="387" ht="15.75" customHeight="1">
      <c r="A387" s="32"/>
      <c r="C387" s="32"/>
      <c r="D387" s="32"/>
      <c r="E387" s="32"/>
      <c r="F387" s="32"/>
      <c r="G387" s="32"/>
    </row>
    <row r="388" ht="15.75" customHeight="1">
      <c r="A388" s="32"/>
      <c r="C388" s="32"/>
      <c r="D388" s="32"/>
      <c r="E388" s="32"/>
      <c r="F388" s="32"/>
      <c r="G388" s="32"/>
    </row>
    <row r="389" ht="15.75" customHeight="1">
      <c r="A389" s="32"/>
      <c r="C389" s="32"/>
      <c r="D389" s="32"/>
      <c r="E389" s="32"/>
      <c r="F389" s="32"/>
      <c r="G389" s="32"/>
    </row>
    <row r="390" ht="15.75" customHeight="1">
      <c r="A390" s="32"/>
      <c r="C390" s="32"/>
      <c r="D390" s="32"/>
      <c r="E390" s="32"/>
      <c r="F390" s="32"/>
      <c r="G390" s="32"/>
    </row>
    <row r="391" ht="15.75" customHeight="1">
      <c r="A391" s="32"/>
      <c r="C391" s="32"/>
      <c r="D391" s="32"/>
      <c r="E391" s="32"/>
      <c r="F391" s="32"/>
      <c r="G391" s="32"/>
    </row>
    <row r="392" ht="15.75" customHeight="1">
      <c r="A392" s="32"/>
      <c r="C392" s="32"/>
      <c r="D392" s="32"/>
      <c r="E392" s="32"/>
      <c r="F392" s="32"/>
      <c r="G392" s="32"/>
    </row>
    <row r="393" ht="15.75" customHeight="1">
      <c r="A393" s="32"/>
      <c r="C393" s="32"/>
      <c r="D393" s="32"/>
      <c r="E393" s="32"/>
      <c r="F393" s="32"/>
      <c r="G393" s="32"/>
    </row>
    <row r="394" ht="15.75" customHeight="1">
      <c r="A394" s="32"/>
      <c r="C394" s="32"/>
      <c r="D394" s="32"/>
      <c r="E394" s="32"/>
      <c r="F394" s="32"/>
      <c r="G394" s="32"/>
    </row>
    <row r="395" ht="15.75" customHeight="1">
      <c r="A395" s="32"/>
      <c r="C395" s="32"/>
      <c r="D395" s="32"/>
      <c r="E395" s="32"/>
      <c r="F395" s="32"/>
      <c r="G395" s="32"/>
    </row>
    <row r="396" ht="15.75" customHeight="1">
      <c r="A396" s="32"/>
      <c r="C396" s="32"/>
      <c r="D396" s="32"/>
      <c r="E396" s="32"/>
      <c r="F396" s="32"/>
      <c r="G396" s="32"/>
    </row>
    <row r="397" ht="15.75" customHeight="1">
      <c r="A397" s="32"/>
      <c r="C397" s="32"/>
      <c r="D397" s="32"/>
      <c r="E397" s="32"/>
      <c r="F397" s="32"/>
      <c r="G397" s="32"/>
    </row>
    <row r="398" ht="15.75" customHeight="1">
      <c r="A398" s="32"/>
      <c r="C398" s="32"/>
      <c r="D398" s="32"/>
      <c r="E398" s="32"/>
      <c r="F398" s="32"/>
      <c r="G398" s="32"/>
    </row>
    <row r="399" ht="15.75" customHeight="1">
      <c r="A399" s="32"/>
      <c r="C399" s="32"/>
      <c r="D399" s="32"/>
      <c r="E399" s="32"/>
      <c r="F399" s="32"/>
      <c r="G399" s="32"/>
    </row>
    <row r="400" ht="15.75" customHeight="1">
      <c r="A400" s="32"/>
      <c r="C400" s="32"/>
      <c r="D400" s="32"/>
      <c r="E400" s="32"/>
      <c r="F400" s="32"/>
      <c r="G400" s="32"/>
    </row>
    <row r="401" ht="15.75" customHeight="1">
      <c r="A401" s="32"/>
      <c r="C401" s="32"/>
      <c r="D401" s="32"/>
      <c r="E401" s="32"/>
      <c r="F401" s="32"/>
      <c r="G401" s="32"/>
    </row>
    <row r="402" ht="15.75" customHeight="1">
      <c r="A402" s="32"/>
      <c r="C402" s="32"/>
      <c r="D402" s="32"/>
      <c r="E402" s="32"/>
      <c r="F402" s="32"/>
      <c r="G402" s="32"/>
    </row>
    <row r="403" ht="15.75" customHeight="1">
      <c r="A403" s="32"/>
      <c r="C403" s="32"/>
      <c r="D403" s="32"/>
      <c r="E403" s="32"/>
      <c r="F403" s="32"/>
      <c r="G403" s="32"/>
    </row>
    <row r="404" ht="15.75" customHeight="1">
      <c r="A404" s="32"/>
      <c r="C404" s="32"/>
      <c r="D404" s="32"/>
      <c r="E404" s="32"/>
      <c r="F404" s="32"/>
      <c r="G404" s="32"/>
    </row>
    <row r="405" ht="15.75" customHeight="1">
      <c r="A405" s="32"/>
      <c r="C405" s="32"/>
      <c r="D405" s="32"/>
      <c r="E405" s="32"/>
      <c r="F405" s="32"/>
      <c r="G405" s="32"/>
    </row>
    <row r="406" ht="15.75" customHeight="1">
      <c r="A406" s="32"/>
      <c r="C406" s="32"/>
      <c r="D406" s="32"/>
      <c r="E406" s="32"/>
      <c r="F406" s="32"/>
      <c r="G406" s="32"/>
    </row>
    <row r="407" ht="15.75" customHeight="1">
      <c r="A407" s="32"/>
      <c r="C407" s="32"/>
      <c r="D407" s="32"/>
      <c r="E407" s="32"/>
      <c r="F407" s="32"/>
      <c r="G407" s="32"/>
    </row>
    <row r="408" ht="15.75" customHeight="1">
      <c r="A408" s="32"/>
      <c r="C408" s="32"/>
      <c r="D408" s="32"/>
      <c r="E408" s="32"/>
      <c r="F408" s="32"/>
      <c r="G408" s="32"/>
    </row>
    <row r="409" ht="15.75" customHeight="1">
      <c r="A409" s="32"/>
      <c r="C409" s="32"/>
      <c r="D409" s="32"/>
      <c r="E409" s="32"/>
      <c r="F409" s="32"/>
      <c r="G409" s="32"/>
    </row>
    <row r="410" ht="15.75" customHeight="1">
      <c r="A410" s="32"/>
      <c r="C410" s="32"/>
      <c r="D410" s="32"/>
      <c r="E410" s="32"/>
      <c r="F410" s="32"/>
      <c r="G410" s="32"/>
    </row>
    <row r="411" ht="15.75" customHeight="1">
      <c r="A411" s="32"/>
      <c r="C411" s="32"/>
      <c r="D411" s="32"/>
      <c r="E411" s="32"/>
      <c r="F411" s="32"/>
      <c r="G411" s="32"/>
    </row>
    <row r="412" ht="15.75" customHeight="1">
      <c r="A412" s="32"/>
      <c r="C412" s="32"/>
      <c r="D412" s="32"/>
      <c r="E412" s="32"/>
      <c r="F412" s="32"/>
      <c r="G412" s="32"/>
    </row>
    <row r="413" ht="15.75" customHeight="1">
      <c r="A413" s="32"/>
      <c r="C413" s="32"/>
      <c r="D413" s="32"/>
      <c r="E413" s="32"/>
      <c r="F413" s="32"/>
      <c r="G413" s="32"/>
    </row>
    <row r="414" ht="15.75" customHeight="1">
      <c r="A414" s="32"/>
      <c r="C414" s="32"/>
      <c r="D414" s="32"/>
      <c r="E414" s="32"/>
      <c r="F414" s="32"/>
      <c r="G414" s="32"/>
    </row>
    <row r="415" ht="15.75" customHeight="1">
      <c r="A415" s="32"/>
      <c r="C415" s="32"/>
      <c r="D415" s="32"/>
      <c r="E415" s="32"/>
      <c r="F415" s="32"/>
      <c r="G415" s="32"/>
    </row>
    <row r="416" ht="15.75" customHeight="1">
      <c r="A416" s="32"/>
      <c r="C416" s="32"/>
      <c r="D416" s="32"/>
      <c r="E416" s="32"/>
      <c r="F416" s="32"/>
      <c r="G416" s="32"/>
    </row>
    <row r="417" ht="15.75" customHeight="1">
      <c r="A417" s="32"/>
      <c r="C417" s="32"/>
      <c r="D417" s="32"/>
      <c r="E417" s="32"/>
      <c r="F417" s="32"/>
      <c r="G417" s="32"/>
    </row>
    <row r="418" ht="15.75" customHeight="1">
      <c r="A418" s="32"/>
      <c r="C418" s="32"/>
      <c r="D418" s="32"/>
      <c r="E418" s="32"/>
      <c r="F418" s="32"/>
      <c r="G418" s="32"/>
    </row>
    <row r="419" ht="15.75" customHeight="1">
      <c r="A419" s="32"/>
      <c r="C419" s="32"/>
      <c r="D419" s="32"/>
      <c r="E419" s="32"/>
      <c r="F419" s="32"/>
      <c r="G419" s="32"/>
    </row>
    <row r="420" ht="15.75" customHeight="1">
      <c r="A420" s="32"/>
      <c r="C420" s="32"/>
      <c r="D420" s="32"/>
      <c r="E420" s="32"/>
      <c r="F420" s="32"/>
      <c r="G420" s="32"/>
    </row>
    <row r="421" ht="15.75" customHeight="1">
      <c r="A421" s="32"/>
      <c r="C421" s="32"/>
      <c r="D421" s="32"/>
      <c r="E421" s="32"/>
      <c r="F421" s="32"/>
      <c r="G421" s="32"/>
    </row>
    <row r="422" ht="15.75" customHeight="1">
      <c r="A422" s="32"/>
      <c r="C422" s="32"/>
      <c r="D422" s="32"/>
      <c r="E422" s="32"/>
      <c r="F422" s="32"/>
      <c r="G422" s="32"/>
    </row>
    <row r="423" ht="15.75" customHeight="1">
      <c r="A423" s="32"/>
      <c r="C423" s="32"/>
      <c r="D423" s="32"/>
      <c r="E423" s="32"/>
      <c r="F423" s="32"/>
      <c r="G423" s="32"/>
    </row>
    <row r="424" ht="15.75" customHeight="1">
      <c r="A424" s="32"/>
      <c r="C424" s="32"/>
      <c r="D424" s="32"/>
      <c r="E424" s="32"/>
      <c r="F424" s="32"/>
      <c r="G424" s="32"/>
    </row>
    <row r="425" ht="15.75" customHeight="1">
      <c r="A425" s="32"/>
      <c r="C425" s="32"/>
      <c r="D425" s="32"/>
      <c r="E425" s="32"/>
      <c r="F425" s="32"/>
      <c r="G425" s="32"/>
    </row>
    <row r="426" ht="15.75" customHeight="1">
      <c r="A426" s="32"/>
      <c r="C426" s="32"/>
      <c r="D426" s="32"/>
      <c r="E426" s="32"/>
      <c r="F426" s="32"/>
      <c r="G426" s="32"/>
    </row>
    <row r="427" ht="15.75" customHeight="1">
      <c r="A427" s="32"/>
      <c r="C427" s="32"/>
      <c r="D427" s="32"/>
      <c r="E427" s="32"/>
      <c r="F427" s="32"/>
      <c r="G427" s="32"/>
    </row>
    <row r="428" ht="15.75" customHeight="1">
      <c r="A428" s="32"/>
      <c r="C428" s="32"/>
      <c r="D428" s="32"/>
      <c r="E428" s="32"/>
      <c r="F428" s="32"/>
      <c r="G428" s="32"/>
    </row>
    <row r="429" ht="15.75" customHeight="1">
      <c r="A429" s="32"/>
      <c r="C429" s="32"/>
      <c r="D429" s="32"/>
      <c r="E429" s="32"/>
      <c r="F429" s="32"/>
      <c r="G429" s="32"/>
    </row>
    <row r="430" ht="15.75" customHeight="1">
      <c r="A430" s="32"/>
      <c r="C430" s="32"/>
      <c r="D430" s="32"/>
      <c r="E430" s="32"/>
      <c r="F430" s="32"/>
      <c r="G430" s="32"/>
    </row>
    <row r="431" ht="15.75" customHeight="1">
      <c r="A431" s="32"/>
      <c r="C431" s="32"/>
      <c r="D431" s="32"/>
      <c r="E431" s="32"/>
      <c r="F431" s="32"/>
      <c r="G431" s="32"/>
    </row>
    <row r="432" ht="15.75" customHeight="1">
      <c r="A432" s="32"/>
      <c r="C432" s="32"/>
      <c r="D432" s="32"/>
      <c r="E432" s="32"/>
      <c r="F432" s="32"/>
      <c r="G432" s="32"/>
    </row>
    <row r="433" ht="15.75" customHeight="1">
      <c r="A433" s="32"/>
      <c r="C433" s="32"/>
      <c r="D433" s="32"/>
      <c r="E433" s="32"/>
      <c r="F433" s="32"/>
      <c r="G433" s="32"/>
    </row>
    <row r="434" ht="15.75" customHeight="1">
      <c r="A434" s="32"/>
      <c r="C434" s="32"/>
      <c r="D434" s="32"/>
      <c r="E434" s="32"/>
      <c r="F434" s="32"/>
      <c r="G434" s="32"/>
    </row>
    <row r="435" ht="15.75" customHeight="1">
      <c r="A435" s="32"/>
      <c r="C435" s="32"/>
      <c r="D435" s="32"/>
      <c r="E435" s="32"/>
      <c r="F435" s="32"/>
      <c r="G435" s="32"/>
    </row>
    <row r="436" ht="15.75" customHeight="1">
      <c r="A436" s="32"/>
      <c r="C436" s="32"/>
      <c r="D436" s="32"/>
      <c r="E436" s="32"/>
      <c r="F436" s="32"/>
      <c r="G436" s="32"/>
    </row>
    <row r="437" ht="15.75" customHeight="1">
      <c r="A437" s="32"/>
      <c r="C437" s="32"/>
      <c r="D437" s="32"/>
      <c r="E437" s="32"/>
      <c r="F437" s="32"/>
      <c r="G437" s="32"/>
    </row>
    <row r="438" ht="15.75" customHeight="1">
      <c r="A438" s="32"/>
      <c r="C438" s="32"/>
      <c r="D438" s="32"/>
      <c r="E438" s="32"/>
      <c r="F438" s="32"/>
      <c r="G438" s="32"/>
    </row>
    <row r="439" ht="15.75" customHeight="1">
      <c r="A439" s="32"/>
      <c r="C439" s="32"/>
      <c r="D439" s="32"/>
      <c r="E439" s="32"/>
      <c r="F439" s="32"/>
      <c r="G439" s="32"/>
    </row>
    <row r="440" ht="15.75" customHeight="1">
      <c r="A440" s="32"/>
      <c r="C440" s="32"/>
      <c r="D440" s="32"/>
      <c r="E440" s="32"/>
      <c r="F440" s="32"/>
      <c r="G440" s="32"/>
    </row>
    <row r="441" ht="15.75" customHeight="1">
      <c r="A441" s="32"/>
      <c r="C441" s="32"/>
      <c r="D441" s="32"/>
      <c r="E441" s="32"/>
      <c r="F441" s="32"/>
      <c r="G441" s="32"/>
    </row>
    <row r="442" ht="15.75" customHeight="1">
      <c r="A442" s="32"/>
      <c r="C442" s="32"/>
      <c r="D442" s="32"/>
      <c r="E442" s="32"/>
      <c r="F442" s="32"/>
      <c r="G442" s="32"/>
    </row>
    <row r="443" ht="15.75" customHeight="1">
      <c r="A443" s="32"/>
      <c r="C443" s="32"/>
      <c r="D443" s="32"/>
      <c r="E443" s="32"/>
      <c r="F443" s="32"/>
      <c r="G443" s="32"/>
    </row>
    <row r="444" ht="15.75" customHeight="1">
      <c r="A444" s="32"/>
      <c r="C444" s="32"/>
      <c r="D444" s="32"/>
      <c r="E444" s="32"/>
      <c r="F444" s="32"/>
      <c r="G444" s="32"/>
    </row>
    <row r="445" ht="15.75" customHeight="1">
      <c r="A445" s="32"/>
      <c r="C445" s="32"/>
      <c r="D445" s="32"/>
      <c r="E445" s="32"/>
      <c r="F445" s="32"/>
      <c r="G445" s="32"/>
    </row>
    <row r="446" ht="15.75" customHeight="1">
      <c r="A446" s="32"/>
      <c r="C446" s="32"/>
      <c r="D446" s="32"/>
      <c r="E446" s="32"/>
      <c r="F446" s="32"/>
      <c r="G446" s="32"/>
    </row>
    <row r="447" ht="15.75" customHeight="1">
      <c r="A447" s="32"/>
      <c r="C447" s="32"/>
      <c r="D447" s="32"/>
      <c r="E447" s="32"/>
      <c r="F447" s="32"/>
      <c r="G447" s="32"/>
    </row>
    <row r="448" ht="15.75" customHeight="1">
      <c r="A448" s="32"/>
      <c r="C448" s="32"/>
      <c r="D448" s="32"/>
      <c r="E448" s="32"/>
      <c r="F448" s="32"/>
      <c r="G448" s="32"/>
    </row>
    <row r="449" ht="15.75" customHeight="1">
      <c r="A449" s="32"/>
      <c r="C449" s="32"/>
      <c r="D449" s="32"/>
      <c r="E449" s="32"/>
      <c r="F449" s="32"/>
      <c r="G449" s="32"/>
    </row>
    <row r="450" ht="15.75" customHeight="1">
      <c r="A450" s="32"/>
      <c r="C450" s="32"/>
      <c r="D450" s="32"/>
      <c r="E450" s="32"/>
      <c r="F450" s="32"/>
      <c r="G450" s="32"/>
    </row>
    <row r="451" ht="15.75" customHeight="1">
      <c r="A451" s="32"/>
      <c r="C451" s="32"/>
      <c r="D451" s="32"/>
      <c r="E451" s="32"/>
      <c r="F451" s="32"/>
      <c r="G451" s="32"/>
    </row>
    <row r="452" ht="15.75" customHeight="1">
      <c r="A452" s="32"/>
      <c r="C452" s="32"/>
      <c r="D452" s="32"/>
      <c r="E452" s="32"/>
      <c r="F452" s="32"/>
      <c r="G452" s="32"/>
    </row>
    <row r="453" ht="15.75" customHeight="1">
      <c r="A453" s="32"/>
      <c r="C453" s="32"/>
      <c r="D453" s="32"/>
      <c r="E453" s="32"/>
      <c r="F453" s="32"/>
      <c r="G453" s="32"/>
    </row>
    <row r="454" ht="15.75" customHeight="1">
      <c r="A454" s="32"/>
      <c r="C454" s="32"/>
      <c r="D454" s="32"/>
      <c r="E454" s="32"/>
      <c r="F454" s="32"/>
      <c r="G454" s="32"/>
    </row>
    <row r="455" ht="15.75" customHeight="1">
      <c r="A455" s="32"/>
      <c r="C455" s="32"/>
      <c r="D455" s="32"/>
      <c r="E455" s="32"/>
      <c r="F455" s="32"/>
      <c r="G455" s="32"/>
    </row>
    <row r="456" ht="15.75" customHeight="1">
      <c r="A456" s="32"/>
      <c r="C456" s="32"/>
      <c r="D456" s="32"/>
      <c r="E456" s="32"/>
      <c r="F456" s="32"/>
      <c r="G456" s="32"/>
    </row>
    <row r="457" ht="15.75" customHeight="1">
      <c r="A457" s="32"/>
      <c r="C457" s="32"/>
      <c r="D457" s="32"/>
      <c r="E457" s="32"/>
      <c r="F457" s="32"/>
      <c r="G457" s="32"/>
    </row>
    <row r="458" ht="15.75" customHeight="1">
      <c r="A458" s="32"/>
      <c r="C458" s="32"/>
      <c r="D458" s="32"/>
      <c r="E458" s="32"/>
      <c r="F458" s="32"/>
      <c r="G458" s="32"/>
    </row>
    <row r="459" ht="15.75" customHeight="1">
      <c r="A459" s="32"/>
      <c r="C459" s="32"/>
      <c r="D459" s="32"/>
      <c r="E459" s="32"/>
      <c r="F459" s="32"/>
      <c r="G459" s="32"/>
    </row>
    <row r="460" ht="15.75" customHeight="1">
      <c r="A460" s="32"/>
      <c r="C460" s="32"/>
      <c r="D460" s="32"/>
      <c r="E460" s="32"/>
      <c r="F460" s="32"/>
      <c r="G460" s="32"/>
    </row>
    <row r="461" ht="15.75" customHeight="1">
      <c r="A461" s="32"/>
      <c r="C461" s="32"/>
      <c r="D461" s="32"/>
      <c r="E461" s="32"/>
      <c r="F461" s="32"/>
      <c r="G461" s="32"/>
    </row>
    <row r="462" ht="15.75" customHeight="1">
      <c r="A462" s="32"/>
      <c r="C462" s="32"/>
      <c r="D462" s="32"/>
      <c r="E462" s="32"/>
      <c r="F462" s="32"/>
      <c r="G462" s="32"/>
    </row>
    <row r="463" ht="15.75" customHeight="1">
      <c r="A463" s="32"/>
      <c r="C463" s="32"/>
      <c r="D463" s="32"/>
      <c r="E463" s="32"/>
      <c r="F463" s="32"/>
      <c r="G463" s="32"/>
    </row>
    <row r="464" ht="15.75" customHeight="1">
      <c r="A464" s="32"/>
      <c r="C464" s="32"/>
      <c r="D464" s="32"/>
      <c r="E464" s="32"/>
      <c r="F464" s="32"/>
      <c r="G464" s="32"/>
    </row>
    <row r="465" ht="15.75" customHeight="1">
      <c r="A465" s="32"/>
      <c r="C465" s="32"/>
      <c r="D465" s="32"/>
      <c r="E465" s="32"/>
      <c r="F465" s="32"/>
      <c r="G465" s="32"/>
    </row>
    <row r="466" ht="15.75" customHeight="1">
      <c r="A466" s="32"/>
      <c r="C466" s="32"/>
      <c r="D466" s="32"/>
      <c r="E466" s="32"/>
      <c r="F466" s="32"/>
      <c r="G466" s="32"/>
    </row>
    <row r="467" ht="15.75" customHeight="1">
      <c r="A467" s="32"/>
      <c r="C467" s="32"/>
      <c r="D467" s="32"/>
      <c r="E467" s="32"/>
      <c r="F467" s="32"/>
      <c r="G467" s="32"/>
    </row>
    <row r="468" ht="15.75" customHeight="1">
      <c r="A468" s="32"/>
      <c r="C468" s="32"/>
      <c r="D468" s="32"/>
      <c r="E468" s="32"/>
      <c r="F468" s="32"/>
      <c r="G468" s="32"/>
    </row>
    <row r="469" ht="15.75" customHeight="1">
      <c r="A469" s="32"/>
      <c r="C469" s="32"/>
      <c r="D469" s="32"/>
      <c r="E469" s="32"/>
      <c r="F469" s="32"/>
      <c r="G469" s="32"/>
    </row>
    <row r="470" ht="15.75" customHeight="1">
      <c r="A470" s="32"/>
      <c r="C470" s="32"/>
      <c r="D470" s="32"/>
      <c r="E470" s="32"/>
      <c r="F470" s="32"/>
      <c r="G470" s="32"/>
    </row>
    <row r="471" ht="15.75" customHeight="1">
      <c r="A471" s="32"/>
      <c r="C471" s="32"/>
      <c r="D471" s="32"/>
      <c r="E471" s="32"/>
      <c r="F471" s="32"/>
      <c r="G471" s="32"/>
    </row>
    <row r="472" ht="15.75" customHeight="1">
      <c r="A472" s="32"/>
      <c r="C472" s="32"/>
      <c r="D472" s="32"/>
      <c r="E472" s="32"/>
      <c r="F472" s="32"/>
      <c r="G472" s="32"/>
    </row>
    <row r="473" ht="15.75" customHeight="1">
      <c r="A473" s="32"/>
      <c r="C473" s="32"/>
      <c r="D473" s="32"/>
      <c r="E473" s="32"/>
      <c r="F473" s="32"/>
      <c r="G473" s="32"/>
    </row>
    <row r="474" ht="15.75" customHeight="1">
      <c r="A474" s="32"/>
      <c r="C474" s="32"/>
      <c r="D474" s="32"/>
      <c r="E474" s="32"/>
      <c r="F474" s="32"/>
      <c r="G474" s="32"/>
    </row>
    <row r="475" ht="15.75" customHeight="1">
      <c r="A475" s="32"/>
      <c r="C475" s="32"/>
      <c r="D475" s="32"/>
      <c r="E475" s="32"/>
      <c r="F475" s="32"/>
      <c r="G475" s="32"/>
    </row>
    <row r="476" ht="15.75" customHeight="1">
      <c r="A476" s="32"/>
      <c r="C476" s="32"/>
      <c r="D476" s="32"/>
      <c r="E476" s="32"/>
      <c r="F476" s="32"/>
      <c r="G476" s="32"/>
    </row>
    <row r="477" ht="15.75" customHeight="1">
      <c r="A477" s="32"/>
      <c r="C477" s="32"/>
      <c r="D477" s="32"/>
      <c r="E477" s="32"/>
      <c r="F477" s="32"/>
      <c r="G477" s="32"/>
    </row>
    <row r="478" ht="15.75" customHeight="1">
      <c r="A478" s="32"/>
      <c r="C478" s="32"/>
      <c r="D478" s="32"/>
      <c r="E478" s="32"/>
      <c r="F478" s="32"/>
      <c r="G478" s="32"/>
    </row>
    <row r="479" ht="15.75" customHeight="1">
      <c r="A479" s="32"/>
      <c r="C479" s="32"/>
      <c r="D479" s="32"/>
      <c r="E479" s="32"/>
      <c r="F479" s="32"/>
      <c r="G479" s="32"/>
    </row>
    <row r="480" ht="15.75" customHeight="1">
      <c r="A480" s="32"/>
      <c r="C480" s="32"/>
      <c r="D480" s="32"/>
      <c r="E480" s="32"/>
      <c r="F480" s="32"/>
      <c r="G480" s="32"/>
    </row>
    <row r="481" ht="15.75" customHeight="1">
      <c r="A481" s="32"/>
      <c r="C481" s="32"/>
      <c r="D481" s="32"/>
      <c r="E481" s="32"/>
      <c r="F481" s="32"/>
      <c r="G481" s="32"/>
    </row>
    <row r="482" ht="15.75" customHeight="1">
      <c r="A482" s="32"/>
      <c r="C482" s="32"/>
      <c r="D482" s="32"/>
      <c r="E482" s="32"/>
      <c r="F482" s="32"/>
      <c r="G482" s="32"/>
    </row>
    <row r="483" ht="15.75" customHeight="1">
      <c r="A483" s="32"/>
      <c r="C483" s="32"/>
      <c r="D483" s="32"/>
      <c r="E483" s="32"/>
      <c r="F483" s="32"/>
      <c r="G483" s="32"/>
    </row>
    <row r="484" ht="15.75" customHeight="1">
      <c r="A484" s="32"/>
      <c r="C484" s="32"/>
      <c r="D484" s="32"/>
      <c r="E484" s="32"/>
      <c r="F484" s="32"/>
      <c r="G484" s="32"/>
    </row>
    <row r="485" ht="15.75" customHeight="1">
      <c r="A485" s="32"/>
      <c r="C485" s="32"/>
      <c r="D485" s="32"/>
      <c r="E485" s="32"/>
      <c r="F485" s="32"/>
      <c r="G485" s="32"/>
    </row>
    <row r="486" ht="15.75" customHeight="1">
      <c r="A486" s="32"/>
      <c r="C486" s="32"/>
      <c r="D486" s="32"/>
      <c r="E486" s="32"/>
      <c r="F486" s="32"/>
      <c r="G486" s="32"/>
    </row>
    <row r="487" ht="15.75" customHeight="1">
      <c r="A487" s="32"/>
      <c r="C487" s="32"/>
      <c r="D487" s="32"/>
      <c r="E487" s="32"/>
      <c r="F487" s="32"/>
      <c r="G487" s="32"/>
    </row>
    <row r="488" ht="15.75" customHeight="1">
      <c r="A488" s="32"/>
      <c r="C488" s="32"/>
      <c r="D488" s="32"/>
      <c r="E488" s="32"/>
      <c r="F488" s="32"/>
      <c r="G488" s="32"/>
    </row>
    <row r="489" ht="15.75" customHeight="1">
      <c r="A489" s="32"/>
      <c r="C489" s="32"/>
      <c r="D489" s="32"/>
      <c r="E489" s="32"/>
      <c r="F489" s="32"/>
      <c r="G489" s="32"/>
    </row>
    <row r="490" ht="15.75" customHeight="1">
      <c r="A490" s="32"/>
      <c r="C490" s="32"/>
      <c r="D490" s="32"/>
      <c r="E490" s="32"/>
      <c r="F490" s="32"/>
      <c r="G490" s="32"/>
    </row>
    <row r="491" ht="15.75" customHeight="1">
      <c r="A491" s="32"/>
      <c r="C491" s="32"/>
      <c r="D491" s="32"/>
      <c r="E491" s="32"/>
      <c r="F491" s="32"/>
      <c r="G491" s="32"/>
    </row>
    <row r="492" ht="15.75" customHeight="1">
      <c r="A492" s="32"/>
      <c r="C492" s="32"/>
      <c r="D492" s="32"/>
      <c r="E492" s="32"/>
      <c r="F492" s="32"/>
      <c r="G492" s="32"/>
    </row>
    <row r="493" ht="15.75" customHeight="1">
      <c r="A493" s="32"/>
      <c r="C493" s="32"/>
      <c r="D493" s="32"/>
      <c r="E493" s="32"/>
      <c r="F493" s="32"/>
      <c r="G493" s="32"/>
    </row>
    <row r="494" ht="15.75" customHeight="1">
      <c r="A494" s="32"/>
      <c r="C494" s="32"/>
      <c r="D494" s="32"/>
      <c r="E494" s="32"/>
      <c r="F494" s="32"/>
      <c r="G494" s="32"/>
    </row>
    <row r="495" ht="15.75" customHeight="1">
      <c r="A495" s="32"/>
      <c r="C495" s="32"/>
      <c r="D495" s="32"/>
      <c r="E495" s="32"/>
      <c r="F495" s="32"/>
      <c r="G495" s="32"/>
    </row>
    <row r="496" ht="15.75" customHeight="1">
      <c r="A496" s="32"/>
      <c r="C496" s="32"/>
      <c r="D496" s="32"/>
      <c r="E496" s="32"/>
      <c r="F496" s="32"/>
      <c r="G496" s="32"/>
    </row>
    <row r="497" ht="15.75" customHeight="1">
      <c r="A497" s="32"/>
      <c r="C497" s="32"/>
      <c r="D497" s="32"/>
      <c r="E497" s="32"/>
      <c r="F497" s="32"/>
      <c r="G497" s="32"/>
    </row>
    <row r="498" ht="15.75" customHeight="1">
      <c r="A498" s="32"/>
      <c r="C498" s="32"/>
      <c r="D498" s="32"/>
      <c r="E498" s="32"/>
      <c r="F498" s="32"/>
      <c r="G498" s="32"/>
    </row>
    <row r="499" ht="15.75" customHeight="1">
      <c r="A499" s="32"/>
      <c r="C499" s="32"/>
      <c r="D499" s="32"/>
      <c r="E499" s="32"/>
      <c r="F499" s="32"/>
      <c r="G499" s="32"/>
    </row>
    <row r="500" ht="15.75" customHeight="1">
      <c r="A500" s="32"/>
      <c r="C500" s="32"/>
      <c r="D500" s="32"/>
      <c r="E500" s="32"/>
      <c r="F500" s="32"/>
      <c r="G500" s="32"/>
    </row>
    <row r="501" ht="15.75" customHeight="1">
      <c r="A501" s="32"/>
      <c r="C501" s="32"/>
      <c r="D501" s="32"/>
      <c r="E501" s="32"/>
      <c r="F501" s="32"/>
      <c r="G501" s="32"/>
    </row>
    <row r="502" ht="15.75" customHeight="1">
      <c r="A502" s="32"/>
      <c r="C502" s="32"/>
      <c r="D502" s="32"/>
      <c r="E502" s="32"/>
      <c r="F502" s="32"/>
      <c r="G502" s="32"/>
    </row>
    <row r="503" ht="15.75" customHeight="1">
      <c r="A503" s="32"/>
      <c r="C503" s="32"/>
      <c r="D503" s="32"/>
      <c r="E503" s="32"/>
      <c r="F503" s="32"/>
      <c r="G503" s="32"/>
    </row>
    <row r="504" ht="15.75" customHeight="1">
      <c r="A504" s="32"/>
      <c r="C504" s="32"/>
      <c r="D504" s="32"/>
      <c r="E504" s="32"/>
      <c r="F504" s="32"/>
      <c r="G504" s="32"/>
    </row>
    <row r="505" ht="15.75" customHeight="1">
      <c r="A505" s="32"/>
      <c r="C505" s="32"/>
      <c r="D505" s="32"/>
      <c r="E505" s="32"/>
      <c r="F505" s="32"/>
      <c r="G505" s="32"/>
    </row>
    <row r="506" ht="15.75" customHeight="1">
      <c r="A506" s="32"/>
      <c r="C506" s="32"/>
      <c r="D506" s="32"/>
      <c r="E506" s="32"/>
      <c r="F506" s="32"/>
      <c r="G506" s="32"/>
    </row>
    <row r="507" ht="15.75" customHeight="1">
      <c r="A507" s="32"/>
      <c r="C507" s="32"/>
      <c r="D507" s="32"/>
      <c r="E507" s="32"/>
      <c r="F507" s="32"/>
      <c r="G507" s="32"/>
    </row>
    <row r="508" ht="15.75" customHeight="1">
      <c r="A508" s="32"/>
      <c r="C508" s="32"/>
      <c r="D508" s="32"/>
      <c r="E508" s="32"/>
      <c r="F508" s="32"/>
      <c r="G508" s="32"/>
    </row>
    <row r="509" ht="15.75" customHeight="1">
      <c r="A509" s="32"/>
      <c r="C509" s="32"/>
      <c r="D509" s="32"/>
      <c r="E509" s="32"/>
      <c r="F509" s="32"/>
      <c r="G509" s="32"/>
    </row>
    <row r="510" ht="15.75" customHeight="1">
      <c r="A510" s="32"/>
      <c r="C510" s="32"/>
      <c r="D510" s="32"/>
      <c r="E510" s="32"/>
      <c r="F510" s="32"/>
      <c r="G510" s="32"/>
    </row>
    <row r="511" ht="15.75" customHeight="1">
      <c r="A511" s="32"/>
      <c r="C511" s="32"/>
      <c r="D511" s="32"/>
      <c r="E511" s="32"/>
      <c r="F511" s="32"/>
      <c r="G511" s="32"/>
    </row>
    <row r="512" ht="15.75" customHeight="1">
      <c r="A512" s="32"/>
      <c r="C512" s="32"/>
      <c r="D512" s="32"/>
      <c r="E512" s="32"/>
      <c r="F512" s="32"/>
      <c r="G512" s="32"/>
    </row>
    <row r="513" ht="15.75" customHeight="1">
      <c r="A513" s="32"/>
      <c r="C513" s="32"/>
      <c r="D513" s="32"/>
      <c r="E513" s="32"/>
      <c r="F513" s="32"/>
      <c r="G513" s="32"/>
    </row>
    <row r="514" ht="15.75" customHeight="1">
      <c r="A514" s="32"/>
      <c r="C514" s="32"/>
      <c r="D514" s="32"/>
      <c r="E514" s="32"/>
      <c r="F514" s="32"/>
      <c r="G514" s="32"/>
    </row>
    <row r="515" ht="15.75" customHeight="1">
      <c r="A515" s="32"/>
      <c r="C515" s="32"/>
      <c r="D515" s="32"/>
      <c r="E515" s="32"/>
      <c r="F515" s="32"/>
      <c r="G515" s="32"/>
    </row>
    <row r="516" ht="15.75" customHeight="1">
      <c r="A516" s="32"/>
      <c r="C516" s="32"/>
      <c r="D516" s="32"/>
      <c r="E516" s="32"/>
      <c r="F516" s="32"/>
      <c r="G516" s="32"/>
    </row>
    <row r="517" ht="15.75" customHeight="1">
      <c r="A517" s="32"/>
      <c r="C517" s="32"/>
      <c r="D517" s="32"/>
      <c r="E517" s="32"/>
      <c r="F517" s="32"/>
      <c r="G517" s="32"/>
    </row>
    <row r="518" ht="15.75" customHeight="1">
      <c r="A518" s="32"/>
      <c r="C518" s="32"/>
      <c r="D518" s="32"/>
      <c r="E518" s="32"/>
      <c r="F518" s="32"/>
      <c r="G518" s="32"/>
    </row>
    <row r="519" ht="15.75" customHeight="1">
      <c r="A519" s="32"/>
      <c r="C519" s="32"/>
      <c r="D519" s="32"/>
      <c r="E519" s="32"/>
      <c r="F519" s="32"/>
      <c r="G519" s="32"/>
    </row>
    <row r="520" ht="15.75" customHeight="1">
      <c r="A520" s="32"/>
      <c r="C520" s="32"/>
      <c r="D520" s="32"/>
      <c r="E520" s="32"/>
      <c r="F520" s="32"/>
      <c r="G520" s="32"/>
    </row>
    <row r="521" ht="15.75" customHeight="1">
      <c r="A521" s="32"/>
      <c r="C521" s="32"/>
      <c r="D521" s="32"/>
      <c r="E521" s="32"/>
      <c r="F521" s="32"/>
      <c r="G521" s="32"/>
    </row>
    <row r="522" ht="15.75" customHeight="1">
      <c r="A522" s="32"/>
      <c r="C522" s="32"/>
      <c r="D522" s="32"/>
      <c r="E522" s="32"/>
      <c r="F522" s="32"/>
      <c r="G522" s="32"/>
    </row>
    <row r="523" ht="15.75" customHeight="1">
      <c r="A523" s="32"/>
      <c r="C523" s="32"/>
      <c r="D523" s="32"/>
      <c r="E523" s="32"/>
      <c r="F523" s="32"/>
      <c r="G523" s="32"/>
    </row>
    <row r="524" ht="15.75" customHeight="1">
      <c r="A524" s="32"/>
      <c r="C524" s="32"/>
      <c r="D524" s="32"/>
      <c r="E524" s="32"/>
      <c r="F524" s="32"/>
      <c r="G524" s="32"/>
    </row>
    <row r="525" ht="15.75" customHeight="1">
      <c r="A525" s="32"/>
      <c r="C525" s="32"/>
      <c r="D525" s="32"/>
      <c r="E525" s="32"/>
      <c r="F525" s="32"/>
      <c r="G525" s="32"/>
    </row>
    <row r="526" ht="15.75" customHeight="1">
      <c r="A526" s="32"/>
      <c r="C526" s="32"/>
      <c r="D526" s="32"/>
      <c r="E526" s="32"/>
      <c r="F526" s="32"/>
      <c r="G526" s="32"/>
    </row>
    <row r="527" ht="15.75" customHeight="1">
      <c r="A527" s="32"/>
      <c r="C527" s="32"/>
      <c r="D527" s="32"/>
      <c r="E527" s="32"/>
      <c r="F527" s="32"/>
      <c r="G527" s="32"/>
    </row>
    <row r="528" ht="15.75" customHeight="1">
      <c r="A528" s="32"/>
      <c r="C528" s="32"/>
      <c r="D528" s="32"/>
      <c r="E528" s="32"/>
      <c r="F528" s="32"/>
      <c r="G528" s="32"/>
    </row>
    <row r="529" ht="15.75" customHeight="1">
      <c r="A529" s="32"/>
      <c r="C529" s="32"/>
      <c r="D529" s="32"/>
      <c r="E529" s="32"/>
      <c r="F529" s="32"/>
      <c r="G529" s="32"/>
    </row>
    <row r="530" ht="15.75" customHeight="1">
      <c r="A530" s="32"/>
      <c r="C530" s="32"/>
      <c r="D530" s="32"/>
      <c r="E530" s="32"/>
      <c r="F530" s="32"/>
      <c r="G530" s="32"/>
    </row>
    <row r="531" ht="15.75" customHeight="1">
      <c r="A531" s="32"/>
      <c r="C531" s="32"/>
      <c r="D531" s="32"/>
      <c r="E531" s="32"/>
      <c r="F531" s="32"/>
      <c r="G531" s="32"/>
    </row>
    <row r="532" ht="15.75" customHeight="1">
      <c r="A532" s="32"/>
      <c r="C532" s="32"/>
      <c r="D532" s="32"/>
      <c r="E532" s="32"/>
      <c r="F532" s="32"/>
      <c r="G532" s="32"/>
    </row>
    <row r="533" ht="15.75" customHeight="1">
      <c r="A533" s="32"/>
      <c r="C533" s="32"/>
      <c r="D533" s="32"/>
      <c r="E533" s="32"/>
      <c r="F533" s="32"/>
      <c r="G533" s="32"/>
    </row>
    <row r="534" ht="15.75" customHeight="1">
      <c r="A534" s="32"/>
      <c r="C534" s="32"/>
      <c r="D534" s="32"/>
      <c r="E534" s="32"/>
      <c r="F534" s="32"/>
      <c r="G534" s="32"/>
    </row>
    <row r="535" ht="15.75" customHeight="1">
      <c r="A535" s="32"/>
      <c r="C535" s="32"/>
      <c r="D535" s="32"/>
      <c r="E535" s="32"/>
      <c r="F535" s="32"/>
      <c r="G535" s="32"/>
    </row>
    <row r="536" ht="15.75" customHeight="1">
      <c r="A536" s="32"/>
      <c r="C536" s="32"/>
      <c r="D536" s="32"/>
      <c r="E536" s="32"/>
      <c r="F536" s="32"/>
      <c r="G536" s="32"/>
    </row>
    <row r="537" ht="15.75" customHeight="1">
      <c r="A537" s="32"/>
      <c r="C537" s="32"/>
      <c r="D537" s="32"/>
      <c r="E537" s="32"/>
      <c r="F537" s="32"/>
      <c r="G537" s="32"/>
    </row>
    <row r="538" ht="15.75" customHeight="1">
      <c r="A538" s="32"/>
      <c r="C538" s="32"/>
      <c r="D538" s="32"/>
      <c r="E538" s="32"/>
      <c r="F538" s="32"/>
      <c r="G538" s="32"/>
    </row>
    <row r="539" ht="15.75" customHeight="1">
      <c r="A539" s="32"/>
      <c r="C539" s="32"/>
      <c r="D539" s="32"/>
      <c r="E539" s="32"/>
      <c r="F539" s="32"/>
      <c r="G539" s="32"/>
    </row>
    <row r="540" ht="15.75" customHeight="1">
      <c r="A540" s="32"/>
      <c r="C540" s="32"/>
      <c r="D540" s="32"/>
      <c r="E540" s="32"/>
      <c r="F540" s="32"/>
      <c r="G540" s="32"/>
    </row>
    <row r="541" ht="15.75" customHeight="1">
      <c r="A541" s="32"/>
      <c r="C541" s="32"/>
      <c r="D541" s="32"/>
      <c r="E541" s="32"/>
      <c r="F541" s="32"/>
      <c r="G541" s="32"/>
    </row>
    <row r="542" ht="15.75" customHeight="1">
      <c r="A542" s="32"/>
      <c r="C542" s="32"/>
      <c r="D542" s="32"/>
      <c r="E542" s="32"/>
      <c r="F542" s="32"/>
      <c r="G542" s="32"/>
    </row>
    <row r="543" ht="15.75" customHeight="1">
      <c r="A543" s="32"/>
      <c r="C543" s="32"/>
      <c r="D543" s="32"/>
      <c r="E543" s="32"/>
      <c r="F543" s="32"/>
      <c r="G543" s="32"/>
    </row>
    <row r="544" ht="15.75" customHeight="1">
      <c r="A544" s="32"/>
      <c r="C544" s="32"/>
      <c r="D544" s="32"/>
      <c r="E544" s="32"/>
      <c r="F544" s="32"/>
      <c r="G544" s="32"/>
    </row>
    <row r="545" ht="15.75" customHeight="1">
      <c r="A545" s="32"/>
      <c r="C545" s="32"/>
      <c r="D545" s="32"/>
      <c r="E545" s="32"/>
      <c r="F545" s="32"/>
      <c r="G545" s="32"/>
    </row>
    <row r="546" ht="15.75" customHeight="1">
      <c r="A546" s="32"/>
      <c r="C546" s="32"/>
      <c r="D546" s="32"/>
      <c r="E546" s="32"/>
      <c r="F546" s="32"/>
      <c r="G546" s="32"/>
    </row>
    <row r="547" ht="15.75" customHeight="1">
      <c r="A547" s="32"/>
      <c r="C547" s="32"/>
      <c r="D547" s="32"/>
      <c r="E547" s="32"/>
      <c r="F547" s="32"/>
      <c r="G547" s="32"/>
    </row>
    <row r="548" ht="15.75" customHeight="1">
      <c r="A548" s="32"/>
      <c r="C548" s="32"/>
      <c r="D548" s="32"/>
      <c r="E548" s="32"/>
      <c r="F548" s="32"/>
      <c r="G548" s="32"/>
    </row>
    <row r="549" ht="15.75" customHeight="1">
      <c r="A549" s="32"/>
      <c r="C549" s="32"/>
      <c r="D549" s="32"/>
      <c r="E549" s="32"/>
      <c r="F549" s="32"/>
      <c r="G549" s="32"/>
    </row>
    <row r="550" ht="15.75" customHeight="1">
      <c r="A550" s="32"/>
      <c r="C550" s="32"/>
      <c r="D550" s="32"/>
      <c r="E550" s="32"/>
      <c r="F550" s="32"/>
      <c r="G550" s="32"/>
    </row>
    <row r="551" ht="15.75" customHeight="1">
      <c r="A551" s="32"/>
      <c r="C551" s="32"/>
      <c r="D551" s="32"/>
      <c r="E551" s="32"/>
      <c r="F551" s="32"/>
      <c r="G551" s="32"/>
    </row>
    <row r="552" ht="15.75" customHeight="1">
      <c r="A552" s="32"/>
      <c r="C552" s="32"/>
      <c r="D552" s="32"/>
      <c r="E552" s="32"/>
      <c r="F552" s="32"/>
      <c r="G552" s="32"/>
    </row>
    <row r="553" ht="15.75" customHeight="1">
      <c r="A553" s="32"/>
      <c r="C553" s="32"/>
      <c r="D553" s="32"/>
      <c r="E553" s="32"/>
      <c r="F553" s="32"/>
      <c r="G553" s="32"/>
    </row>
    <row r="554" ht="15.75" customHeight="1">
      <c r="A554" s="32"/>
      <c r="C554" s="32"/>
      <c r="D554" s="32"/>
      <c r="E554" s="32"/>
      <c r="F554" s="32"/>
      <c r="G554" s="32"/>
    </row>
    <row r="555" ht="15.75" customHeight="1">
      <c r="A555" s="32"/>
      <c r="C555" s="32"/>
      <c r="D555" s="32"/>
      <c r="E555" s="32"/>
      <c r="F555" s="32"/>
      <c r="G555" s="32"/>
    </row>
    <row r="556" ht="15.75" customHeight="1">
      <c r="A556" s="32"/>
      <c r="C556" s="32"/>
      <c r="D556" s="32"/>
      <c r="E556" s="32"/>
      <c r="F556" s="32"/>
      <c r="G556" s="32"/>
    </row>
    <row r="557" ht="15.75" customHeight="1">
      <c r="A557" s="32"/>
      <c r="C557" s="32"/>
      <c r="D557" s="32"/>
      <c r="E557" s="32"/>
      <c r="F557" s="32"/>
      <c r="G557" s="32"/>
    </row>
    <row r="558" ht="15.75" customHeight="1">
      <c r="A558" s="32"/>
      <c r="C558" s="32"/>
      <c r="D558" s="32"/>
      <c r="E558" s="32"/>
      <c r="F558" s="32"/>
      <c r="G558" s="32"/>
    </row>
    <row r="559" ht="15.75" customHeight="1">
      <c r="A559" s="32"/>
      <c r="C559" s="32"/>
      <c r="D559" s="32"/>
      <c r="E559" s="32"/>
      <c r="F559" s="32"/>
      <c r="G559" s="32"/>
    </row>
    <row r="560" ht="15.75" customHeight="1">
      <c r="A560" s="32"/>
      <c r="C560" s="32"/>
      <c r="D560" s="32"/>
      <c r="E560" s="32"/>
      <c r="F560" s="32"/>
      <c r="G560" s="32"/>
    </row>
    <row r="561" ht="15.75" customHeight="1">
      <c r="A561" s="32"/>
      <c r="C561" s="32"/>
      <c r="D561" s="32"/>
      <c r="E561" s="32"/>
      <c r="F561" s="32"/>
      <c r="G561" s="32"/>
    </row>
    <row r="562" ht="15.75" customHeight="1">
      <c r="A562" s="32"/>
      <c r="C562" s="32"/>
      <c r="D562" s="32"/>
      <c r="E562" s="32"/>
      <c r="F562" s="32"/>
      <c r="G562" s="32"/>
    </row>
    <row r="563" ht="15.75" customHeight="1">
      <c r="A563" s="32"/>
      <c r="C563" s="32"/>
      <c r="D563" s="32"/>
      <c r="E563" s="32"/>
      <c r="F563" s="32"/>
      <c r="G563" s="32"/>
    </row>
    <row r="564" ht="15.75" customHeight="1">
      <c r="A564" s="32"/>
      <c r="C564" s="32"/>
      <c r="D564" s="32"/>
      <c r="E564" s="32"/>
      <c r="F564" s="32"/>
      <c r="G564" s="32"/>
    </row>
    <row r="565" ht="15.75" customHeight="1">
      <c r="A565" s="32"/>
      <c r="C565" s="32"/>
      <c r="D565" s="32"/>
      <c r="E565" s="32"/>
      <c r="F565" s="32"/>
      <c r="G565" s="32"/>
    </row>
    <row r="566" ht="15.75" customHeight="1">
      <c r="A566" s="32"/>
      <c r="C566" s="32"/>
      <c r="D566" s="32"/>
      <c r="E566" s="32"/>
      <c r="F566" s="32"/>
      <c r="G566" s="32"/>
    </row>
    <row r="567" ht="15.75" customHeight="1">
      <c r="A567" s="32"/>
      <c r="C567" s="32"/>
      <c r="D567" s="32"/>
      <c r="E567" s="32"/>
      <c r="F567" s="32"/>
      <c r="G567" s="32"/>
    </row>
    <row r="568" ht="15.75" customHeight="1">
      <c r="A568" s="32"/>
      <c r="C568" s="32"/>
      <c r="D568" s="32"/>
      <c r="E568" s="32"/>
      <c r="F568" s="32"/>
      <c r="G568" s="32"/>
    </row>
    <row r="569" ht="15.75" customHeight="1">
      <c r="A569" s="32"/>
      <c r="C569" s="32"/>
      <c r="D569" s="32"/>
      <c r="E569" s="32"/>
      <c r="F569" s="32"/>
      <c r="G569" s="32"/>
    </row>
    <row r="570" ht="15.75" customHeight="1">
      <c r="A570" s="32"/>
      <c r="C570" s="32"/>
      <c r="D570" s="32"/>
      <c r="E570" s="32"/>
      <c r="F570" s="32"/>
      <c r="G570" s="32"/>
    </row>
    <row r="571" ht="15.75" customHeight="1">
      <c r="A571" s="32"/>
      <c r="C571" s="32"/>
      <c r="D571" s="32"/>
      <c r="E571" s="32"/>
      <c r="F571" s="32"/>
      <c r="G571" s="32"/>
    </row>
    <row r="572" ht="15.75" customHeight="1">
      <c r="A572" s="32"/>
      <c r="C572" s="32"/>
      <c r="D572" s="32"/>
      <c r="E572" s="32"/>
      <c r="F572" s="32"/>
      <c r="G572" s="32"/>
    </row>
    <row r="573" ht="15.75" customHeight="1">
      <c r="A573" s="32"/>
      <c r="C573" s="32"/>
      <c r="D573" s="32"/>
      <c r="E573" s="32"/>
      <c r="F573" s="32"/>
      <c r="G573" s="32"/>
    </row>
    <row r="574" ht="15.75" customHeight="1">
      <c r="A574" s="32"/>
      <c r="C574" s="32"/>
      <c r="D574" s="32"/>
      <c r="E574" s="32"/>
      <c r="F574" s="32"/>
      <c r="G574" s="32"/>
    </row>
    <row r="575" ht="15.75" customHeight="1">
      <c r="A575" s="32"/>
      <c r="C575" s="32"/>
      <c r="D575" s="32"/>
      <c r="E575" s="32"/>
      <c r="F575" s="32"/>
      <c r="G575" s="32"/>
    </row>
    <row r="576" ht="15.75" customHeight="1">
      <c r="A576" s="32"/>
      <c r="C576" s="32"/>
      <c r="D576" s="32"/>
      <c r="E576" s="32"/>
      <c r="F576" s="32"/>
      <c r="G576" s="32"/>
    </row>
    <row r="577" ht="15.75" customHeight="1">
      <c r="A577" s="32"/>
      <c r="C577" s="32"/>
      <c r="D577" s="32"/>
      <c r="E577" s="32"/>
      <c r="F577" s="32"/>
      <c r="G577" s="32"/>
    </row>
    <row r="578" ht="15.75" customHeight="1">
      <c r="A578" s="32"/>
      <c r="C578" s="32"/>
      <c r="D578" s="32"/>
      <c r="E578" s="32"/>
      <c r="F578" s="32"/>
      <c r="G578" s="32"/>
    </row>
    <row r="579" ht="15.75" customHeight="1">
      <c r="A579" s="32"/>
      <c r="C579" s="32"/>
      <c r="D579" s="32"/>
      <c r="E579" s="32"/>
      <c r="F579" s="32"/>
      <c r="G579" s="32"/>
    </row>
    <row r="580" ht="15.75" customHeight="1">
      <c r="A580" s="32"/>
      <c r="C580" s="32"/>
      <c r="D580" s="32"/>
      <c r="E580" s="32"/>
      <c r="F580" s="32"/>
      <c r="G580" s="32"/>
    </row>
    <row r="581" ht="15.75" customHeight="1">
      <c r="A581" s="32"/>
      <c r="C581" s="32"/>
      <c r="D581" s="32"/>
      <c r="E581" s="32"/>
      <c r="F581" s="32"/>
      <c r="G581" s="32"/>
    </row>
    <row r="582" ht="15.75" customHeight="1">
      <c r="A582" s="32"/>
      <c r="C582" s="32"/>
      <c r="D582" s="32"/>
      <c r="E582" s="32"/>
      <c r="F582" s="32"/>
      <c r="G582" s="32"/>
    </row>
    <row r="583" ht="15.75" customHeight="1">
      <c r="A583" s="32"/>
      <c r="C583" s="32"/>
      <c r="D583" s="32"/>
      <c r="E583" s="32"/>
      <c r="F583" s="32"/>
      <c r="G583" s="32"/>
    </row>
    <row r="584" ht="15.75" customHeight="1">
      <c r="A584" s="32"/>
      <c r="C584" s="32"/>
      <c r="D584" s="32"/>
      <c r="E584" s="32"/>
      <c r="F584" s="32"/>
      <c r="G584" s="32"/>
    </row>
    <row r="585" ht="15.75" customHeight="1">
      <c r="A585" s="32"/>
      <c r="C585" s="32"/>
      <c r="D585" s="32"/>
      <c r="E585" s="32"/>
      <c r="F585" s="32"/>
      <c r="G585" s="32"/>
    </row>
    <row r="586" ht="15.75" customHeight="1">
      <c r="A586" s="32"/>
      <c r="C586" s="32"/>
      <c r="D586" s="32"/>
      <c r="E586" s="32"/>
      <c r="F586" s="32"/>
      <c r="G586" s="32"/>
    </row>
    <row r="587" ht="15.75" customHeight="1">
      <c r="A587" s="32"/>
      <c r="C587" s="32"/>
      <c r="D587" s="32"/>
      <c r="E587" s="32"/>
      <c r="F587" s="32"/>
      <c r="G587" s="32"/>
    </row>
    <row r="588" ht="15.75" customHeight="1">
      <c r="A588" s="32"/>
      <c r="C588" s="32"/>
      <c r="D588" s="32"/>
      <c r="E588" s="32"/>
      <c r="F588" s="32"/>
      <c r="G588" s="32"/>
    </row>
    <row r="589" ht="15.75" customHeight="1">
      <c r="A589" s="32"/>
      <c r="C589" s="32"/>
      <c r="D589" s="32"/>
      <c r="E589" s="32"/>
      <c r="F589" s="32"/>
      <c r="G589" s="32"/>
    </row>
    <row r="590" ht="15.75" customHeight="1">
      <c r="A590" s="32"/>
      <c r="C590" s="32"/>
      <c r="D590" s="32"/>
      <c r="E590" s="32"/>
      <c r="F590" s="32"/>
      <c r="G590" s="32"/>
    </row>
    <row r="591" ht="15.75" customHeight="1">
      <c r="A591" s="32"/>
      <c r="C591" s="32"/>
      <c r="D591" s="32"/>
      <c r="E591" s="32"/>
      <c r="F591" s="32"/>
      <c r="G591" s="32"/>
    </row>
    <row r="592" ht="15.75" customHeight="1">
      <c r="A592" s="32"/>
      <c r="C592" s="32"/>
      <c r="D592" s="32"/>
      <c r="E592" s="32"/>
      <c r="F592" s="32"/>
      <c r="G592" s="32"/>
    </row>
    <row r="593" ht="15.75" customHeight="1">
      <c r="A593" s="32"/>
      <c r="C593" s="32"/>
      <c r="D593" s="32"/>
      <c r="E593" s="32"/>
      <c r="F593" s="32"/>
      <c r="G593" s="32"/>
    </row>
    <row r="594" ht="15.75" customHeight="1">
      <c r="A594" s="32"/>
      <c r="C594" s="32"/>
      <c r="D594" s="32"/>
      <c r="E594" s="32"/>
      <c r="F594" s="32"/>
      <c r="G594" s="32"/>
    </row>
    <row r="595" ht="15.75" customHeight="1">
      <c r="A595" s="32"/>
      <c r="C595" s="32"/>
      <c r="D595" s="32"/>
      <c r="E595" s="32"/>
      <c r="F595" s="32"/>
      <c r="G595" s="32"/>
    </row>
    <row r="596" ht="15.75" customHeight="1">
      <c r="A596" s="32"/>
      <c r="C596" s="32"/>
      <c r="D596" s="32"/>
      <c r="E596" s="32"/>
      <c r="F596" s="32"/>
      <c r="G596" s="32"/>
    </row>
    <row r="597" ht="15.75" customHeight="1">
      <c r="A597" s="32"/>
      <c r="C597" s="32"/>
      <c r="D597" s="32"/>
      <c r="E597" s="32"/>
      <c r="F597" s="32"/>
      <c r="G597" s="32"/>
    </row>
    <row r="598" ht="15.75" customHeight="1">
      <c r="A598" s="32"/>
      <c r="C598" s="32"/>
      <c r="D598" s="32"/>
      <c r="E598" s="32"/>
      <c r="F598" s="32"/>
      <c r="G598" s="32"/>
    </row>
    <row r="599" ht="15.75" customHeight="1">
      <c r="A599" s="32"/>
      <c r="C599" s="32"/>
      <c r="D599" s="32"/>
      <c r="E599" s="32"/>
      <c r="F599" s="32"/>
      <c r="G599" s="32"/>
    </row>
    <row r="600" ht="15.75" customHeight="1">
      <c r="A600" s="32"/>
      <c r="C600" s="32"/>
      <c r="D600" s="32"/>
      <c r="E600" s="32"/>
      <c r="F600" s="32"/>
      <c r="G600" s="32"/>
    </row>
    <row r="601" ht="15.75" customHeight="1">
      <c r="A601" s="32"/>
      <c r="C601" s="32"/>
      <c r="D601" s="32"/>
      <c r="E601" s="32"/>
      <c r="F601" s="32"/>
      <c r="G601" s="32"/>
    </row>
    <row r="602" ht="15.75" customHeight="1">
      <c r="A602" s="32"/>
      <c r="C602" s="32"/>
      <c r="D602" s="32"/>
      <c r="E602" s="32"/>
      <c r="F602" s="32"/>
      <c r="G602" s="32"/>
    </row>
    <row r="603" ht="15.75" customHeight="1">
      <c r="A603" s="32"/>
      <c r="C603" s="32"/>
      <c r="D603" s="32"/>
      <c r="E603" s="32"/>
      <c r="F603" s="32"/>
      <c r="G603" s="32"/>
    </row>
    <row r="604" ht="15.75" customHeight="1">
      <c r="A604" s="32"/>
      <c r="C604" s="32"/>
      <c r="D604" s="32"/>
      <c r="E604" s="32"/>
      <c r="F604" s="32"/>
      <c r="G604" s="32"/>
    </row>
    <row r="605" ht="15.75" customHeight="1">
      <c r="A605" s="32"/>
      <c r="C605" s="32"/>
      <c r="D605" s="32"/>
      <c r="E605" s="32"/>
      <c r="F605" s="32"/>
      <c r="G605" s="32"/>
    </row>
    <row r="606" ht="15.75" customHeight="1">
      <c r="A606" s="32"/>
      <c r="C606" s="32"/>
      <c r="D606" s="32"/>
      <c r="E606" s="32"/>
      <c r="F606" s="32"/>
      <c r="G606" s="32"/>
    </row>
    <row r="607" ht="15.75" customHeight="1">
      <c r="A607" s="32"/>
      <c r="C607" s="32"/>
      <c r="D607" s="32"/>
      <c r="E607" s="32"/>
      <c r="F607" s="32"/>
      <c r="G607" s="32"/>
    </row>
    <row r="608" ht="15.75" customHeight="1">
      <c r="A608" s="32"/>
      <c r="C608" s="32"/>
      <c r="D608" s="32"/>
      <c r="E608" s="32"/>
      <c r="F608" s="32"/>
      <c r="G608" s="32"/>
    </row>
    <row r="609" ht="15.75" customHeight="1">
      <c r="A609" s="32"/>
      <c r="C609" s="32"/>
      <c r="D609" s="32"/>
      <c r="E609" s="32"/>
      <c r="F609" s="32"/>
      <c r="G609" s="32"/>
    </row>
    <row r="610" ht="15.75" customHeight="1">
      <c r="A610" s="32"/>
      <c r="C610" s="32"/>
      <c r="D610" s="32"/>
      <c r="E610" s="32"/>
      <c r="F610" s="32"/>
      <c r="G610" s="32"/>
    </row>
    <row r="611" ht="15.75" customHeight="1">
      <c r="A611" s="32"/>
      <c r="C611" s="32"/>
      <c r="D611" s="32"/>
      <c r="E611" s="32"/>
      <c r="F611" s="32"/>
      <c r="G611" s="32"/>
    </row>
    <row r="612" ht="15.75" customHeight="1">
      <c r="A612" s="32"/>
      <c r="C612" s="32"/>
      <c r="D612" s="32"/>
      <c r="E612" s="32"/>
      <c r="F612" s="32"/>
      <c r="G612" s="32"/>
    </row>
    <row r="613" ht="15.75" customHeight="1">
      <c r="A613" s="32"/>
      <c r="C613" s="32"/>
      <c r="D613" s="32"/>
      <c r="E613" s="32"/>
      <c r="F613" s="32"/>
      <c r="G613" s="32"/>
    </row>
    <row r="614" ht="15.75" customHeight="1">
      <c r="A614" s="32"/>
      <c r="C614" s="32"/>
      <c r="D614" s="32"/>
      <c r="E614" s="32"/>
      <c r="F614" s="32"/>
      <c r="G614" s="32"/>
    </row>
    <row r="615" ht="15.75" customHeight="1">
      <c r="A615" s="32"/>
      <c r="C615" s="32"/>
      <c r="D615" s="32"/>
      <c r="E615" s="32"/>
      <c r="F615" s="32"/>
      <c r="G615" s="32"/>
    </row>
    <row r="616" ht="15.75" customHeight="1">
      <c r="A616" s="32"/>
      <c r="C616" s="32"/>
      <c r="D616" s="32"/>
      <c r="E616" s="32"/>
      <c r="F616" s="32"/>
      <c r="G616" s="32"/>
    </row>
    <row r="617" ht="15.75" customHeight="1">
      <c r="A617" s="32"/>
      <c r="C617" s="32"/>
      <c r="D617" s="32"/>
      <c r="E617" s="32"/>
      <c r="F617" s="32"/>
      <c r="G617" s="32"/>
    </row>
    <row r="618" ht="15.75" customHeight="1">
      <c r="A618" s="32"/>
      <c r="C618" s="32"/>
      <c r="D618" s="32"/>
      <c r="E618" s="32"/>
      <c r="F618" s="32"/>
      <c r="G618" s="32"/>
    </row>
    <row r="619" ht="15.75" customHeight="1">
      <c r="A619" s="32"/>
      <c r="C619" s="32"/>
      <c r="D619" s="32"/>
      <c r="E619" s="32"/>
      <c r="F619" s="32"/>
      <c r="G619" s="32"/>
    </row>
    <row r="620" ht="15.75" customHeight="1">
      <c r="A620" s="32"/>
      <c r="C620" s="32"/>
      <c r="D620" s="32"/>
      <c r="E620" s="32"/>
      <c r="F620" s="32"/>
      <c r="G620" s="32"/>
    </row>
    <row r="621" ht="15.75" customHeight="1">
      <c r="A621" s="32"/>
      <c r="C621" s="32"/>
      <c r="D621" s="32"/>
      <c r="E621" s="32"/>
      <c r="F621" s="32"/>
      <c r="G621" s="32"/>
    </row>
    <row r="622" ht="15.75" customHeight="1">
      <c r="A622" s="32"/>
      <c r="C622" s="32"/>
      <c r="D622" s="32"/>
      <c r="E622" s="32"/>
      <c r="F622" s="32"/>
      <c r="G622" s="32"/>
    </row>
    <row r="623" ht="15.75" customHeight="1">
      <c r="A623" s="32"/>
      <c r="C623" s="32"/>
      <c r="D623" s="32"/>
      <c r="E623" s="32"/>
      <c r="F623" s="32"/>
      <c r="G623" s="32"/>
    </row>
    <row r="624" ht="15.75" customHeight="1">
      <c r="A624" s="32"/>
      <c r="C624" s="32"/>
      <c r="D624" s="32"/>
      <c r="E624" s="32"/>
      <c r="F624" s="32"/>
      <c r="G624" s="32"/>
    </row>
    <row r="625" ht="15.75" customHeight="1">
      <c r="A625" s="32"/>
      <c r="C625" s="32"/>
      <c r="D625" s="32"/>
      <c r="E625" s="32"/>
      <c r="F625" s="32"/>
      <c r="G625" s="32"/>
    </row>
    <row r="626" ht="15.75" customHeight="1">
      <c r="A626" s="32"/>
      <c r="C626" s="32"/>
      <c r="D626" s="32"/>
      <c r="E626" s="32"/>
      <c r="F626" s="32"/>
      <c r="G626" s="32"/>
    </row>
    <row r="627" ht="15.75" customHeight="1">
      <c r="A627" s="32"/>
      <c r="C627" s="32"/>
      <c r="D627" s="32"/>
      <c r="E627" s="32"/>
      <c r="F627" s="32"/>
      <c r="G627" s="32"/>
    </row>
    <row r="628" ht="15.75" customHeight="1">
      <c r="A628" s="32"/>
      <c r="C628" s="32"/>
      <c r="D628" s="32"/>
      <c r="E628" s="32"/>
      <c r="F628" s="32"/>
      <c r="G628" s="32"/>
    </row>
    <row r="629" ht="15.75" customHeight="1">
      <c r="A629" s="32"/>
      <c r="C629" s="32"/>
      <c r="D629" s="32"/>
      <c r="E629" s="32"/>
      <c r="F629" s="32"/>
      <c r="G629" s="32"/>
    </row>
    <row r="630" ht="15.75" customHeight="1">
      <c r="A630" s="32"/>
      <c r="C630" s="32"/>
      <c r="D630" s="32"/>
      <c r="E630" s="32"/>
      <c r="F630" s="32"/>
      <c r="G630" s="32"/>
    </row>
    <row r="631" ht="15.75" customHeight="1">
      <c r="A631" s="32"/>
      <c r="C631" s="32"/>
      <c r="D631" s="32"/>
      <c r="E631" s="32"/>
      <c r="F631" s="32"/>
      <c r="G631" s="32"/>
    </row>
    <row r="632" ht="15.75" customHeight="1">
      <c r="A632" s="32"/>
      <c r="C632" s="32"/>
      <c r="D632" s="32"/>
      <c r="E632" s="32"/>
      <c r="F632" s="32"/>
      <c r="G632" s="32"/>
    </row>
    <row r="633" ht="15.75" customHeight="1">
      <c r="A633" s="32"/>
      <c r="C633" s="32"/>
      <c r="D633" s="32"/>
      <c r="E633" s="32"/>
      <c r="F633" s="32"/>
      <c r="G633" s="32"/>
    </row>
    <row r="634" ht="15.75" customHeight="1">
      <c r="A634" s="32"/>
      <c r="C634" s="32"/>
      <c r="D634" s="32"/>
      <c r="E634" s="32"/>
      <c r="F634" s="32"/>
      <c r="G634" s="32"/>
    </row>
    <row r="635" ht="15.75" customHeight="1">
      <c r="A635" s="32"/>
      <c r="C635" s="32"/>
      <c r="D635" s="32"/>
      <c r="E635" s="32"/>
      <c r="F635" s="32"/>
      <c r="G635" s="32"/>
    </row>
    <row r="636" ht="15.75" customHeight="1">
      <c r="A636" s="32"/>
      <c r="C636" s="32"/>
      <c r="D636" s="32"/>
      <c r="E636" s="32"/>
      <c r="F636" s="32"/>
      <c r="G636" s="32"/>
    </row>
    <row r="637" ht="15.75" customHeight="1">
      <c r="A637" s="32"/>
      <c r="C637" s="32"/>
      <c r="D637" s="32"/>
      <c r="E637" s="32"/>
      <c r="F637" s="32"/>
      <c r="G637" s="32"/>
    </row>
    <row r="638" ht="15.75" customHeight="1">
      <c r="A638" s="32"/>
      <c r="C638" s="32"/>
      <c r="D638" s="32"/>
      <c r="E638" s="32"/>
      <c r="F638" s="32"/>
      <c r="G638" s="32"/>
    </row>
    <row r="639" ht="15.75" customHeight="1">
      <c r="A639" s="32"/>
      <c r="C639" s="32"/>
      <c r="D639" s="32"/>
      <c r="E639" s="32"/>
      <c r="F639" s="32"/>
      <c r="G639" s="32"/>
    </row>
    <row r="640" ht="15.75" customHeight="1">
      <c r="A640" s="32"/>
      <c r="C640" s="32"/>
      <c r="D640" s="32"/>
      <c r="E640" s="32"/>
      <c r="F640" s="32"/>
      <c r="G640" s="32"/>
    </row>
    <row r="641" ht="15.75" customHeight="1">
      <c r="A641" s="32"/>
      <c r="C641" s="32"/>
      <c r="D641" s="32"/>
      <c r="E641" s="32"/>
      <c r="F641" s="32"/>
      <c r="G641" s="32"/>
    </row>
    <row r="642" ht="15.75" customHeight="1">
      <c r="A642" s="32"/>
      <c r="C642" s="32"/>
      <c r="D642" s="32"/>
      <c r="E642" s="32"/>
      <c r="F642" s="32"/>
      <c r="G642" s="32"/>
    </row>
    <row r="643" ht="15.75" customHeight="1">
      <c r="A643" s="32"/>
      <c r="C643" s="32"/>
      <c r="D643" s="32"/>
      <c r="E643" s="32"/>
      <c r="F643" s="32"/>
      <c r="G643" s="32"/>
    </row>
    <row r="644" ht="15.75" customHeight="1">
      <c r="A644" s="32"/>
      <c r="C644" s="32"/>
      <c r="D644" s="32"/>
      <c r="E644" s="32"/>
      <c r="F644" s="32"/>
      <c r="G644" s="32"/>
    </row>
    <row r="645" ht="15.75" customHeight="1">
      <c r="A645" s="32"/>
      <c r="C645" s="32"/>
      <c r="D645" s="32"/>
      <c r="E645" s="32"/>
      <c r="F645" s="32"/>
      <c r="G645" s="32"/>
    </row>
    <row r="646" ht="15.75" customHeight="1">
      <c r="A646" s="32"/>
      <c r="C646" s="32"/>
      <c r="D646" s="32"/>
      <c r="E646" s="32"/>
      <c r="F646" s="32"/>
      <c r="G646" s="32"/>
    </row>
    <row r="647" ht="15.75" customHeight="1">
      <c r="A647" s="32"/>
      <c r="C647" s="32"/>
      <c r="D647" s="32"/>
      <c r="E647" s="32"/>
      <c r="F647" s="32"/>
      <c r="G647" s="32"/>
    </row>
    <row r="648" ht="15.75" customHeight="1">
      <c r="A648" s="32"/>
      <c r="C648" s="32"/>
      <c r="D648" s="32"/>
      <c r="E648" s="32"/>
      <c r="F648" s="32"/>
      <c r="G648" s="32"/>
    </row>
    <row r="649" ht="15.75" customHeight="1">
      <c r="A649" s="32"/>
      <c r="C649" s="32"/>
      <c r="D649" s="32"/>
      <c r="E649" s="32"/>
      <c r="F649" s="32"/>
      <c r="G649" s="32"/>
    </row>
    <row r="650" ht="15.75" customHeight="1">
      <c r="A650" s="32"/>
      <c r="C650" s="32"/>
      <c r="D650" s="32"/>
      <c r="E650" s="32"/>
      <c r="F650" s="32"/>
      <c r="G650" s="32"/>
    </row>
    <row r="651" ht="15.75" customHeight="1">
      <c r="A651" s="32"/>
      <c r="C651" s="32"/>
      <c r="D651" s="32"/>
      <c r="E651" s="32"/>
      <c r="F651" s="32"/>
      <c r="G651" s="32"/>
    </row>
    <row r="652" ht="15.75" customHeight="1">
      <c r="A652" s="32"/>
      <c r="C652" s="32"/>
      <c r="D652" s="32"/>
      <c r="E652" s="32"/>
      <c r="F652" s="32"/>
      <c r="G652" s="32"/>
    </row>
    <row r="653" ht="15.75" customHeight="1">
      <c r="A653" s="32"/>
      <c r="C653" s="32"/>
      <c r="D653" s="32"/>
      <c r="E653" s="32"/>
      <c r="F653" s="32"/>
      <c r="G653" s="32"/>
    </row>
    <row r="654" ht="15.75" customHeight="1">
      <c r="A654" s="32"/>
      <c r="C654" s="32"/>
      <c r="D654" s="32"/>
      <c r="E654" s="32"/>
      <c r="F654" s="32"/>
      <c r="G654" s="32"/>
    </row>
    <row r="655" ht="15.75" customHeight="1">
      <c r="A655" s="32"/>
      <c r="C655" s="32"/>
      <c r="D655" s="32"/>
      <c r="E655" s="32"/>
      <c r="F655" s="32"/>
      <c r="G655" s="32"/>
    </row>
    <row r="656" ht="15.75" customHeight="1">
      <c r="A656" s="32"/>
      <c r="C656" s="32"/>
      <c r="D656" s="32"/>
      <c r="E656" s="32"/>
      <c r="F656" s="32"/>
      <c r="G656" s="32"/>
    </row>
    <row r="657" ht="15.75" customHeight="1">
      <c r="A657" s="32"/>
      <c r="C657" s="32"/>
      <c r="D657" s="32"/>
      <c r="E657" s="32"/>
      <c r="F657" s="32"/>
      <c r="G657" s="32"/>
    </row>
    <row r="658" ht="15.75" customHeight="1">
      <c r="A658" s="32"/>
      <c r="C658" s="32"/>
      <c r="D658" s="32"/>
      <c r="E658" s="32"/>
      <c r="F658" s="32"/>
      <c r="G658" s="32"/>
    </row>
    <row r="659" ht="15.75" customHeight="1">
      <c r="A659" s="32"/>
      <c r="C659" s="32"/>
      <c r="D659" s="32"/>
      <c r="E659" s="32"/>
      <c r="F659" s="32"/>
      <c r="G659" s="32"/>
    </row>
    <row r="660" ht="15.75" customHeight="1">
      <c r="A660" s="32"/>
      <c r="C660" s="32"/>
      <c r="D660" s="32"/>
      <c r="E660" s="32"/>
      <c r="F660" s="32"/>
      <c r="G660" s="32"/>
    </row>
    <row r="661" ht="15.75" customHeight="1">
      <c r="A661" s="32"/>
      <c r="C661" s="32"/>
      <c r="D661" s="32"/>
      <c r="E661" s="32"/>
      <c r="F661" s="32"/>
      <c r="G661" s="32"/>
    </row>
    <row r="662" ht="15.75" customHeight="1">
      <c r="A662" s="32"/>
      <c r="C662" s="32"/>
      <c r="D662" s="32"/>
      <c r="E662" s="32"/>
      <c r="F662" s="32"/>
      <c r="G662" s="32"/>
    </row>
    <row r="663" ht="15.75" customHeight="1">
      <c r="A663" s="32"/>
      <c r="C663" s="32"/>
      <c r="D663" s="32"/>
      <c r="E663" s="32"/>
      <c r="F663" s="32"/>
      <c r="G663" s="32"/>
    </row>
    <row r="664" ht="15.75" customHeight="1">
      <c r="A664" s="32"/>
      <c r="C664" s="32"/>
      <c r="D664" s="32"/>
      <c r="E664" s="32"/>
      <c r="F664" s="32"/>
      <c r="G664" s="32"/>
    </row>
    <row r="665" ht="15.75" customHeight="1">
      <c r="A665" s="32"/>
      <c r="C665" s="32"/>
      <c r="D665" s="32"/>
      <c r="E665" s="32"/>
      <c r="F665" s="32"/>
      <c r="G665" s="32"/>
    </row>
    <row r="666" ht="15.75" customHeight="1">
      <c r="A666" s="32"/>
      <c r="C666" s="32"/>
      <c r="D666" s="32"/>
      <c r="E666" s="32"/>
      <c r="F666" s="32"/>
      <c r="G666" s="32"/>
    </row>
    <row r="667" ht="15.75" customHeight="1">
      <c r="A667" s="32"/>
      <c r="C667" s="32"/>
      <c r="D667" s="32"/>
      <c r="E667" s="32"/>
      <c r="F667" s="32"/>
      <c r="G667" s="32"/>
    </row>
    <row r="668" ht="15.75" customHeight="1">
      <c r="A668" s="32"/>
      <c r="C668" s="32"/>
      <c r="D668" s="32"/>
      <c r="E668" s="32"/>
      <c r="F668" s="32"/>
      <c r="G668" s="32"/>
    </row>
    <row r="669" ht="15.75" customHeight="1">
      <c r="A669" s="32"/>
      <c r="C669" s="32"/>
      <c r="D669" s="32"/>
      <c r="E669" s="32"/>
      <c r="F669" s="32"/>
      <c r="G669" s="32"/>
    </row>
    <row r="670" ht="15.75" customHeight="1">
      <c r="A670" s="32"/>
      <c r="C670" s="32"/>
      <c r="D670" s="32"/>
      <c r="E670" s="32"/>
      <c r="F670" s="32"/>
      <c r="G670" s="32"/>
    </row>
    <row r="671" ht="15.75" customHeight="1">
      <c r="A671" s="32"/>
      <c r="C671" s="32"/>
      <c r="D671" s="32"/>
      <c r="E671" s="32"/>
      <c r="F671" s="32"/>
      <c r="G671" s="32"/>
    </row>
    <row r="672" ht="15.75" customHeight="1">
      <c r="A672" s="32"/>
      <c r="C672" s="32"/>
      <c r="D672" s="32"/>
      <c r="E672" s="32"/>
      <c r="F672" s="32"/>
      <c r="G672" s="32"/>
    </row>
    <row r="673" ht="15.75" customHeight="1">
      <c r="A673" s="32"/>
      <c r="C673" s="32"/>
      <c r="D673" s="32"/>
      <c r="E673" s="32"/>
      <c r="F673" s="32"/>
      <c r="G673" s="32"/>
    </row>
    <row r="674" ht="15.75" customHeight="1">
      <c r="A674" s="32"/>
      <c r="C674" s="32"/>
      <c r="D674" s="32"/>
      <c r="E674" s="32"/>
      <c r="F674" s="32"/>
      <c r="G674" s="32"/>
    </row>
    <row r="675" ht="15.75" customHeight="1">
      <c r="A675" s="32"/>
      <c r="C675" s="32"/>
      <c r="D675" s="32"/>
      <c r="E675" s="32"/>
      <c r="F675" s="32"/>
      <c r="G675" s="32"/>
    </row>
    <row r="676" ht="15.75" customHeight="1">
      <c r="A676" s="32"/>
      <c r="C676" s="32"/>
      <c r="D676" s="32"/>
      <c r="E676" s="32"/>
      <c r="F676" s="32"/>
      <c r="G676" s="32"/>
    </row>
    <row r="677" ht="15.75" customHeight="1">
      <c r="A677" s="32"/>
      <c r="C677" s="32"/>
      <c r="D677" s="32"/>
      <c r="E677" s="32"/>
      <c r="F677" s="32"/>
      <c r="G677" s="32"/>
    </row>
    <row r="678" ht="15.75" customHeight="1">
      <c r="A678" s="32"/>
      <c r="C678" s="32"/>
      <c r="D678" s="32"/>
      <c r="E678" s="32"/>
      <c r="F678" s="32"/>
      <c r="G678" s="32"/>
    </row>
    <row r="679" ht="15.75" customHeight="1">
      <c r="A679" s="32"/>
      <c r="C679" s="32"/>
      <c r="D679" s="32"/>
      <c r="E679" s="32"/>
      <c r="F679" s="32"/>
      <c r="G679" s="32"/>
    </row>
    <row r="680" ht="15.75" customHeight="1">
      <c r="A680" s="32"/>
      <c r="C680" s="32"/>
      <c r="D680" s="32"/>
      <c r="E680" s="32"/>
      <c r="F680" s="32"/>
      <c r="G680" s="32"/>
    </row>
    <row r="681" ht="15.75" customHeight="1">
      <c r="A681" s="32"/>
      <c r="C681" s="32"/>
      <c r="D681" s="32"/>
      <c r="E681" s="32"/>
      <c r="F681" s="32"/>
      <c r="G681" s="32"/>
    </row>
    <row r="682" ht="15.75" customHeight="1">
      <c r="A682" s="32"/>
      <c r="C682" s="32"/>
      <c r="D682" s="32"/>
      <c r="E682" s="32"/>
      <c r="F682" s="32"/>
      <c r="G682" s="32"/>
    </row>
    <row r="683" ht="15.75" customHeight="1">
      <c r="A683" s="32"/>
      <c r="C683" s="32"/>
      <c r="D683" s="32"/>
      <c r="E683" s="32"/>
      <c r="F683" s="32"/>
      <c r="G683" s="32"/>
    </row>
    <row r="684" ht="15.75" customHeight="1">
      <c r="A684" s="32"/>
      <c r="C684" s="32"/>
      <c r="D684" s="32"/>
      <c r="E684" s="32"/>
      <c r="F684" s="32"/>
      <c r="G684" s="32"/>
    </row>
    <row r="685" ht="15.75" customHeight="1">
      <c r="A685" s="32"/>
      <c r="C685" s="32"/>
      <c r="D685" s="32"/>
      <c r="E685" s="32"/>
      <c r="F685" s="32"/>
      <c r="G685" s="32"/>
    </row>
    <row r="686" ht="15.75" customHeight="1">
      <c r="A686" s="32"/>
      <c r="C686" s="32"/>
      <c r="D686" s="32"/>
      <c r="E686" s="32"/>
      <c r="F686" s="32"/>
      <c r="G686" s="32"/>
    </row>
    <row r="687" ht="15.75" customHeight="1">
      <c r="A687" s="32"/>
      <c r="C687" s="32"/>
      <c r="D687" s="32"/>
      <c r="E687" s="32"/>
      <c r="F687" s="32"/>
      <c r="G687" s="32"/>
    </row>
    <row r="688" ht="15.75" customHeight="1">
      <c r="A688" s="32"/>
      <c r="C688" s="32"/>
      <c r="D688" s="32"/>
      <c r="E688" s="32"/>
      <c r="F688" s="32"/>
      <c r="G688" s="32"/>
    </row>
    <row r="689" ht="15.75" customHeight="1">
      <c r="A689" s="32"/>
      <c r="C689" s="32"/>
      <c r="D689" s="32"/>
      <c r="E689" s="32"/>
      <c r="F689" s="32"/>
      <c r="G689" s="32"/>
    </row>
    <row r="690" ht="15.75" customHeight="1">
      <c r="A690" s="32"/>
      <c r="C690" s="32"/>
      <c r="D690" s="32"/>
      <c r="E690" s="32"/>
      <c r="F690" s="32"/>
      <c r="G690" s="32"/>
    </row>
    <row r="691" ht="15.75" customHeight="1">
      <c r="A691" s="32"/>
      <c r="C691" s="32"/>
      <c r="D691" s="32"/>
      <c r="E691" s="32"/>
      <c r="F691" s="32"/>
      <c r="G691" s="32"/>
    </row>
    <row r="692" ht="15.75" customHeight="1">
      <c r="A692" s="32"/>
      <c r="C692" s="32"/>
      <c r="D692" s="32"/>
      <c r="E692" s="32"/>
      <c r="F692" s="32"/>
      <c r="G692" s="32"/>
    </row>
    <row r="693" ht="15.75" customHeight="1">
      <c r="A693" s="32"/>
      <c r="C693" s="32"/>
      <c r="D693" s="32"/>
      <c r="E693" s="32"/>
      <c r="F693" s="32"/>
      <c r="G693" s="32"/>
    </row>
    <row r="694" ht="15.75" customHeight="1">
      <c r="A694" s="32"/>
      <c r="C694" s="32"/>
      <c r="D694" s="32"/>
      <c r="E694" s="32"/>
      <c r="F694" s="32"/>
      <c r="G694" s="32"/>
    </row>
    <row r="695" ht="15.75" customHeight="1">
      <c r="A695" s="32"/>
      <c r="C695" s="32"/>
      <c r="D695" s="32"/>
      <c r="E695" s="32"/>
      <c r="F695" s="32"/>
      <c r="G695" s="32"/>
    </row>
    <row r="696" ht="15.75" customHeight="1">
      <c r="A696" s="32"/>
      <c r="C696" s="32"/>
      <c r="D696" s="32"/>
      <c r="E696" s="32"/>
      <c r="F696" s="32"/>
      <c r="G696" s="32"/>
    </row>
    <row r="697" ht="15.75" customHeight="1">
      <c r="A697" s="32"/>
      <c r="C697" s="32"/>
      <c r="D697" s="32"/>
      <c r="E697" s="32"/>
      <c r="F697" s="32"/>
      <c r="G697" s="32"/>
    </row>
    <row r="698" ht="15.75" customHeight="1">
      <c r="A698" s="32"/>
      <c r="C698" s="32"/>
      <c r="D698" s="32"/>
      <c r="E698" s="32"/>
      <c r="F698" s="32"/>
      <c r="G698" s="32"/>
    </row>
    <row r="699" ht="15.75" customHeight="1">
      <c r="A699" s="32"/>
      <c r="C699" s="32"/>
      <c r="D699" s="32"/>
      <c r="E699" s="32"/>
      <c r="F699" s="32"/>
      <c r="G699" s="32"/>
    </row>
    <row r="700" ht="15.75" customHeight="1">
      <c r="A700" s="32"/>
      <c r="C700" s="32"/>
      <c r="D700" s="32"/>
      <c r="E700" s="32"/>
      <c r="F700" s="32"/>
      <c r="G700" s="32"/>
    </row>
    <row r="701" ht="15.75" customHeight="1">
      <c r="A701" s="32"/>
      <c r="C701" s="32"/>
      <c r="D701" s="32"/>
      <c r="E701" s="32"/>
      <c r="F701" s="32"/>
      <c r="G701" s="32"/>
    </row>
    <row r="702" ht="15.75" customHeight="1">
      <c r="A702" s="32"/>
      <c r="C702" s="32"/>
      <c r="D702" s="32"/>
      <c r="E702" s="32"/>
      <c r="F702" s="32"/>
      <c r="G702" s="32"/>
    </row>
    <row r="703" ht="15.75" customHeight="1">
      <c r="A703" s="32"/>
      <c r="C703" s="32"/>
      <c r="D703" s="32"/>
      <c r="E703" s="32"/>
      <c r="F703" s="32"/>
      <c r="G703" s="32"/>
    </row>
    <row r="704" ht="15.75" customHeight="1">
      <c r="A704" s="32"/>
      <c r="C704" s="32"/>
      <c r="D704" s="32"/>
      <c r="E704" s="32"/>
      <c r="F704" s="32"/>
      <c r="G704" s="32"/>
    </row>
    <row r="705" ht="15.75" customHeight="1">
      <c r="A705" s="32"/>
      <c r="C705" s="32"/>
      <c r="D705" s="32"/>
      <c r="E705" s="32"/>
      <c r="F705" s="32"/>
      <c r="G705" s="32"/>
    </row>
    <row r="706" ht="15.75" customHeight="1">
      <c r="A706" s="32"/>
      <c r="C706" s="32"/>
      <c r="D706" s="32"/>
      <c r="E706" s="32"/>
      <c r="F706" s="32"/>
      <c r="G706" s="32"/>
    </row>
    <row r="707" ht="15.75" customHeight="1">
      <c r="A707" s="32"/>
      <c r="C707" s="32"/>
      <c r="D707" s="32"/>
      <c r="E707" s="32"/>
      <c r="F707" s="32"/>
      <c r="G707" s="32"/>
    </row>
    <row r="708" ht="15.75" customHeight="1">
      <c r="A708" s="32"/>
      <c r="C708" s="32"/>
      <c r="D708" s="32"/>
      <c r="E708" s="32"/>
      <c r="F708" s="32"/>
      <c r="G708" s="32"/>
    </row>
    <row r="709" ht="15.75" customHeight="1">
      <c r="A709" s="32"/>
      <c r="C709" s="32"/>
      <c r="D709" s="32"/>
      <c r="E709" s="32"/>
      <c r="F709" s="32"/>
      <c r="G709" s="32"/>
    </row>
    <row r="710" ht="15.75" customHeight="1">
      <c r="A710" s="32"/>
      <c r="C710" s="32"/>
      <c r="D710" s="32"/>
      <c r="E710" s="32"/>
      <c r="F710" s="32"/>
      <c r="G710" s="32"/>
    </row>
    <row r="711" ht="15.75" customHeight="1">
      <c r="A711" s="32"/>
      <c r="C711" s="32"/>
      <c r="D711" s="32"/>
      <c r="E711" s="32"/>
      <c r="F711" s="32"/>
      <c r="G711" s="32"/>
    </row>
    <row r="712" ht="15.75" customHeight="1">
      <c r="A712" s="32"/>
      <c r="C712" s="32"/>
      <c r="D712" s="32"/>
      <c r="E712" s="32"/>
      <c r="F712" s="32"/>
      <c r="G712" s="32"/>
    </row>
    <row r="713" ht="15.75" customHeight="1">
      <c r="A713" s="32"/>
      <c r="C713" s="32"/>
      <c r="D713" s="32"/>
      <c r="E713" s="32"/>
      <c r="F713" s="32"/>
      <c r="G713" s="32"/>
    </row>
    <row r="714" ht="15.75" customHeight="1">
      <c r="A714" s="32"/>
      <c r="C714" s="32"/>
      <c r="D714" s="32"/>
      <c r="E714" s="32"/>
      <c r="F714" s="32"/>
      <c r="G714" s="32"/>
    </row>
    <row r="715" ht="15.75" customHeight="1">
      <c r="A715" s="32"/>
      <c r="C715" s="32"/>
      <c r="D715" s="32"/>
      <c r="E715" s="32"/>
      <c r="F715" s="32"/>
      <c r="G715" s="32"/>
    </row>
    <row r="716" ht="15.75" customHeight="1">
      <c r="A716" s="32"/>
      <c r="C716" s="32"/>
      <c r="D716" s="32"/>
      <c r="E716" s="32"/>
      <c r="F716" s="32"/>
      <c r="G716" s="32"/>
    </row>
    <row r="717" ht="15.75" customHeight="1">
      <c r="A717" s="32"/>
      <c r="C717" s="32"/>
      <c r="D717" s="32"/>
      <c r="E717" s="32"/>
      <c r="F717" s="32"/>
      <c r="G717" s="32"/>
    </row>
    <row r="718" ht="15.75" customHeight="1">
      <c r="A718" s="32"/>
      <c r="C718" s="32"/>
      <c r="D718" s="32"/>
      <c r="E718" s="32"/>
      <c r="F718" s="32"/>
      <c r="G718" s="32"/>
    </row>
    <row r="719" ht="15.75" customHeight="1">
      <c r="A719" s="32"/>
      <c r="C719" s="32"/>
      <c r="D719" s="32"/>
      <c r="E719" s="32"/>
      <c r="F719" s="32"/>
      <c r="G719" s="32"/>
    </row>
    <row r="720" ht="15.75" customHeight="1">
      <c r="A720" s="32"/>
      <c r="C720" s="32"/>
      <c r="D720" s="32"/>
      <c r="E720" s="32"/>
      <c r="F720" s="32"/>
      <c r="G720" s="32"/>
    </row>
    <row r="721" ht="15.75" customHeight="1">
      <c r="A721" s="32"/>
      <c r="C721" s="32"/>
      <c r="D721" s="32"/>
      <c r="E721" s="32"/>
      <c r="F721" s="32"/>
      <c r="G721" s="32"/>
    </row>
    <row r="722" ht="15.75" customHeight="1">
      <c r="A722" s="32"/>
      <c r="C722" s="32"/>
      <c r="D722" s="32"/>
      <c r="E722" s="32"/>
      <c r="F722" s="32"/>
      <c r="G722" s="32"/>
    </row>
    <row r="723" ht="15.75" customHeight="1">
      <c r="A723" s="32"/>
      <c r="C723" s="32"/>
      <c r="D723" s="32"/>
      <c r="E723" s="32"/>
      <c r="F723" s="32"/>
      <c r="G723" s="32"/>
    </row>
    <row r="724" ht="15.75" customHeight="1">
      <c r="A724" s="32"/>
      <c r="C724" s="32"/>
      <c r="D724" s="32"/>
      <c r="E724" s="32"/>
      <c r="F724" s="32"/>
      <c r="G724" s="32"/>
    </row>
    <row r="725" ht="15.75" customHeight="1">
      <c r="A725" s="32"/>
      <c r="C725" s="32"/>
      <c r="D725" s="32"/>
      <c r="E725" s="32"/>
      <c r="F725" s="32"/>
      <c r="G725" s="32"/>
    </row>
    <row r="726" ht="15.75" customHeight="1">
      <c r="A726" s="32"/>
      <c r="C726" s="32"/>
      <c r="D726" s="32"/>
      <c r="E726" s="32"/>
      <c r="F726" s="32"/>
      <c r="G726" s="32"/>
    </row>
    <row r="727" ht="15.75" customHeight="1">
      <c r="A727" s="32"/>
      <c r="C727" s="32"/>
      <c r="D727" s="32"/>
      <c r="E727" s="32"/>
      <c r="F727" s="32"/>
      <c r="G727" s="32"/>
    </row>
    <row r="728" ht="15.75" customHeight="1">
      <c r="A728" s="32"/>
      <c r="C728" s="32"/>
      <c r="D728" s="32"/>
      <c r="E728" s="32"/>
      <c r="F728" s="32"/>
      <c r="G728" s="32"/>
    </row>
    <row r="729" ht="15.75" customHeight="1">
      <c r="A729" s="32"/>
      <c r="C729" s="32"/>
      <c r="D729" s="32"/>
      <c r="E729" s="32"/>
      <c r="F729" s="32"/>
      <c r="G729" s="32"/>
    </row>
    <row r="730" ht="15.75" customHeight="1">
      <c r="A730" s="32"/>
      <c r="C730" s="32"/>
      <c r="D730" s="32"/>
      <c r="E730" s="32"/>
      <c r="F730" s="32"/>
      <c r="G730" s="32"/>
    </row>
    <row r="731" ht="15.75" customHeight="1">
      <c r="A731" s="32"/>
      <c r="C731" s="32"/>
      <c r="D731" s="32"/>
      <c r="E731" s="32"/>
      <c r="F731" s="32"/>
      <c r="G731" s="32"/>
    </row>
    <row r="732" ht="15.75" customHeight="1">
      <c r="A732" s="32"/>
      <c r="C732" s="32"/>
      <c r="D732" s="32"/>
      <c r="E732" s="32"/>
      <c r="F732" s="32"/>
      <c r="G732" s="32"/>
    </row>
    <row r="733" ht="15.75" customHeight="1">
      <c r="A733" s="32"/>
      <c r="C733" s="32"/>
      <c r="D733" s="32"/>
      <c r="E733" s="32"/>
      <c r="F733" s="32"/>
      <c r="G733" s="32"/>
    </row>
    <row r="734" ht="15.75" customHeight="1">
      <c r="A734" s="32"/>
      <c r="C734" s="32"/>
      <c r="D734" s="32"/>
      <c r="E734" s="32"/>
      <c r="F734" s="32"/>
      <c r="G734" s="32"/>
    </row>
    <row r="735" ht="15.75" customHeight="1">
      <c r="A735" s="32"/>
      <c r="C735" s="32"/>
      <c r="D735" s="32"/>
      <c r="E735" s="32"/>
      <c r="F735" s="32"/>
      <c r="G735" s="32"/>
    </row>
    <row r="736" ht="15.75" customHeight="1">
      <c r="A736" s="32"/>
      <c r="C736" s="32"/>
      <c r="D736" s="32"/>
      <c r="E736" s="32"/>
      <c r="F736" s="32"/>
      <c r="G736" s="32"/>
    </row>
    <row r="737" ht="15.75" customHeight="1">
      <c r="A737" s="32"/>
      <c r="C737" s="32"/>
      <c r="D737" s="32"/>
      <c r="E737" s="32"/>
      <c r="F737" s="32"/>
      <c r="G737" s="32"/>
    </row>
    <row r="738" ht="15.75" customHeight="1">
      <c r="A738" s="32"/>
      <c r="C738" s="32"/>
      <c r="D738" s="32"/>
      <c r="E738" s="32"/>
      <c r="F738" s="32"/>
      <c r="G738" s="32"/>
    </row>
    <row r="739" ht="15.75" customHeight="1">
      <c r="A739" s="32"/>
      <c r="C739" s="32"/>
      <c r="D739" s="32"/>
      <c r="E739" s="32"/>
      <c r="F739" s="32"/>
      <c r="G739" s="32"/>
    </row>
    <row r="740" ht="15.75" customHeight="1">
      <c r="A740" s="32"/>
      <c r="C740" s="32"/>
      <c r="D740" s="32"/>
      <c r="E740" s="32"/>
      <c r="F740" s="32"/>
      <c r="G740" s="32"/>
    </row>
    <row r="741" ht="15.75" customHeight="1">
      <c r="A741" s="32"/>
      <c r="C741" s="32"/>
      <c r="D741" s="32"/>
      <c r="E741" s="32"/>
      <c r="F741" s="32"/>
      <c r="G741" s="32"/>
    </row>
    <row r="742" ht="15.75" customHeight="1">
      <c r="A742" s="32"/>
      <c r="C742" s="32"/>
      <c r="D742" s="32"/>
      <c r="E742" s="32"/>
      <c r="F742" s="32"/>
      <c r="G742" s="32"/>
    </row>
    <row r="743" ht="15.75" customHeight="1">
      <c r="A743" s="32"/>
      <c r="C743" s="32"/>
      <c r="D743" s="32"/>
      <c r="E743" s="32"/>
      <c r="F743" s="32"/>
      <c r="G743" s="32"/>
    </row>
    <row r="744" ht="15.75" customHeight="1">
      <c r="A744" s="32"/>
      <c r="C744" s="32"/>
      <c r="D744" s="32"/>
      <c r="E744" s="32"/>
      <c r="F744" s="32"/>
      <c r="G744" s="32"/>
    </row>
    <row r="745" ht="15.75" customHeight="1">
      <c r="A745" s="32"/>
      <c r="C745" s="32"/>
      <c r="D745" s="32"/>
      <c r="E745" s="32"/>
      <c r="F745" s="32"/>
      <c r="G745" s="32"/>
    </row>
    <row r="746" ht="15.75" customHeight="1">
      <c r="A746" s="32"/>
      <c r="C746" s="32"/>
      <c r="D746" s="32"/>
      <c r="E746" s="32"/>
      <c r="F746" s="32"/>
      <c r="G746" s="32"/>
    </row>
    <row r="747" ht="15.75" customHeight="1">
      <c r="A747" s="32"/>
      <c r="C747" s="32"/>
      <c r="D747" s="32"/>
      <c r="E747" s="32"/>
      <c r="F747" s="32"/>
      <c r="G747" s="32"/>
    </row>
    <row r="748" ht="15.75" customHeight="1">
      <c r="A748" s="32"/>
      <c r="C748" s="32"/>
      <c r="D748" s="32"/>
      <c r="E748" s="32"/>
      <c r="F748" s="32"/>
      <c r="G748" s="32"/>
    </row>
    <row r="749" ht="15.75" customHeight="1">
      <c r="A749" s="32"/>
      <c r="C749" s="32"/>
      <c r="D749" s="32"/>
      <c r="E749" s="32"/>
      <c r="F749" s="32"/>
      <c r="G749" s="32"/>
    </row>
    <row r="750" ht="15.75" customHeight="1">
      <c r="A750" s="32"/>
      <c r="C750" s="32"/>
      <c r="D750" s="32"/>
      <c r="E750" s="32"/>
      <c r="F750" s="32"/>
      <c r="G750" s="32"/>
    </row>
    <row r="751" ht="15.75" customHeight="1">
      <c r="A751" s="32"/>
      <c r="C751" s="32"/>
      <c r="D751" s="32"/>
      <c r="E751" s="32"/>
      <c r="F751" s="32"/>
      <c r="G751" s="32"/>
    </row>
    <row r="752" ht="15.75" customHeight="1">
      <c r="A752" s="32"/>
      <c r="C752" s="32"/>
      <c r="D752" s="32"/>
      <c r="E752" s="32"/>
      <c r="F752" s="32"/>
      <c r="G752" s="32"/>
    </row>
    <row r="753" ht="15.75" customHeight="1">
      <c r="A753" s="32"/>
      <c r="C753" s="32"/>
      <c r="D753" s="32"/>
      <c r="E753" s="32"/>
      <c r="F753" s="32"/>
      <c r="G753" s="32"/>
    </row>
    <row r="754" ht="15.75" customHeight="1">
      <c r="A754" s="32"/>
      <c r="C754" s="32"/>
      <c r="D754" s="32"/>
      <c r="E754" s="32"/>
      <c r="F754" s="32"/>
      <c r="G754" s="32"/>
    </row>
    <row r="755" ht="15.75" customHeight="1">
      <c r="A755" s="32"/>
      <c r="C755" s="32"/>
      <c r="D755" s="32"/>
      <c r="E755" s="32"/>
      <c r="F755" s="32"/>
      <c r="G755" s="32"/>
    </row>
    <row r="756" ht="15.75" customHeight="1">
      <c r="A756" s="32"/>
      <c r="C756" s="32"/>
      <c r="D756" s="32"/>
      <c r="E756" s="32"/>
      <c r="F756" s="32"/>
      <c r="G756" s="32"/>
    </row>
    <row r="757" ht="15.75" customHeight="1">
      <c r="A757" s="32"/>
      <c r="C757" s="32"/>
      <c r="D757" s="32"/>
      <c r="E757" s="32"/>
      <c r="F757" s="32"/>
      <c r="G757" s="32"/>
    </row>
    <row r="758" ht="15.75" customHeight="1">
      <c r="A758" s="32"/>
      <c r="C758" s="32"/>
      <c r="D758" s="32"/>
      <c r="E758" s="32"/>
      <c r="F758" s="32"/>
      <c r="G758" s="32"/>
    </row>
    <row r="759" ht="15.75" customHeight="1">
      <c r="A759" s="32"/>
      <c r="C759" s="32"/>
      <c r="D759" s="32"/>
      <c r="E759" s="32"/>
      <c r="F759" s="32"/>
      <c r="G759" s="32"/>
    </row>
    <row r="760" ht="15.75" customHeight="1">
      <c r="A760" s="32"/>
      <c r="C760" s="32"/>
      <c r="D760" s="32"/>
      <c r="E760" s="32"/>
      <c r="F760" s="32"/>
      <c r="G760" s="32"/>
    </row>
    <row r="761" ht="15.75" customHeight="1">
      <c r="A761" s="32"/>
      <c r="C761" s="32"/>
      <c r="D761" s="32"/>
      <c r="E761" s="32"/>
      <c r="F761" s="32"/>
      <c r="G761" s="32"/>
    </row>
    <row r="762" ht="15.75" customHeight="1">
      <c r="A762" s="32"/>
      <c r="C762" s="32"/>
      <c r="D762" s="32"/>
      <c r="E762" s="32"/>
      <c r="F762" s="32"/>
      <c r="G762" s="32"/>
    </row>
    <row r="763" ht="15.75" customHeight="1">
      <c r="A763" s="32"/>
      <c r="C763" s="32"/>
      <c r="D763" s="32"/>
      <c r="E763" s="32"/>
      <c r="F763" s="32"/>
      <c r="G763" s="32"/>
    </row>
    <row r="764" ht="15.75" customHeight="1">
      <c r="A764" s="32"/>
      <c r="C764" s="32"/>
      <c r="D764" s="32"/>
      <c r="E764" s="32"/>
      <c r="F764" s="32"/>
      <c r="G764" s="32"/>
    </row>
    <row r="765" ht="15.75" customHeight="1">
      <c r="A765" s="32"/>
      <c r="C765" s="32"/>
      <c r="D765" s="32"/>
      <c r="E765" s="32"/>
      <c r="F765" s="32"/>
      <c r="G765" s="32"/>
    </row>
    <row r="766" ht="15.75" customHeight="1">
      <c r="A766" s="32"/>
      <c r="C766" s="32"/>
      <c r="D766" s="32"/>
      <c r="E766" s="32"/>
      <c r="F766" s="32"/>
      <c r="G766" s="32"/>
    </row>
    <row r="767" ht="15.75" customHeight="1">
      <c r="A767" s="32"/>
      <c r="C767" s="32"/>
      <c r="D767" s="32"/>
      <c r="E767" s="32"/>
      <c r="F767" s="32"/>
      <c r="G767" s="32"/>
    </row>
    <row r="768" ht="15.75" customHeight="1">
      <c r="A768" s="32"/>
      <c r="C768" s="32"/>
      <c r="D768" s="32"/>
      <c r="E768" s="32"/>
      <c r="F768" s="32"/>
      <c r="G768" s="32"/>
    </row>
    <row r="769" ht="15.75" customHeight="1">
      <c r="A769" s="32"/>
      <c r="C769" s="32"/>
      <c r="D769" s="32"/>
      <c r="E769" s="32"/>
      <c r="F769" s="32"/>
      <c r="G769" s="32"/>
    </row>
    <row r="770" ht="15.75" customHeight="1">
      <c r="A770" s="32"/>
      <c r="C770" s="32"/>
      <c r="D770" s="32"/>
      <c r="E770" s="32"/>
      <c r="F770" s="32"/>
      <c r="G770" s="32"/>
    </row>
    <row r="771" ht="15.75" customHeight="1">
      <c r="A771" s="32"/>
      <c r="C771" s="32"/>
      <c r="D771" s="32"/>
      <c r="E771" s="32"/>
      <c r="F771" s="32"/>
      <c r="G771" s="32"/>
    </row>
    <row r="772" ht="15.75" customHeight="1">
      <c r="A772" s="32"/>
      <c r="C772" s="32"/>
      <c r="D772" s="32"/>
      <c r="E772" s="32"/>
      <c r="F772" s="32"/>
      <c r="G772" s="32"/>
    </row>
    <row r="773" ht="15.75" customHeight="1">
      <c r="A773" s="32"/>
      <c r="C773" s="32"/>
      <c r="D773" s="32"/>
      <c r="E773" s="32"/>
      <c r="F773" s="32"/>
      <c r="G773" s="32"/>
    </row>
    <row r="774" ht="15.75" customHeight="1">
      <c r="A774" s="32"/>
      <c r="C774" s="32"/>
      <c r="D774" s="32"/>
      <c r="E774" s="32"/>
      <c r="F774" s="32"/>
      <c r="G774" s="32"/>
    </row>
    <row r="775" ht="15.75" customHeight="1">
      <c r="A775" s="32"/>
      <c r="C775" s="32"/>
      <c r="D775" s="32"/>
      <c r="E775" s="32"/>
      <c r="F775" s="32"/>
      <c r="G775" s="32"/>
    </row>
    <row r="776" ht="15.75" customHeight="1">
      <c r="A776" s="32"/>
      <c r="C776" s="32"/>
      <c r="D776" s="32"/>
      <c r="E776" s="32"/>
      <c r="F776" s="32"/>
      <c r="G776" s="32"/>
    </row>
    <row r="777" ht="15.75" customHeight="1">
      <c r="A777" s="32"/>
      <c r="C777" s="32"/>
      <c r="D777" s="32"/>
      <c r="E777" s="32"/>
      <c r="F777" s="32"/>
      <c r="G777" s="32"/>
    </row>
    <row r="778" ht="15.75" customHeight="1">
      <c r="A778" s="32"/>
      <c r="C778" s="32"/>
      <c r="D778" s="32"/>
      <c r="E778" s="32"/>
      <c r="F778" s="32"/>
      <c r="G778" s="32"/>
    </row>
    <row r="779" ht="15.75" customHeight="1">
      <c r="A779" s="32"/>
      <c r="C779" s="32"/>
      <c r="D779" s="32"/>
      <c r="E779" s="32"/>
      <c r="F779" s="32"/>
      <c r="G779" s="32"/>
    </row>
    <row r="780" ht="15.75" customHeight="1">
      <c r="A780" s="32"/>
      <c r="C780" s="32"/>
      <c r="D780" s="32"/>
      <c r="E780" s="32"/>
      <c r="F780" s="32"/>
      <c r="G780" s="32"/>
    </row>
    <row r="781" ht="15.75" customHeight="1">
      <c r="A781" s="32"/>
      <c r="C781" s="32"/>
      <c r="D781" s="32"/>
      <c r="E781" s="32"/>
      <c r="F781" s="32"/>
      <c r="G781" s="32"/>
    </row>
    <row r="782" ht="15.75" customHeight="1">
      <c r="A782" s="32"/>
      <c r="C782" s="32"/>
      <c r="D782" s="32"/>
      <c r="E782" s="32"/>
      <c r="F782" s="32"/>
      <c r="G782" s="32"/>
    </row>
    <row r="783" ht="15.75" customHeight="1">
      <c r="A783" s="32"/>
      <c r="C783" s="32"/>
      <c r="D783" s="32"/>
      <c r="E783" s="32"/>
      <c r="F783" s="32"/>
      <c r="G783" s="32"/>
    </row>
    <row r="784" ht="15.75" customHeight="1">
      <c r="A784" s="32"/>
      <c r="C784" s="32"/>
      <c r="D784" s="32"/>
      <c r="E784" s="32"/>
      <c r="F784" s="32"/>
      <c r="G784" s="32"/>
    </row>
    <row r="785" ht="15.75" customHeight="1">
      <c r="A785" s="32"/>
      <c r="C785" s="32"/>
      <c r="D785" s="32"/>
      <c r="E785" s="32"/>
      <c r="F785" s="32"/>
      <c r="G785" s="32"/>
    </row>
    <row r="786" ht="15.75" customHeight="1">
      <c r="A786" s="32"/>
      <c r="C786" s="32"/>
      <c r="D786" s="32"/>
      <c r="E786" s="32"/>
      <c r="F786" s="32"/>
      <c r="G786" s="32"/>
    </row>
    <row r="787" ht="15.75" customHeight="1">
      <c r="A787" s="32"/>
      <c r="C787" s="32"/>
      <c r="D787" s="32"/>
      <c r="E787" s="32"/>
      <c r="F787" s="32"/>
      <c r="G787" s="32"/>
    </row>
    <row r="788" ht="15.75" customHeight="1">
      <c r="A788" s="32"/>
      <c r="C788" s="32"/>
      <c r="D788" s="32"/>
      <c r="E788" s="32"/>
      <c r="F788" s="32"/>
      <c r="G788" s="32"/>
    </row>
    <row r="789" ht="15.75" customHeight="1">
      <c r="A789" s="32"/>
      <c r="C789" s="32"/>
      <c r="D789" s="32"/>
      <c r="E789" s="32"/>
      <c r="F789" s="32"/>
      <c r="G789" s="32"/>
    </row>
    <row r="790" ht="15.75" customHeight="1">
      <c r="A790" s="32"/>
      <c r="C790" s="32"/>
      <c r="D790" s="32"/>
      <c r="E790" s="32"/>
      <c r="F790" s="32"/>
      <c r="G790" s="32"/>
    </row>
    <row r="791" ht="15.75" customHeight="1">
      <c r="A791" s="32"/>
      <c r="C791" s="32"/>
      <c r="D791" s="32"/>
      <c r="E791" s="32"/>
      <c r="F791" s="32"/>
      <c r="G791" s="32"/>
    </row>
    <row r="792" ht="15.75" customHeight="1">
      <c r="A792" s="32"/>
      <c r="C792" s="32"/>
      <c r="D792" s="32"/>
      <c r="E792" s="32"/>
      <c r="F792" s="32"/>
      <c r="G792" s="32"/>
    </row>
    <row r="793" ht="15.75" customHeight="1">
      <c r="A793" s="32"/>
      <c r="C793" s="32"/>
      <c r="D793" s="32"/>
      <c r="E793" s="32"/>
      <c r="F793" s="32"/>
      <c r="G793" s="32"/>
    </row>
    <row r="794" ht="15.75" customHeight="1">
      <c r="A794" s="32"/>
      <c r="C794" s="32"/>
      <c r="D794" s="32"/>
      <c r="E794" s="32"/>
      <c r="F794" s="32"/>
      <c r="G794" s="32"/>
    </row>
    <row r="795" ht="15.75" customHeight="1">
      <c r="A795" s="32"/>
      <c r="C795" s="32"/>
      <c r="D795" s="32"/>
      <c r="E795" s="32"/>
      <c r="F795" s="32"/>
      <c r="G795" s="32"/>
    </row>
    <row r="796" ht="15.75" customHeight="1">
      <c r="A796" s="32"/>
      <c r="C796" s="32"/>
      <c r="D796" s="32"/>
      <c r="E796" s="32"/>
      <c r="F796" s="32"/>
      <c r="G796" s="32"/>
    </row>
    <row r="797" ht="15.75" customHeight="1">
      <c r="A797" s="32"/>
      <c r="C797" s="32"/>
      <c r="D797" s="32"/>
      <c r="E797" s="32"/>
      <c r="F797" s="32"/>
      <c r="G797" s="32"/>
    </row>
    <row r="798" ht="15.75" customHeight="1">
      <c r="A798" s="32"/>
      <c r="C798" s="32"/>
      <c r="D798" s="32"/>
      <c r="E798" s="32"/>
      <c r="F798" s="32"/>
      <c r="G798" s="32"/>
    </row>
    <row r="799" ht="15.75" customHeight="1">
      <c r="A799" s="32"/>
      <c r="C799" s="32"/>
      <c r="D799" s="32"/>
      <c r="E799" s="32"/>
      <c r="F799" s="32"/>
      <c r="G799" s="32"/>
    </row>
    <row r="800" ht="15.75" customHeight="1">
      <c r="A800" s="32"/>
      <c r="C800" s="32"/>
      <c r="D800" s="32"/>
      <c r="E800" s="32"/>
      <c r="F800" s="32"/>
      <c r="G800" s="32"/>
    </row>
    <row r="801" ht="15.75" customHeight="1">
      <c r="A801" s="32"/>
      <c r="C801" s="32"/>
      <c r="D801" s="32"/>
      <c r="E801" s="32"/>
      <c r="F801" s="32"/>
      <c r="G801" s="32"/>
    </row>
    <row r="802" ht="15.75" customHeight="1">
      <c r="A802" s="32"/>
      <c r="C802" s="32"/>
      <c r="D802" s="32"/>
      <c r="E802" s="32"/>
      <c r="F802" s="32"/>
      <c r="G802" s="32"/>
    </row>
    <row r="803" ht="15.75" customHeight="1">
      <c r="A803" s="32"/>
      <c r="C803" s="32"/>
      <c r="D803" s="32"/>
      <c r="E803" s="32"/>
      <c r="F803" s="32"/>
      <c r="G803" s="32"/>
    </row>
    <row r="804" ht="15.75" customHeight="1">
      <c r="A804" s="32"/>
      <c r="C804" s="32"/>
      <c r="D804" s="32"/>
      <c r="E804" s="32"/>
      <c r="F804" s="32"/>
      <c r="G804" s="32"/>
    </row>
    <row r="805" ht="15.75" customHeight="1">
      <c r="A805" s="32"/>
      <c r="C805" s="32"/>
      <c r="D805" s="32"/>
      <c r="E805" s="32"/>
      <c r="F805" s="32"/>
      <c r="G805" s="32"/>
    </row>
    <row r="806" ht="15.75" customHeight="1">
      <c r="A806" s="32"/>
      <c r="C806" s="32"/>
      <c r="D806" s="32"/>
      <c r="E806" s="32"/>
      <c r="F806" s="32"/>
      <c r="G806" s="32"/>
    </row>
    <row r="807" ht="15.75" customHeight="1">
      <c r="A807" s="32"/>
      <c r="C807" s="32"/>
      <c r="D807" s="32"/>
      <c r="E807" s="32"/>
      <c r="F807" s="32"/>
      <c r="G807" s="32"/>
    </row>
    <row r="808" ht="15.75" customHeight="1">
      <c r="A808" s="32"/>
      <c r="C808" s="32"/>
      <c r="D808" s="32"/>
      <c r="E808" s="32"/>
      <c r="F808" s="32"/>
      <c r="G808" s="32"/>
    </row>
    <row r="809" ht="15.75" customHeight="1">
      <c r="A809" s="32"/>
      <c r="C809" s="32"/>
      <c r="D809" s="32"/>
      <c r="E809" s="32"/>
      <c r="F809" s="32"/>
      <c r="G809" s="32"/>
    </row>
    <row r="810" ht="15.75" customHeight="1">
      <c r="A810" s="32"/>
      <c r="C810" s="32"/>
      <c r="D810" s="32"/>
      <c r="E810" s="32"/>
      <c r="F810" s="32"/>
      <c r="G810" s="32"/>
    </row>
    <row r="811" ht="15.75" customHeight="1">
      <c r="A811" s="32"/>
      <c r="C811" s="32"/>
      <c r="D811" s="32"/>
      <c r="E811" s="32"/>
      <c r="F811" s="32"/>
      <c r="G811" s="32"/>
    </row>
    <row r="812" ht="15.75" customHeight="1">
      <c r="A812" s="32"/>
      <c r="C812" s="32"/>
      <c r="D812" s="32"/>
      <c r="E812" s="32"/>
      <c r="F812" s="32"/>
      <c r="G812" s="32"/>
    </row>
    <row r="813" ht="15.75" customHeight="1">
      <c r="A813" s="32"/>
      <c r="C813" s="32"/>
      <c r="D813" s="32"/>
      <c r="E813" s="32"/>
      <c r="F813" s="32"/>
      <c r="G813" s="32"/>
    </row>
    <row r="814" ht="15.75" customHeight="1">
      <c r="A814" s="32"/>
      <c r="C814" s="32"/>
      <c r="D814" s="32"/>
      <c r="E814" s="32"/>
      <c r="F814" s="32"/>
      <c r="G814" s="32"/>
    </row>
    <row r="815" ht="15.75" customHeight="1">
      <c r="A815" s="32"/>
      <c r="C815" s="32"/>
      <c r="D815" s="32"/>
      <c r="E815" s="32"/>
      <c r="F815" s="32"/>
      <c r="G815" s="32"/>
    </row>
    <row r="816" ht="15.75" customHeight="1">
      <c r="A816" s="32"/>
      <c r="C816" s="32"/>
      <c r="D816" s="32"/>
      <c r="E816" s="32"/>
      <c r="F816" s="32"/>
      <c r="G816" s="32"/>
    </row>
    <row r="817" ht="15.75" customHeight="1">
      <c r="A817" s="32"/>
      <c r="C817" s="32"/>
      <c r="D817" s="32"/>
      <c r="E817" s="32"/>
      <c r="F817" s="32"/>
      <c r="G817" s="32"/>
    </row>
    <row r="818" ht="15.75" customHeight="1">
      <c r="A818" s="32"/>
      <c r="C818" s="32"/>
      <c r="D818" s="32"/>
      <c r="E818" s="32"/>
      <c r="F818" s="32"/>
      <c r="G818" s="32"/>
    </row>
    <row r="819" ht="15.75" customHeight="1">
      <c r="A819" s="32"/>
      <c r="C819" s="32"/>
      <c r="D819" s="32"/>
      <c r="E819" s="32"/>
      <c r="F819" s="32"/>
      <c r="G819" s="32"/>
    </row>
    <row r="820" ht="15.75" customHeight="1">
      <c r="A820" s="32"/>
      <c r="C820" s="32"/>
      <c r="D820" s="32"/>
      <c r="E820" s="32"/>
      <c r="F820" s="32"/>
      <c r="G820" s="32"/>
    </row>
    <row r="821" ht="15.75" customHeight="1">
      <c r="A821" s="32"/>
      <c r="C821" s="32"/>
      <c r="D821" s="32"/>
      <c r="E821" s="32"/>
      <c r="F821" s="32"/>
      <c r="G821" s="32"/>
    </row>
    <row r="822" ht="15.75" customHeight="1">
      <c r="A822" s="32"/>
      <c r="C822" s="32"/>
      <c r="D822" s="32"/>
      <c r="E822" s="32"/>
      <c r="F822" s="32"/>
      <c r="G822" s="32"/>
    </row>
    <row r="823" ht="15.75" customHeight="1">
      <c r="A823" s="32"/>
      <c r="C823" s="32"/>
      <c r="D823" s="32"/>
      <c r="E823" s="32"/>
      <c r="F823" s="32"/>
      <c r="G823" s="32"/>
    </row>
    <row r="824" ht="15.75" customHeight="1">
      <c r="A824" s="32"/>
      <c r="C824" s="32"/>
      <c r="D824" s="32"/>
      <c r="E824" s="32"/>
      <c r="F824" s="32"/>
      <c r="G824" s="32"/>
    </row>
    <row r="825" ht="15.75" customHeight="1">
      <c r="A825" s="32"/>
      <c r="C825" s="32"/>
      <c r="D825" s="32"/>
      <c r="E825" s="32"/>
      <c r="F825" s="32"/>
      <c r="G825" s="32"/>
    </row>
    <row r="826" ht="15.75" customHeight="1">
      <c r="A826" s="32"/>
      <c r="C826" s="32"/>
      <c r="D826" s="32"/>
      <c r="E826" s="32"/>
      <c r="F826" s="32"/>
      <c r="G826" s="32"/>
    </row>
    <row r="827" ht="15.75" customHeight="1">
      <c r="A827" s="32"/>
      <c r="C827" s="32"/>
      <c r="D827" s="32"/>
      <c r="E827" s="32"/>
      <c r="F827" s="32"/>
      <c r="G827" s="32"/>
    </row>
    <row r="828" ht="15.75" customHeight="1">
      <c r="A828" s="32"/>
      <c r="C828" s="32"/>
      <c r="D828" s="32"/>
      <c r="E828" s="32"/>
      <c r="F828" s="32"/>
      <c r="G828" s="32"/>
    </row>
    <row r="829" ht="15.75" customHeight="1">
      <c r="A829" s="32"/>
      <c r="C829" s="32"/>
      <c r="D829" s="32"/>
      <c r="E829" s="32"/>
      <c r="F829" s="32"/>
      <c r="G829" s="32"/>
    </row>
    <row r="830" ht="15.75" customHeight="1">
      <c r="A830" s="32"/>
      <c r="C830" s="32"/>
      <c r="D830" s="32"/>
      <c r="E830" s="32"/>
      <c r="F830" s="32"/>
      <c r="G830" s="32"/>
    </row>
    <row r="831" ht="15.75" customHeight="1">
      <c r="A831" s="32"/>
      <c r="C831" s="32"/>
      <c r="D831" s="32"/>
      <c r="E831" s="32"/>
      <c r="F831" s="32"/>
      <c r="G831" s="32"/>
    </row>
    <row r="832" ht="15.75" customHeight="1">
      <c r="A832" s="32"/>
      <c r="C832" s="32"/>
      <c r="D832" s="32"/>
      <c r="E832" s="32"/>
      <c r="F832" s="32"/>
      <c r="G832" s="32"/>
    </row>
    <row r="833" ht="15.75" customHeight="1">
      <c r="A833" s="32"/>
      <c r="C833" s="32"/>
      <c r="D833" s="32"/>
      <c r="E833" s="32"/>
      <c r="F833" s="32"/>
      <c r="G833" s="32"/>
    </row>
    <row r="834" ht="15.75" customHeight="1">
      <c r="A834" s="32"/>
      <c r="C834" s="32"/>
      <c r="D834" s="32"/>
      <c r="E834" s="32"/>
      <c r="F834" s="32"/>
      <c r="G834" s="32"/>
    </row>
    <row r="835" ht="15.75" customHeight="1">
      <c r="A835" s="32"/>
      <c r="C835" s="32"/>
      <c r="D835" s="32"/>
      <c r="E835" s="32"/>
      <c r="F835" s="32"/>
      <c r="G835" s="32"/>
    </row>
    <row r="836" ht="15.75" customHeight="1">
      <c r="A836" s="32"/>
      <c r="C836" s="32"/>
      <c r="D836" s="32"/>
      <c r="E836" s="32"/>
      <c r="F836" s="32"/>
      <c r="G836" s="32"/>
    </row>
    <row r="837" ht="15.75" customHeight="1">
      <c r="A837" s="32"/>
      <c r="C837" s="32"/>
      <c r="D837" s="32"/>
      <c r="E837" s="32"/>
      <c r="F837" s="32"/>
      <c r="G837" s="32"/>
    </row>
    <row r="838" ht="15.75" customHeight="1">
      <c r="A838" s="32"/>
      <c r="C838" s="32"/>
      <c r="D838" s="32"/>
      <c r="E838" s="32"/>
      <c r="F838" s="32"/>
      <c r="G838" s="32"/>
    </row>
    <row r="839" ht="15.75" customHeight="1">
      <c r="A839" s="32"/>
      <c r="C839" s="32"/>
      <c r="D839" s="32"/>
      <c r="E839" s="32"/>
      <c r="F839" s="32"/>
      <c r="G839" s="32"/>
    </row>
    <row r="840" ht="15.75" customHeight="1">
      <c r="A840" s="32"/>
      <c r="C840" s="32"/>
      <c r="D840" s="32"/>
      <c r="E840" s="32"/>
      <c r="F840" s="32"/>
      <c r="G840" s="32"/>
    </row>
    <row r="841" ht="15.75" customHeight="1">
      <c r="A841" s="32"/>
      <c r="C841" s="32"/>
      <c r="D841" s="32"/>
      <c r="E841" s="32"/>
      <c r="F841" s="32"/>
      <c r="G841" s="32"/>
    </row>
    <row r="842" ht="15.75" customHeight="1">
      <c r="A842" s="32"/>
      <c r="C842" s="32"/>
      <c r="D842" s="32"/>
      <c r="E842" s="32"/>
      <c r="F842" s="32"/>
      <c r="G842" s="32"/>
    </row>
    <row r="843" ht="15.75" customHeight="1">
      <c r="A843" s="32"/>
      <c r="C843" s="32"/>
      <c r="D843" s="32"/>
      <c r="E843" s="32"/>
      <c r="F843" s="32"/>
      <c r="G843" s="32"/>
    </row>
    <row r="844" ht="15.75" customHeight="1">
      <c r="A844" s="32"/>
      <c r="C844" s="32"/>
      <c r="D844" s="32"/>
      <c r="E844" s="32"/>
      <c r="F844" s="32"/>
      <c r="G844" s="32"/>
    </row>
    <row r="845" ht="15.75" customHeight="1">
      <c r="A845" s="32"/>
      <c r="C845" s="32"/>
      <c r="D845" s="32"/>
      <c r="E845" s="32"/>
      <c r="F845" s="32"/>
      <c r="G845" s="32"/>
    </row>
    <row r="846" ht="15.75" customHeight="1">
      <c r="A846" s="32"/>
      <c r="C846" s="32"/>
      <c r="D846" s="32"/>
      <c r="E846" s="32"/>
      <c r="F846" s="32"/>
      <c r="G846" s="32"/>
    </row>
    <row r="847" ht="15.75" customHeight="1">
      <c r="A847" s="32"/>
      <c r="C847" s="32"/>
      <c r="D847" s="32"/>
      <c r="E847" s="32"/>
      <c r="F847" s="32"/>
      <c r="G847" s="32"/>
    </row>
    <row r="848" ht="15.75" customHeight="1">
      <c r="A848" s="32"/>
      <c r="C848" s="32"/>
      <c r="D848" s="32"/>
      <c r="E848" s="32"/>
      <c r="F848" s="32"/>
      <c r="G848" s="32"/>
    </row>
    <row r="849" ht="15.75" customHeight="1">
      <c r="A849" s="32"/>
      <c r="C849" s="32"/>
      <c r="D849" s="32"/>
      <c r="E849" s="32"/>
      <c r="F849" s="32"/>
      <c r="G849" s="32"/>
    </row>
    <row r="850" ht="15.75" customHeight="1">
      <c r="A850" s="32"/>
      <c r="C850" s="32"/>
      <c r="D850" s="32"/>
      <c r="E850" s="32"/>
      <c r="F850" s="32"/>
      <c r="G850" s="32"/>
    </row>
    <row r="851" ht="15.75" customHeight="1">
      <c r="A851" s="32"/>
      <c r="C851" s="32"/>
      <c r="D851" s="32"/>
      <c r="E851" s="32"/>
      <c r="F851" s="32"/>
      <c r="G851" s="32"/>
    </row>
    <row r="852" ht="15.75" customHeight="1">
      <c r="A852" s="32"/>
      <c r="C852" s="32"/>
      <c r="D852" s="32"/>
      <c r="E852" s="32"/>
      <c r="F852" s="32"/>
      <c r="G852" s="32"/>
    </row>
    <row r="853" ht="15.75" customHeight="1">
      <c r="A853" s="32"/>
      <c r="C853" s="32"/>
      <c r="D853" s="32"/>
      <c r="E853" s="32"/>
      <c r="F853" s="32"/>
      <c r="G853" s="32"/>
    </row>
    <row r="854" ht="15.75" customHeight="1">
      <c r="A854" s="32"/>
      <c r="C854" s="32"/>
      <c r="D854" s="32"/>
      <c r="E854" s="32"/>
      <c r="F854" s="32"/>
      <c r="G854" s="32"/>
    </row>
    <row r="855" ht="15.75" customHeight="1">
      <c r="A855" s="32"/>
      <c r="C855" s="32"/>
      <c r="D855" s="32"/>
      <c r="E855" s="32"/>
      <c r="F855" s="32"/>
      <c r="G855" s="32"/>
    </row>
    <row r="856" ht="15.75" customHeight="1">
      <c r="A856" s="32"/>
      <c r="C856" s="32"/>
      <c r="D856" s="32"/>
      <c r="E856" s="32"/>
      <c r="F856" s="32"/>
      <c r="G856" s="32"/>
    </row>
    <row r="857" ht="15.75" customHeight="1">
      <c r="A857" s="32"/>
      <c r="C857" s="32"/>
      <c r="D857" s="32"/>
      <c r="E857" s="32"/>
      <c r="F857" s="32"/>
      <c r="G857" s="32"/>
    </row>
    <row r="858" ht="15.75" customHeight="1">
      <c r="A858" s="32"/>
      <c r="C858" s="32"/>
      <c r="D858" s="32"/>
      <c r="E858" s="32"/>
      <c r="F858" s="32"/>
      <c r="G858" s="32"/>
    </row>
    <row r="859" ht="15.75" customHeight="1">
      <c r="A859" s="32"/>
      <c r="C859" s="32"/>
      <c r="D859" s="32"/>
      <c r="E859" s="32"/>
      <c r="F859" s="32"/>
      <c r="G859" s="32"/>
    </row>
    <row r="860" ht="15.75" customHeight="1">
      <c r="A860" s="32"/>
      <c r="C860" s="32"/>
      <c r="D860" s="32"/>
      <c r="E860" s="32"/>
      <c r="F860" s="32"/>
      <c r="G860" s="32"/>
    </row>
    <row r="861" ht="15.75" customHeight="1">
      <c r="A861" s="32"/>
      <c r="C861" s="32"/>
      <c r="D861" s="32"/>
      <c r="E861" s="32"/>
      <c r="F861" s="32"/>
      <c r="G861" s="32"/>
    </row>
    <row r="862" ht="15.75" customHeight="1">
      <c r="A862" s="32"/>
      <c r="C862" s="32"/>
      <c r="D862" s="32"/>
      <c r="E862" s="32"/>
      <c r="F862" s="32"/>
      <c r="G862" s="32"/>
    </row>
    <row r="863" ht="15.75" customHeight="1">
      <c r="A863" s="32"/>
      <c r="C863" s="32"/>
      <c r="D863" s="32"/>
      <c r="E863" s="32"/>
      <c r="F863" s="32"/>
      <c r="G863" s="32"/>
    </row>
    <row r="864" ht="15.75" customHeight="1">
      <c r="A864" s="32"/>
      <c r="C864" s="32"/>
      <c r="D864" s="32"/>
      <c r="E864" s="32"/>
      <c r="F864" s="32"/>
      <c r="G864" s="32"/>
    </row>
    <row r="865" ht="15.75" customHeight="1">
      <c r="A865" s="32"/>
      <c r="C865" s="32"/>
      <c r="D865" s="32"/>
      <c r="E865" s="32"/>
      <c r="F865" s="32"/>
      <c r="G865" s="32"/>
    </row>
    <row r="866" ht="15.75" customHeight="1">
      <c r="A866" s="32"/>
      <c r="C866" s="32"/>
      <c r="D866" s="32"/>
      <c r="E866" s="32"/>
      <c r="F866" s="32"/>
      <c r="G866" s="32"/>
    </row>
    <row r="867" ht="15.75" customHeight="1">
      <c r="A867" s="32"/>
      <c r="C867" s="32"/>
      <c r="D867" s="32"/>
      <c r="E867" s="32"/>
      <c r="F867" s="32"/>
      <c r="G867" s="32"/>
    </row>
    <row r="868" ht="15.75" customHeight="1">
      <c r="A868" s="32"/>
      <c r="C868" s="32"/>
      <c r="D868" s="32"/>
      <c r="E868" s="32"/>
      <c r="F868" s="32"/>
      <c r="G868" s="32"/>
    </row>
    <row r="869" ht="15.75" customHeight="1">
      <c r="A869" s="32"/>
      <c r="C869" s="32"/>
      <c r="D869" s="32"/>
      <c r="E869" s="32"/>
      <c r="F869" s="32"/>
      <c r="G869" s="32"/>
    </row>
    <row r="870" ht="15.75" customHeight="1">
      <c r="A870" s="32"/>
      <c r="C870" s="32"/>
      <c r="D870" s="32"/>
      <c r="E870" s="32"/>
      <c r="F870" s="32"/>
      <c r="G870" s="32"/>
    </row>
    <row r="871" ht="15.75" customHeight="1">
      <c r="A871" s="32"/>
      <c r="C871" s="32"/>
      <c r="D871" s="32"/>
      <c r="E871" s="32"/>
      <c r="F871" s="32"/>
      <c r="G871" s="32"/>
    </row>
    <row r="872" ht="15.75" customHeight="1">
      <c r="A872" s="32"/>
      <c r="C872" s="32"/>
      <c r="D872" s="32"/>
      <c r="E872" s="32"/>
      <c r="F872" s="32"/>
      <c r="G872" s="32"/>
    </row>
    <row r="873" ht="15.75" customHeight="1">
      <c r="A873" s="32"/>
      <c r="C873" s="32"/>
      <c r="D873" s="32"/>
      <c r="E873" s="32"/>
      <c r="F873" s="32"/>
      <c r="G873" s="32"/>
    </row>
    <row r="874" ht="15.75" customHeight="1">
      <c r="A874" s="32"/>
      <c r="C874" s="32"/>
      <c r="D874" s="32"/>
      <c r="E874" s="32"/>
      <c r="F874" s="32"/>
      <c r="G874" s="32"/>
    </row>
    <row r="875" ht="15.75" customHeight="1">
      <c r="A875" s="32"/>
      <c r="C875" s="32"/>
      <c r="D875" s="32"/>
      <c r="E875" s="32"/>
      <c r="F875" s="32"/>
      <c r="G875" s="32"/>
    </row>
    <row r="876" ht="15.75" customHeight="1">
      <c r="A876" s="32"/>
      <c r="C876" s="32"/>
      <c r="D876" s="32"/>
      <c r="E876" s="32"/>
      <c r="F876" s="32"/>
      <c r="G876" s="32"/>
    </row>
    <row r="877" ht="15.75" customHeight="1">
      <c r="A877" s="32"/>
      <c r="C877" s="32"/>
      <c r="D877" s="32"/>
      <c r="E877" s="32"/>
      <c r="F877" s="32"/>
      <c r="G877" s="32"/>
    </row>
    <row r="878" ht="15.75" customHeight="1">
      <c r="A878" s="32"/>
      <c r="C878" s="32"/>
      <c r="D878" s="32"/>
      <c r="E878" s="32"/>
      <c r="F878" s="32"/>
      <c r="G878" s="32"/>
    </row>
    <row r="879" ht="15.75" customHeight="1">
      <c r="A879" s="32"/>
      <c r="C879" s="32"/>
      <c r="D879" s="32"/>
      <c r="E879" s="32"/>
      <c r="F879" s="32"/>
      <c r="G879" s="32"/>
    </row>
    <row r="880" ht="15.75" customHeight="1">
      <c r="A880" s="32"/>
      <c r="C880" s="32"/>
      <c r="D880" s="32"/>
      <c r="E880" s="32"/>
      <c r="F880" s="32"/>
      <c r="G880" s="32"/>
    </row>
    <row r="881" ht="15.75" customHeight="1">
      <c r="A881" s="32"/>
      <c r="C881" s="32"/>
      <c r="D881" s="32"/>
      <c r="E881" s="32"/>
      <c r="F881" s="32"/>
      <c r="G881" s="32"/>
    </row>
    <row r="882" ht="15.75" customHeight="1">
      <c r="A882" s="32"/>
      <c r="C882" s="32"/>
      <c r="D882" s="32"/>
      <c r="E882" s="32"/>
      <c r="F882" s="32"/>
      <c r="G882" s="32"/>
    </row>
    <row r="883" ht="15.75" customHeight="1">
      <c r="A883" s="32"/>
      <c r="C883" s="32"/>
      <c r="D883" s="32"/>
      <c r="E883" s="32"/>
      <c r="F883" s="32"/>
      <c r="G883" s="32"/>
    </row>
    <row r="884" ht="15.75" customHeight="1">
      <c r="A884" s="32"/>
      <c r="C884" s="32"/>
      <c r="D884" s="32"/>
      <c r="E884" s="32"/>
      <c r="F884" s="32"/>
      <c r="G884" s="32"/>
    </row>
    <row r="885" ht="15.75" customHeight="1">
      <c r="A885" s="32"/>
      <c r="C885" s="32"/>
      <c r="D885" s="32"/>
      <c r="E885" s="32"/>
      <c r="F885" s="32"/>
      <c r="G885" s="32"/>
    </row>
    <row r="886" ht="15.75" customHeight="1">
      <c r="A886" s="32"/>
      <c r="C886" s="32"/>
      <c r="D886" s="32"/>
      <c r="E886" s="32"/>
      <c r="F886" s="32"/>
      <c r="G886" s="32"/>
    </row>
    <row r="887" ht="15.75" customHeight="1">
      <c r="A887" s="32"/>
      <c r="C887" s="32"/>
      <c r="D887" s="32"/>
      <c r="E887" s="32"/>
      <c r="F887" s="32"/>
      <c r="G887" s="32"/>
    </row>
    <row r="888" ht="15.75" customHeight="1">
      <c r="A888" s="32"/>
      <c r="C888" s="32"/>
      <c r="D888" s="32"/>
      <c r="E888" s="32"/>
      <c r="F888" s="32"/>
      <c r="G888" s="32"/>
    </row>
    <row r="889" ht="15.75" customHeight="1">
      <c r="A889" s="32"/>
      <c r="C889" s="32"/>
      <c r="D889" s="32"/>
      <c r="E889" s="32"/>
      <c r="F889" s="32"/>
      <c r="G889" s="32"/>
    </row>
    <row r="890" ht="15.75" customHeight="1">
      <c r="A890" s="32"/>
      <c r="C890" s="32"/>
      <c r="D890" s="32"/>
      <c r="E890" s="32"/>
      <c r="F890" s="32"/>
      <c r="G890" s="32"/>
    </row>
    <row r="891" ht="15.75" customHeight="1">
      <c r="A891" s="32"/>
      <c r="C891" s="32"/>
      <c r="D891" s="32"/>
      <c r="E891" s="32"/>
      <c r="F891" s="32"/>
      <c r="G891" s="32"/>
    </row>
    <row r="892" ht="15.75" customHeight="1">
      <c r="A892" s="32"/>
      <c r="C892" s="32"/>
      <c r="D892" s="32"/>
      <c r="E892" s="32"/>
      <c r="F892" s="32"/>
      <c r="G892" s="32"/>
    </row>
    <row r="893" ht="15.75" customHeight="1">
      <c r="A893" s="32"/>
      <c r="C893" s="32"/>
      <c r="D893" s="32"/>
      <c r="E893" s="32"/>
      <c r="F893" s="32"/>
      <c r="G893" s="32"/>
    </row>
    <row r="894" ht="15.75" customHeight="1">
      <c r="A894" s="32"/>
      <c r="C894" s="32"/>
      <c r="D894" s="32"/>
      <c r="E894" s="32"/>
      <c r="F894" s="32"/>
      <c r="G894" s="32"/>
    </row>
    <row r="895" ht="15.75" customHeight="1">
      <c r="A895" s="32"/>
      <c r="C895" s="32"/>
      <c r="D895" s="32"/>
      <c r="E895" s="32"/>
      <c r="F895" s="32"/>
      <c r="G895" s="32"/>
    </row>
    <row r="896" ht="15.75" customHeight="1">
      <c r="A896" s="32"/>
      <c r="C896" s="32"/>
      <c r="D896" s="32"/>
      <c r="E896" s="32"/>
      <c r="F896" s="32"/>
      <c r="G896" s="32"/>
    </row>
    <row r="897" ht="15.75" customHeight="1">
      <c r="A897" s="32"/>
      <c r="C897" s="32"/>
      <c r="D897" s="32"/>
      <c r="E897" s="32"/>
      <c r="F897" s="32"/>
      <c r="G897" s="32"/>
    </row>
    <row r="898" ht="15.75" customHeight="1">
      <c r="A898" s="32"/>
      <c r="C898" s="32"/>
      <c r="D898" s="32"/>
      <c r="E898" s="32"/>
      <c r="F898" s="32"/>
      <c r="G898" s="32"/>
    </row>
    <row r="899" ht="15.75" customHeight="1">
      <c r="A899" s="32"/>
      <c r="C899" s="32"/>
      <c r="D899" s="32"/>
      <c r="E899" s="32"/>
      <c r="F899" s="32"/>
      <c r="G899" s="32"/>
    </row>
    <row r="900" ht="15.75" customHeight="1">
      <c r="A900" s="32"/>
      <c r="C900" s="32"/>
      <c r="D900" s="32"/>
      <c r="E900" s="32"/>
      <c r="F900" s="32"/>
      <c r="G900" s="32"/>
    </row>
    <row r="901" ht="15.75" customHeight="1">
      <c r="A901" s="32"/>
      <c r="C901" s="32"/>
      <c r="D901" s="32"/>
      <c r="E901" s="32"/>
      <c r="F901" s="32"/>
      <c r="G901" s="32"/>
    </row>
    <row r="902" ht="15.75" customHeight="1">
      <c r="A902" s="32"/>
      <c r="C902" s="32"/>
      <c r="D902" s="32"/>
      <c r="E902" s="32"/>
      <c r="F902" s="32"/>
      <c r="G902" s="32"/>
    </row>
    <row r="903" ht="15.75" customHeight="1">
      <c r="A903" s="32"/>
      <c r="C903" s="32"/>
      <c r="D903" s="32"/>
      <c r="E903" s="32"/>
      <c r="F903" s="32"/>
      <c r="G903" s="32"/>
    </row>
    <row r="904" ht="15.75" customHeight="1">
      <c r="A904" s="32"/>
      <c r="C904" s="32"/>
      <c r="D904" s="32"/>
      <c r="E904" s="32"/>
      <c r="F904" s="32"/>
      <c r="G904" s="32"/>
    </row>
    <row r="905" ht="15.75" customHeight="1">
      <c r="A905" s="32"/>
      <c r="C905" s="32"/>
      <c r="D905" s="32"/>
      <c r="E905" s="32"/>
      <c r="F905" s="32"/>
      <c r="G905" s="32"/>
    </row>
    <row r="906" ht="15.75" customHeight="1">
      <c r="A906" s="32"/>
      <c r="C906" s="32"/>
      <c r="D906" s="32"/>
      <c r="E906" s="32"/>
      <c r="F906" s="32"/>
      <c r="G906" s="32"/>
    </row>
    <row r="907" ht="15.75" customHeight="1">
      <c r="A907" s="32"/>
      <c r="C907" s="32"/>
      <c r="D907" s="32"/>
      <c r="E907" s="32"/>
      <c r="F907" s="32"/>
      <c r="G907" s="32"/>
    </row>
    <row r="908" ht="15.75" customHeight="1">
      <c r="A908" s="32"/>
      <c r="C908" s="32"/>
      <c r="D908" s="32"/>
      <c r="E908" s="32"/>
      <c r="F908" s="32"/>
      <c r="G908" s="32"/>
    </row>
    <row r="909" ht="15.75" customHeight="1">
      <c r="A909" s="32"/>
      <c r="C909" s="32"/>
      <c r="D909" s="32"/>
      <c r="E909" s="32"/>
      <c r="F909" s="32"/>
      <c r="G909" s="32"/>
    </row>
    <row r="910" ht="15.75" customHeight="1">
      <c r="A910" s="32"/>
      <c r="C910" s="32"/>
      <c r="D910" s="32"/>
      <c r="E910" s="32"/>
      <c r="F910" s="32"/>
      <c r="G910" s="32"/>
    </row>
    <row r="911" ht="15.75" customHeight="1">
      <c r="A911" s="32"/>
      <c r="C911" s="32"/>
      <c r="D911" s="32"/>
      <c r="E911" s="32"/>
      <c r="F911" s="32"/>
      <c r="G911" s="32"/>
    </row>
    <row r="912" ht="15.75" customHeight="1">
      <c r="A912" s="32"/>
      <c r="C912" s="32"/>
      <c r="D912" s="32"/>
      <c r="E912" s="32"/>
      <c r="F912" s="32"/>
      <c r="G912" s="32"/>
    </row>
    <row r="913" ht="15.75" customHeight="1">
      <c r="A913" s="32"/>
      <c r="C913" s="32"/>
      <c r="D913" s="32"/>
      <c r="E913" s="32"/>
      <c r="F913" s="32"/>
      <c r="G913" s="32"/>
    </row>
    <row r="914" ht="15.75" customHeight="1">
      <c r="A914" s="32"/>
      <c r="C914" s="32"/>
      <c r="D914" s="32"/>
      <c r="E914" s="32"/>
      <c r="F914" s="32"/>
      <c r="G914" s="32"/>
    </row>
    <row r="915" ht="15.75" customHeight="1">
      <c r="A915" s="32"/>
      <c r="C915" s="32"/>
      <c r="D915" s="32"/>
      <c r="E915" s="32"/>
      <c r="F915" s="32"/>
      <c r="G915" s="32"/>
    </row>
    <row r="916" ht="15.75" customHeight="1">
      <c r="A916" s="32"/>
      <c r="C916" s="32"/>
      <c r="D916" s="32"/>
      <c r="E916" s="32"/>
      <c r="F916" s="32"/>
      <c r="G916" s="32"/>
    </row>
    <row r="917" ht="15.75" customHeight="1">
      <c r="A917" s="32"/>
      <c r="C917" s="32"/>
      <c r="D917" s="32"/>
      <c r="E917" s="32"/>
      <c r="F917" s="32"/>
      <c r="G917" s="32"/>
    </row>
    <row r="918" ht="15.75" customHeight="1">
      <c r="A918" s="32"/>
      <c r="C918" s="32"/>
      <c r="D918" s="32"/>
      <c r="E918" s="32"/>
      <c r="F918" s="32"/>
      <c r="G918" s="32"/>
    </row>
    <row r="919" ht="15.75" customHeight="1">
      <c r="A919" s="32"/>
      <c r="C919" s="32"/>
      <c r="D919" s="32"/>
      <c r="E919" s="32"/>
      <c r="F919" s="32"/>
      <c r="G919" s="32"/>
    </row>
    <row r="920" ht="15.75" customHeight="1">
      <c r="A920" s="32"/>
      <c r="C920" s="32"/>
      <c r="D920" s="32"/>
      <c r="E920" s="32"/>
      <c r="F920" s="32"/>
      <c r="G920" s="32"/>
    </row>
    <row r="921" ht="15.75" customHeight="1">
      <c r="A921" s="32"/>
      <c r="C921" s="32"/>
      <c r="D921" s="32"/>
      <c r="E921" s="32"/>
      <c r="F921" s="32"/>
      <c r="G921" s="32"/>
    </row>
    <row r="922" ht="15.75" customHeight="1">
      <c r="A922" s="32"/>
      <c r="C922" s="32"/>
      <c r="D922" s="32"/>
      <c r="E922" s="32"/>
      <c r="F922" s="32"/>
      <c r="G922" s="32"/>
    </row>
    <row r="923" ht="15.75" customHeight="1">
      <c r="A923" s="32"/>
      <c r="C923" s="32"/>
      <c r="D923" s="32"/>
      <c r="E923" s="32"/>
      <c r="F923" s="32"/>
      <c r="G923" s="32"/>
    </row>
    <row r="924" ht="15.75" customHeight="1">
      <c r="A924" s="32"/>
      <c r="C924" s="32"/>
      <c r="D924" s="32"/>
      <c r="E924" s="32"/>
      <c r="F924" s="32"/>
      <c r="G924" s="32"/>
    </row>
    <row r="925" ht="15.75" customHeight="1">
      <c r="A925" s="32"/>
      <c r="C925" s="32"/>
      <c r="D925" s="32"/>
      <c r="E925" s="32"/>
      <c r="F925" s="32"/>
      <c r="G925" s="32"/>
    </row>
    <row r="926" ht="15.75" customHeight="1">
      <c r="A926" s="32"/>
      <c r="C926" s="32"/>
      <c r="D926" s="32"/>
      <c r="E926" s="32"/>
      <c r="F926" s="32"/>
      <c r="G926" s="32"/>
    </row>
    <row r="927" ht="15.75" customHeight="1">
      <c r="A927" s="32"/>
      <c r="C927" s="32"/>
      <c r="D927" s="32"/>
      <c r="E927" s="32"/>
      <c r="F927" s="32"/>
      <c r="G927" s="32"/>
    </row>
    <row r="928" ht="15.75" customHeight="1">
      <c r="A928" s="32"/>
      <c r="C928" s="32"/>
      <c r="D928" s="32"/>
      <c r="E928" s="32"/>
      <c r="F928" s="32"/>
      <c r="G928" s="32"/>
    </row>
    <row r="929" ht="15.75" customHeight="1">
      <c r="A929" s="32"/>
      <c r="C929" s="32"/>
      <c r="D929" s="32"/>
      <c r="E929" s="32"/>
      <c r="F929" s="32"/>
      <c r="G929" s="32"/>
    </row>
    <row r="930" ht="15.75" customHeight="1">
      <c r="A930" s="32"/>
      <c r="C930" s="32"/>
      <c r="D930" s="32"/>
      <c r="E930" s="32"/>
      <c r="F930" s="32"/>
      <c r="G930" s="32"/>
    </row>
    <row r="931" ht="15.75" customHeight="1">
      <c r="A931" s="32"/>
      <c r="C931" s="32"/>
      <c r="D931" s="32"/>
      <c r="E931" s="32"/>
      <c r="F931" s="32"/>
      <c r="G931" s="32"/>
    </row>
    <row r="932" ht="15.75" customHeight="1">
      <c r="A932" s="32"/>
      <c r="C932" s="32"/>
      <c r="D932" s="32"/>
      <c r="E932" s="32"/>
      <c r="F932" s="32"/>
      <c r="G932" s="32"/>
    </row>
    <row r="933" ht="15.75" customHeight="1">
      <c r="A933" s="32"/>
      <c r="C933" s="32"/>
      <c r="D933" s="32"/>
      <c r="E933" s="32"/>
      <c r="F933" s="32"/>
      <c r="G933" s="32"/>
    </row>
    <row r="934" ht="15.75" customHeight="1">
      <c r="A934" s="32"/>
      <c r="C934" s="32"/>
      <c r="D934" s="32"/>
      <c r="E934" s="32"/>
      <c r="F934" s="32"/>
      <c r="G934" s="32"/>
    </row>
    <row r="935" ht="15.75" customHeight="1">
      <c r="A935" s="32"/>
      <c r="C935" s="32"/>
      <c r="D935" s="32"/>
      <c r="E935" s="32"/>
      <c r="F935" s="32"/>
      <c r="G935" s="32"/>
    </row>
    <row r="936" ht="15.75" customHeight="1">
      <c r="A936" s="32"/>
      <c r="C936" s="32"/>
      <c r="D936" s="32"/>
      <c r="E936" s="32"/>
      <c r="F936" s="32"/>
      <c r="G936" s="32"/>
    </row>
    <row r="937" ht="15.75" customHeight="1">
      <c r="A937" s="32"/>
      <c r="C937" s="32"/>
      <c r="D937" s="32"/>
      <c r="E937" s="32"/>
      <c r="F937" s="32"/>
      <c r="G937" s="32"/>
    </row>
    <row r="938" ht="15.75" customHeight="1">
      <c r="A938" s="32"/>
      <c r="C938" s="32"/>
      <c r="D938" s="32"/>
      <c r="E938" s="32"/>
      <c r="F938" s="32"/>
      <c r="G938" s="32"/>
    </row>
    <row r="939" ht="15.75" customHeight="1">
      <c r="A939" s="32"/>
      <c r="C939" s="32"/>
      <c r="D939" s="32"/>
      <c r="E939" s="32"/>
      <c r="F939" s="32"/>
      <c r="G939" s="32"/>
    </row>
    <row r="940" ht="15.75" customHeight="1">
      <c r="A940" s="32"/>
      <c r="C940" s="32"/>
      <c r="D940" s="32"/>
      <c r="E940" s="32"/>
      <c r="F940" s="32"/>
      <c r="G940" s="32"/>
    </row>
    <row r="941" ht="15.75" customHeight="1">
      <c r="A941" s="32"/>
      <c r="C941" s="32"/>
      <c r="D941" s="32"/>
      <c r="E941" s="32"/>
      <c r="F941" s="32"/>
      <c r="G941" s="32"/>
    </row>
    <row r="942" ht="15.75" customHeight="1">
      <c r="A942" s="32"/>
      <c r="C942" s="32"/>
      <c r="D942" s="32"/>
      <c r="E942" s="32"/>
      <c r="F942" s="32"/>
      <c r="G942" s="32"/>
    </row>
    <row r="943" ht="15.75" customHeight="1">
      <c r="A943" s="32"/>
      <c r="C943" s="32"/>
      <c r="D943" s="32"/>
      <c r="E943" s="32"/>
      <c r="F943" s="32"/>
      <c r="G943" s="32"/>
    </row>
    <row r="944" ht="15.75" customHeight="1">
      <c r="A944" s="32"/>
      <c r="C944" s="32"/>
      <c r="D944" s="32"/>
      <c r="E944" s="32"/>
      <c r="F944" s="32"/>
      <c r="G944" s="32"/>
    </row>
    <row r="945" ht="15.75" customHeight="1">
      <c r="A945" s="32"/>
      <c r="C945" s="32"/>
      <c r="D945" s="32"/>
      <c r="E945" s="32"/>
      <c r="F945" s="32"/>
      <c r="G945" s="32"/>
    </row>
    <row r="946" ht="15.75" customHeight="1">
      <c r="A946" s="32"/>
      <c r="C946" s="32"/>
      <c r="D946" s="32"/>
      <c r="E946" s="32"/>
      <c r="F946" s="32"/>
      <c r="G946" s="32"/>
    </row>
    <row r="947" ht="15.75" customHeight="1">
      <c r="A947" s="32"/>
      <c r="C947" s="32"/>
      <c r="D947" s="32"/>
      <c r="E947" s="32"/>
      <c r="F947" s="32"/>
      <c r="G947" s="32"/>
    </row>
    <row r="948" ht="15.75" customHeight="1">
      <c r="A948" s="32"/>
      <c r="C948" s="32"/>
      <c r="D948" s="32"/>
      <c r="E948" s="32"/>
      <c r="F948" s="32"/>
      <c r="G948" s="32"/>
    </row>
    <row r="949" ht="15.75" customHeight="1">
      <c r="A949" s="32"/>
      <c r="C949" s="32"/>
      <c r="D949" s="32"/>
      <c r="E949" s="32"/>
      <c r="F949" s="32"/>
      <c r="G949" s="32"/>
    </row>
    <row r="950" ht="15.75" customHeight="1">
      <c r="A950" s="32"/>
      <c r="C950" s="32"/>
      <c r="D950" s="32"/>
      <c r="E950" s="32"/>
      <c r="F950" s="32"/>
      <c r="G950" s="32"/>
    </row>
    <row r="951" ht="15.75" customHeight="1">
      <c r="A951" s="32"/>
      <c r="C951" s="32"/>
      <c r="D951" s="32"/>
      <c r="E951" s="32"/>
      <c r="F951" s="32"/>
      <c r="G951" s="32"/>
    </row>
    <row r="952" ht="15.75" customHeight="1">
      <c r="A952" s="32"/>
      <c r="C952" s="32"/>
      <c r="D952" s="32"/>
      <c r="E952" s="32"/>
      <c r="F952" s="32"/>
      <c r="G952" s="32"/>
    </row>
    <row r="953" ht="15.75" customHeight="1">
      <c r="A953" s="32"/>
      <c r="C953" s="32"/>
      <c r="D953" s="32"/>
      <c r="E953" s="32"/>
      <c r="F953" s="32"/>
      <c r="G953" s="32"/>
    </row>
    <row r="954" ht="15.75" customHeight="1">
      <c r="A954" s="32"/>
      <c r="C954" s="32"/>
      <c r="D954" s="32"/>
      <c r="E954" s="32"/>
      <c r="F954" s="32"/>
      <c r="G954" s="32"/>
    </row>
    <row r="955" ht="15.75" customHeight="1">
      <c r="A955" s="32"/>
      <c r="C955" s="32"/>
      <c r="D955" s="32"/>
      <c r="E955" s="32"/>
      <c r="F955" s="32"/>
      <c r="G955" s="32"/>
    </row>
    <row r="956" ht="15.75" customHeight="1">
      <c r="A956" s="32"/>
      <c r="C956" s="32"/>
      <c r="D956" s="32"/>
      <c r="E956" s="32"/>
      <c r="F956" s="32"/>
      <c r="G956" s="32"/>
    </row>
    <row r="957" ht="15.75" customHeight="1">
      <c r="A957" s="32"/>
      <c r="C957" s="32"/>
      <c r="D957" s="32"/>
      <c r="E957" s="32"/>
      <c r="F957" s="32"/>
      <c r="G957" s="32"/>
    </row>
    <row r="958" ht="15.75" customHeight="1">
      <c r="A958" s="32"/>
      <c r="C958" s="32"/>
      <c r="D958" s="32"/>
      <c r="E958" s="32"/>
      <c r="F958" s="32"/>
      <c r="G958" s="32"/>
    </row>
    <row r="959" ht="15.75" customHeight="1">
      <c r="A959" s="32"/>
      <c r="C959" s="32"/>
      <c r="D959" s="32"/>
      <c r="E959" s="32"/>
      <c r="F959" s="32"/>
      <c r="G959" s="32"/>
    </row>
    <row r="960" ht="15.75" customHeight="1">
      <c r="A960" s="32"/>
      <c r="C960" s="32"/>
      <c r="D960" s="32"/>
      <c r="E960" s="32"/>
      <c r="F960" s="32"/>
      <c r="G960" s="32"/>
    </row>
    <row r="961" ht="15.75" customHeight="1">
      <c r="A961" s="32"/>
      <c r="C961" s="32"/>
      <c r="D961" s="32"/>
      <c r="E961" s="32"/>
      <c r="F961" s="32"/>
      <c r="G961" s="32"/>
    </row>
    <row r="962" ht="15.75" customHeight="1">
      <c r="A962" s="32"/>
      <c r="C962" s="32"/>
      <c r="D962" s="32"/>
      <c r="E962" s="32"/>
      <c r="F962" s="32"/>
      <c r="G962" s="32"/>
    </row>
    <row r="963" ht="15.75" customHeight="1">
      <c r="A963" s="32"/>
      <c r="C963" s="32"/>
      <c r="D963" s="32"/>
      <c r="E963" s="32"/>
      <c r="F963" s="32"/>
      <c r="G963" s="32"/>
    </row>
    <row r="964" ht="15.75" customHeight="1">
      <c r="A964" s="32"/>
      <c r="C964" s="32"/>
      <c r="D964" s="32"/>
      <c r="E964" s="32"/>
      <c r="F964" s="32"/>
      <c r="G964" s="32"/>
    </row>
    <row r="965" ht="15.75" customHeight="1">
      <c r="A965" s="32"/>
      <c r="C965" s="32"/>
      <c r="D965" s="32"/>
      <c r="E965" s="32"/>
      <c r="F965" s="32"/>
      <c r="G965" s="32"/>
    </row>
    <row r="966" ht="15.75" customHeight="1">
      <c r="A966" s="32"/>
      <c r="C966" s="32"/>
      <c r="D966" s="32"/>
      <c r="E966" s="32"/>
      <c r="F966" s="32"/>
      <c r="G966" s="32"/>
    </row>
    <row r="967" ht="15.75" customHeight="1">
      <c r="A967" s="32"/>
      <c r="C967" s="32"/>
      <c r="D967" s="32"/>
      <c r="E967" s="32"/>
      <c r="F967" s="32"/>
      <c r="G967" s="32"/>
    </row>
    <row r="968" ht="15.75" customHeight="1">
      <c r="A968" s="32"/>
      <c r="C968" s="32"/>
      <c r="D968" s="32"/>
      <c r="E968" s="32"/>
      <c r="F968" s="32"/>
      <c r="G968" s="32"/>
    </row>
    <row r="969" ht="15.75" customHeight="1">
      <c r="A969" s="32"/>
      <c r="C969" s="32"/>
      <c r="D969" s="32"/>
      <c r="E969" s="32"/>
      <c r="F969" s="32"/>
      <c r="G969" s="32"/>
    </row>
    <row r="970" ht="15.75" customHeight="1">
      <c r="A970" s="32"/>
      <c r="C970" s="32"/>
      <c r="D970" s="32"/>
      <c r="E970" s="32"/>
      <c r="F970" s="32"/>
      <c r="G970" s="32"/>
    </row>
    <row r="971" ht="15.75" customHeight="1">
      <c r="A971" s="32"/>
      <c r="C971" s="32"/>
      <c r="D971" s="32"/>
      <c r="E971" s="32"/>
      <c r="F971" s="32"/>
      <c r="G971" s="32"/>
    </row>
    <row r="972" ht="15.75" customHeight="1">
      <c r="A972" s="32"/>
      <c r="C972" s="32"/>
      <c r="D972" s="32"/>
      <c r="E972" s="32"/>
      <c r="F972" s="32"/>
      <c r="G972" s="32"/>
    </row>
    <row r="973" ht="15.75" customHeight="1">
      <c r="A973" s="32"/>
      <c r="C973" s="32"/>
      <c r="D973" s="32"/>
      <c r="E973" s="32"/>
      <c r="F973" s="32"/>
      <c r="G973" s="32"/>
    </row>
    <row r="974" ht="15.75" customHeight="1">
      <c r="A974" s="32"/>
      <c r="C974" s="32"/>
      <c r="D974" s="32"/>
      <c r="E974" s="32"/>
      <c r="F974" s="32"/>
      <c r="G974" s="32"/>
    </row>
    <row r="975" ht="15.75" customHeight="1">
      <c r="A975" s="32"/>
      <c r="C975" s="32"/>
      <c r="D975" s="32"/>
      <c r="E975" s="32"/>
      <c r="F975" s="32"/>
      <c r="G975" s="32"/>
    </row>
    <row r="976" ht="15.75" customHeight="1">
      <c r="A976" s="32"/>
      <c r="C976" s="32"/>
      <c r="D976" s="32"/>
      <c r="E976" s="32"/>
      <c r="F976" s="32"/>
      <c r="G976" s="32"/>
    </row>
    <row r="977" ht="15.75" customHeight="1">
      <c r="A977" s="32"/>
      <c r="C977" s="32"/>
      <c r="D977" s="32"/>
      <c r="E977" s="32"/>
      <c r="F977" s="32"/>
      <c r="G977" s="32"/>
    </row>
    <row r="978" ht="15.75" customHeight="1">
      <c r="A978" s="32"/>
      <c r="C978" s="32"/>
      <c r="D978" s="32"/>
      <c r="E978" s="32"/>
      <c r="F978" s="32"/>
      <c r="G978" s="32"/>
    </row>
    <row r="979" ht="15.75" customHeight="1">
      <c r="A979" s="32"/>
      <c r="C979" s="32"/>
      <c r="D979" s="32"/>
      <c r="E979" s="32"/>
      <c r="F979" s="32"/>
      <c r="G979" s="32"/>
    </row>
    <row r="980" ht="15.75" customHeight="1">
      <c r="A980" s="32"/>
      <c r="C980" s="32"/>
      <c r="D980" s="32"/>
      <c r="E980" s="32"/>
      <c r="F980" s="32"/>
      <c r="G980" s="32"/>
    </row>
    <row r="981" ht="15.75" customHeight="1">
      <c r="A981" s="32"/>
      <c r="C981" s="32"/>
      <c r="D981" s="32"/>
      <c r="E981" s="32"/>
      <c r="F981" s="32"/>
      <c r="G981" s="32"/>
    </row>
    <row r="982" ht="15.75" customHeight="1">
      <c r="A982" s="32"/>
      <c r="C982" s="32"/>
      <c r="D982" s="32"/>
      <c r="E982" s="32"/>
      <c r="F982" s="32"/>
      <c r="G982" s="32"/>
    </row>
    <row r="983" ht="15.75" customHeight="1">
      <c r="A983" s="32"/>
      <c r="C983" s="32"/>
      <c r="D983" s="32"/>
      <c r="E983" s="32"/>
      <c r="F983" s="32"/>
      <c r="G983" s="32"/>
    </row>
    <row r="984" ht="15.75" customHeight="1">
      <c r="A984" s="32"/>
      <c r="C984" s="32"/>
      <c r="D984" s="32"/>
      <c r="E984" s="32"/>
      <c r="F984" s="32"/>
      <c r="G984" s="32"/>
    </row>
    <row r="985" ht="15.75" customHeight="1">
      <c r="A985" s="32"/>
      <c r="C985" s="32"/>
      <c r="D985" s="32"/>
      <c r="E985" s="32"/>
      <c r="F985" s="32"/>
      <c r="G985" s="32"/>
    </row>
    <row r="986" ht="15.75" customHeight="1">
      <c r="A986" s="32"/>
      <c r="C986" s="32"/>
      <c r="D986" s="32"/>
      <c r="E986" s="32"/>
      <c r="F986" s="32"/>
      <c r="G986" s="32"/>
    </row>
    <row r="987" ht="15.75" customHeight="1">
      <c r="A987" s="32"/>
      <c r="C987" s="32"/>
      <c r="D987" s="32"/>
      <c r="E987" s="32"/>
      <c r="F987" s="32"/>
      <c r="G987" s="32"/>
    </row>
    <row r="988" ht="15.75" customHeight="1">
      <c r="A988" s="32"/>
      <c r="C988" s="32"/>
      <c r="D988" s="32"/>
      <c r="E988" s="32"/>
      <c r="F988" s="32"/>
      <c r="G988" s="32"/>
    </row>
    <row r="989" ht="15.75" customHeight="1">
      <c r="A989" s="32"/>
      <c r="C989" s="32"/>
      <c r="D989" s="32"/>
      <c r="E989" s="32"/>
      <c r="F989" s="32"/>
      <c r="G989" s="32"/>
    </row>
    <row r="990" ht="15.75" customHeight="1">
      <c r="A990" s="32"/>
      <c r="C990" s="32"/>
      <c r="D990" s="32"/>
      <c r="E990" s="32"/>
      <c r="F990" s="32"/>
      <c r="G990" s="32"/>
    </row>
    <row r="991" ht="15.75" customHeight="1">
      <c r="A991" s="32"/>
      <c r="C991" s="32"/>
      <c r="D991" s="32"/>
      <c r="E991" s="32"/>
      <c r="F991" s="32"/>
      <c r="G991" s="32"/>
    </row>
    <row r="992" ht="15.75" customHeight="1">
      <c r="A992" s="32"/>
      <c r="C992" s="32"/>
      <c r="D992" s="32"/>
      <c r="E992" s="32"/>
      <c r="F992" s="32"/>
      <c r="G992" s="32"/>
    </row>
    <row r="993" ht="15.75" customHeight="1">
      <c r="A993" s="32"/>
      <c r="C993" s="32"/>
      <c r="D993" s="32"/>
      <c r="E993" s="32"/>
      <c r="F993" s="32"/>
      <c r="G993" s="32"/>
    </row>
    <row r="994" ht="15.75" customHeight="1">
      <c r="A994" s="32"/>
      <c r="C994" s="32"/>
      <c r="D994" s="32"/>
      <c r="E994" s="32"/>
      <c r="F994" s="32"/>
      <c r="G994" s="32"/>
    </row>
    <row r="995" ht="15.75" customHeight="1">
      <c r="A995" s="32"/>
      <c r="C995" s="32"/>
      <c r="D995" s="32"/>
      <c r="E995" s="32"/>
      <c r="F995" s="32"/>
      <c r="G995" s="32"/>
    </row>
    <row r="996" ht="15.75" customHeight="1">
      <c r="A996" s="32"/>
      <c r="C996" s="32"/>
      <c r="D996" s="32"/>
      <c r="E996" s="32"/>
      <c r="F996" s="32"/>
      <c r="G996" s="32"/>
    </row>
    <row r="997" ht="15.75" customHeight="1">
      <c r="A997" s="32"/>
      <c r="C997" s="32"/>
      <c r="D997" s="32"/>
      <c r="E997" s="32"/>
      <c r="F997" s="32"/>
      <c r="G997" s="32"/>
    </row>
    <row r="998" ht="15.75" customHeight="1">
      <c r="A998" s="32"/>
      <c r="C998" s="32"/>
      <c r="D998" s="32"/>
      <c r="E998" s="32"/>
      <c r="F998" s="32"/>
      <c r="G998" s="32"/>
    </row>
    <row r="999" ht="15.75" customHeight="1">
      <c r="A999" s="32"/>
      <c r="C999" s="32"/>
      <c r="D999" s="32"/>
      <c r="E999" s="32"/>
      <c r="F999" s="32"/>
      <c r="G999" s="32"/>
    </row>
    <row r="1000" ht="15.75" customHeight="1">
      <c r="A1000" s="32"/>
      <c r="C1000" s="32"/>
      <c r="D1000" s="32"/>
      <c r="E1000" s="32"/>
      <c r="F1000" s="32"/>
      <c r="G1000" s="32"/>
    </row>
  </sheetData>
  <mergeCells count="6">
    <mergeCell ref="D1:G1"/>
    <mergeCell ref="A3:A8"/>
    <mergeCell ref="A10:A15"/>
    <mergeCell ref="A17:A22"/>
    <mergeCell ref="A24:A29"/>
    <mergeCell ref="A31:A3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3.25"/>
    <col customWidth="1" min="3" max="3" width="10.38"/>
    <col customWidth="1" min="4" max="8" width="20.13"/>
    <col customWidth="1" min="9" max="9" width="2.25"/>
    <col customWidth="1" min="10" max="10" width="20.13"/>
  </cols>
  <sheetData>
    <row r="1" ht="15.75" customHeight="1">
      <c r="A1" s="1"/>
      <c r="B1" s="10"/>
      <c r="C1" s="155" t="s">
        <v>786</v>
      </c>
      <c r="D1" s="8"/>
      <c r="E1" s="8"/>
      <c r="F1" s="8"/>
      <c r="G1" s="8"/>
      <c r="H1" s="10"/>
      <c r="I1" s="18"/>
      <c r="J1" s="21" t="s">
        <v>17</v>
      </c>
    </row>
    <row r="2" ht="15.75" customHeight="1">
      <c r="A2" s="13" t="s">
        <v>4</v>
      </c>
      <c r="B2" s="17" t="s">
        <v>4</v>
      </c>
      <c r="C2" s="17" t="s">
        <v>23</v>
      </c>
      <c r="D2" s="17" t="s">
        <v>55</v>
      </c>
      <c r="E2" s="17" t="s">
        <v>58</v>
      </c>
      <c r="F2" s="17" t="s">
        <v>60</v>
      </c>
      <c r="G2" s="17" t="s">
        <v>62</v>
      </c>
      <c r="H2" s="17" t="s">
        <v>64</v>
      </c>
      <c r="I2" s="18"/>
      <c r="J2" s="27" t="str">
        <f>(75-(COUNTIF(D5:H24,"Janela")))&amp;" h/a"</f>
        <v>18 h/a</v>
      </c>
    </row>
    <row r="3" ht="15.75" customHeight="1">
      <c r="A3" s="13"/>
      <c r="B3" s="20"/>
      <c r="C3" s="17"/>
      <c r="D3" s="17" t="s">
        <v>25</v>
      </c>
      <c r="E3" s="17" t="s">
        <v>26</v>
      </c>
      <c r="F3" s="17" t="s">
        <v>28</v>
      </c>
      <c r="G3" s="17" t="s">
        <v>30</v>
      </c>
      <c r="H3" s="17" t="s">
        <v>31</v>
      </c>
      <c r="I3" s="18"/>
      <c r="J3" s="32"/>
    </row>
    <row r="4" ht="15.75" customHeight="1">
      <c r="A4" s="13"/>
      <c r="B4" s="20"/>
      <c r="C4" s="17"/>
      <c r="D4" s="17" t="s">
        <v>35</v>
      </c>
      <c r="E4" s="17" t="s">
        <v>37</v>
      </c>
      <c r="F4" s="17" t="s">
        <v>38</v>
      </c>
      <c r="G4" s="17" t="s">
        <v>40</v>
      </c>
      <c r="H4" s="17" t="s">
        <v>41</v>
      </c>
      <c r="I4" s="18"/>
      <c r="J4" s="32"/>
    </row>
    <row r="5" ht="25.5" customHeight="1">
      <c r="A5" s="25">
        <v>14.0</v>
      </c>
      <c r="B5" s="29">
        <v>21.0</v>
      </c>
      <c r="C5" s="20" t="s">
        <v>79</v>
      </c>
      <c r="D5" s="42" t="str">
        <f>IF((COUNTIF('Horário - Graduação'!$C3:$AW3,"*"&amp;$D$1&amp;"*")+COUNTIF('Horário - Ensino Médio'!$C3:$Z3,"*"&amp;$D$1&amp;"*"))&gt;1,IF(COUNTIF('Horário - Ensino Médio'!$C3:$Z3,"*"&amp;$D$1&amp;"*")&gt;0,CONCAT("[CHOQUE] - ",IFERROR(CONCAT(HLOOKUP("*"&amp;$D$1&amp;"*",'Horário - Graduação'!$C3:$AW$22,1,FALSE)&amp; CHAR(10),HLOOKUP("*"&amp;$D$1&amp;"*",'Horário - Graduação'!$C3:$AW$22,$B5,FALSE)),IFERROR(CONCAT(HLOOKUP("*"&amp;$D$1&amp;"*",'Horário - Ensino Médio'!$C3:$Z$16,1,FALSE)&amp; CHAR(10),HLOOKUP("*"&amp;$D$1&amp;"*",'Horário - Ensino Médio'!$C3:$Z$16,$A5,FALSE)),"Janela"))),CONCATENATE(HLOOKUP("*"&amp;$D$1&amp;"*",'Horário - Graduação'!$C3:$AW$22,1,FALSE)&amp; CHAR(10),HLOOKUP("*"&amp;$D$1&amp;"*",'Horário - Graduação'!$C3:$AW$22,$B5,FALSE)," + OUTRO")),IFERROR(CONCAT(HLOOKUP("*"&amp;$D$1&amp;"*",'Horário - Graduação'!$C3:$AW$22,1,FALSE)&amp; CHAR(10),HLOOKUP("*"&amp;$D$1&amp;"*",'Horário - Graduação'!$C3:$AW$22,$B5,FALSE)),IFERROR(CONCAT(HLOOKUP("*"&amp;$D$1&amp;"*",'Horário - Ensino Médio'!$C3:$Z$16,1,FALSE)&amp; CHAR(10),HLOOKUP("*"&amp;$D$1&amp;"*",'Horário - Ensino Médio'!$C3:$Z$16,$A5,FALSE)),"Janela")))</f>
        <v>[CHOQUE] - Química
 (Juliana Diniz) (Mini 1)
</v>
      </c>
      <c r="E5" s="42" t="str">
        <f>IF((COUNTIF('Horário - Graduação'!$C24:$AW24,"*"&amp;$C$1&amp;"*")+COUNTIF('Horário - Ensino Médio'!$C18:$Z18,"*"&amp;$C$1&amp;"*"))&gt;1,CONCAT("[CHOQUE] - ",IFERROR(HLOOKUP("*"&amp;$C$1&amp;"*",'Horário - Graduação'!$C24:$AW$44,$B5,FALSE),IFERROR(HLOOKUP("*"&amp;$C$1&amp;"*",'Horário - Ensino Médio'!$C18:$Z$32,$A5,FALSE),"Janela"))),IFERROR(HLOOKUP("*"&amp;$C$1&amp;"*",'Horário - Graduação'!$C24:$AW$44,$B5,FALSE),IFERROR(HLOOKUP("*"&amp;$C$1&amp;"*",'Horário - Ensino Médio'!$C18:$Z$32,$A5,FALSE),"Janela")))</f>
        <v>Janela</v>
      </c>
      <c r="F5" s="42" t="str">
        <f>IF((COUNTIF('Horário - Graduação'!$C45:$AW45,"*"&amp;$C$1&amp;"*")+COUNTIF('Horário - Ensino Médio'!$C33:$Z33,"*"&amp;$C$1&amp;"*"))&gt;1,CONCAT("[CHOQUE] - ",IFERROR(HLOOKUP("*"&amp;$C$1&amp;"*",'Horário - Graduação'!$C45:$AW$65,$B5,FALSE),IFERROR(HLOOKUP("*"&amp;$C$1&amp;"*",'Horário - Ensino Médio'!$C33:$Z$47,$A5,FALSE),"Janela"))),IFERROR(HLOOKUP("*"&amp;$C$1&amp;"*",'Horário - Graduação'!$C45:$AW$65,$B5,FALSE),IFERROR(HLOOKUP("*"&amp;$C$1&amp;"*",'Horário - Ensino Médio'!$C33:$Z$47,$A5,FALSE),"Janela")))</f>
        <v>Janela</v>
      </c>
      <c r="G5" s="42" t="str">
        <f>IF((COUNTIF('Horário - Graduação'!$C66:$AW66,"*"&amp;$C$1&amp;"*")+COUNTIF('Horário - Ensino Médio'!$C48:$Z48,"*"&amp;$C$1&amp;"*"))&gt;1,CONCAT("[CHOQUE] - ",IFERROR(HLOOKUP("*"&amp;$C$1&amp;"*",'Horário - Graduação'!$C66:$AW$86,$B5,FALSE),IFERROR(HLOOKUP("*"&amp;$C$1&amp;"*",'Horário - Ensino Médio'!$C48:$Z$62,$A5,FALSE),"Janela"))),IFERROR(HLOOKUP("*"&amp;$C$1&amp;"*",'Horário - Graduação'!$C66:$AW$86,$B5,FALSE),IFERROR(HLOOKUP("*"&amp;$C$1&amp;"*",'Horário - Ensino Médio'!$C48:$Z$62,$A5,FALSE),"Janela")))</f>
        <v>Janela</v>
      </c>
      <c r="H5" s="42" t="str">
        <f>IF((COUNTIF('Horário - Graduação'!$C87:$AW87,"*"&amp;$C$1&amp;"*")+COUNTIF('Horário - Ensino Médio'!$C63:$Z63,"*"&amp;$C$1&amp;"*"))&gt;1,CONCAT("[CHOQUE] - ",IFERROR(HLOOKUP("*"&amp;$C$1&amp;"*",'Horário - Graduação'!$C87:$AW$107,$B5,FALSE),IFERROR(HLOOKUP("*"&amp;$C$1&amp;"*",'Horário - Ensino Médio'!$C63:$Z$77,$A5,FALSE),"Janela"))),IFERROR(HLOOKUP("*"&amp;$C$1&amp;"*",'Horário - Graduação'!$C87:$AW$107,$B5,FALSE),IFERROR(HLOOKUP("*"&amp;$C$1&amp;"*",'Horário - Ensino Médio'!$C63:$Z$77,$A5,FALSE),"Janela")))</f>
        <v>Janela</v>
      </c>
      <c r="I5" s="56"/>
      <c r="J5" s="32"/>
    </row>
    <row r="6" ht="25.5" customHeight="1">
      <c r="A6" s="25">
        <v>13.0</v>
      </c>
      <c r="B6" s="29">
        <v>20.0</v>
      </c>
      <c r="C6" s="20" t="s">
        <v>109</v>
      </c>
      <c r="D6" s="42" t="str">
        <f>IF((COUNTIF('Horário - Graduação'!$C4:$AW4,"*"&amp;$D$1&amp;"*")+COUNTIF('Horário - Ensino Médio'!$C4:$Z4,"*"&amp;$D$1&amp;"*"))&gt;1,IF(COUNTIF('Horário - Ensino Médio'!$C4:$Z4,"*"&amp;$D$1&amp;"*")&gt;0,CONCAT("[CHOQUE] - ",IFERROR(CONCAT(HLOOKUP("*"&amp;$D$1&amp;"*",'Horário - Graduação'!$C4:$AW$22,1,FALSE)&amp; CHAR(10),HLOOKUP("*"&amp;$D$1&amp;"*",'Horário - Graduação'!$C4:$AW$22,$B6,FALSE)),IFERROR(CONCAT(HLOOKUP("*"&amp;$D$1&amp;"*",'Horário - Ensino Médio'!$C4:$Z$16,1,FALSE)&amp; CHAR(10),HLOOKUP("*"&amp;$D$1&amp;"*",'Horário - Ensino Médio'!$C4:$Z$16,$A6,FALSE)),"Janela"))),CONCATENATE(HLOOKUP("*"&amp;$D$1&amp;"*",'Horário - Graduação'!$C4:$AW$22,1,FALSE)&amp; CHAR(10),HLOOKUP("*"&amp;$D$1&amp;"*",'Horário - Graduação'!$C4:$AW$22,$B6,FALSE)," + OUTRO")),IFERROR(CONCAT(HLOOKUP("*"&amp;$D$1&amp;"*",'Horário - Graduação'!$C4:$AW$22,1,FALSE)&amp; CHAR(10),HLOOKUP("*"&amp;$D$1&amp;"*",'Horário - Graduação'!$C4:$AW$22,$B6,FALSE)),IFERROR(CONCAT(HLOOKUP("*"&amp;$D$1&amp;"*",'Horário - Ensino Médio'!$C4:$Z$16,1,FALSE)&amp; CHAR(10),HLOOKUP("*"&amp;$D$1&amp;"*",'Horário - Ensino Médio'!$C4:$Z$16,$A6,FALSE)),"Janela")))</f>
        <v>[CHOQUE] - Química
 (Juliana Diniz) (2/1)
</v>
      </c>
      <c r="E6" s="42" t="str">
        <f>IF((COUNTIF('Horário - Graduação'!$C25:$AW25,"*"&amp;$C$1&amp;"*")+COUNTIF('Horário - Ensino Médio'!$C19:$Z19,"*"&amp;$C$1&amp;"*"))&gt;1,CONCAT("[CHOQUE] - ",IFERROR(HLOOKUP("*"&amp;$C$1&amp;"*",'Horário - Graduação'!$C25:$AW$44,$B6,FALSE),IFERROR(HLOOKUP("*"&amp;$C$1&amp;"*",'Horário - Ensino Médio'!$C19:$Z$32,$A6,FALSE),"Janela"))),IFERROR(HLOOKUP("*"&amp;$C$1&amp;"*",'Horário - Graduação'!$C25:$AW$44,$B6,FALSE),IFERROR(HLOOKUP("*"&amp;$C$1&amp;"*",'Horário - Ensino Médio'!$C19:$Z$32,$A6,FALSE),"Janela")))</f>
        <v>Janela</v>
      </c>
      <c r="F6" s="42" t="str">
        <f>IF((COUNTIF('Horário - Graduação'!$C46:$AW46,"*"&amp;$C$1&amp;"*")+COUNTIF('Horário - Ensino Médio'!$C34:$Z34,"*"&amp;$C$1&amp;"*"))&gt;1,CONCAT("[CHOQUE] - ",IFERROR(HLOOKUP("*"&amp;$C$1&amp;"*",'Horário - Graduação'!$C46:$AW$65,$B6,FALSE),IFERROR(HLOOKUP("*"&amp;$C$1&amp;"*",'Horário - Ensino Médio'!$C34:$Z$47,$A6,FALSE),"Janela"))),IFERROR(HLOOKUP("*"&amp;$C$1&amp;"*",'Horário - Graduação'!$C46:$AW$65,$B6,FALSE),IFERROR(HLOOKUP("*"&amp;$C$1&amp;"*",'Horário - Ensino Médio'!$C34:$Z$47,$A6,FALSE),"Janela")))</f>
        <v>Janela</v>
      </c>
      <c r="G6" s="42" t="str">
        <f>IF((COUNTIF('Horário - Graduação'!$C67:$AW67,"*"&amp;$C$1&amp;"*")+COUNTIF('Horário - Ensino Médio'!$C49:$Z49,"*"&amp;$C$1&amp;"*"))&gt;1,CONCAT("[CHOQUE] - ",IFERROR(HLOOKUP("*"&amp;$C$1&amp;"*",'Horário - Graduação'!$C67:$AW$86,$B6,FALSE),IFERROR(HLOOKUP("*"&amp;$C$1&amp;"*",'Horário - Ensino Médio'!$C49:$Z$62,$A6,FALSE),"Janela"))),IFERROR(HLOOKUP("*"&amp;$C$1&amp;"*",'Horário - Graduação'!$C67:$AW$86,$B6,FALSE),IFERROR(HLOOKUP("*"&amp;$C$1&amp;"*",'Horário - Ensino Médio'!$C49:$Z$62,$A6,FALSE),"Janela")))</f>
        <v>Janela</v>
      </c>
      <c r="H6" s="42" t="str">
        <f>IF((COUNTIF('Horário - Graduação'!$C88:$AW88,"*"&amp;$C$1&amp;"*")+COUNTIF('Horário - Ensino Médio'!$C64:$Z64,"*"&amp;$C$1&amp;"*"))&gt;1,CONCAT("[CHOQUE] - ",IFERROR(HLOOKUP("*"&amp;$C$1&amp;"*",'Horário - Graduação'!$C88:$AW$107,$B6,FALSE),IFERROR(HLOOKUP("*"&amp;$C$1&amp;"*",'Horário - Ensino Médio'!$C64:$Z$77,$A6,FALSE),"Janela"))),IFERROR(HLOOKUP("*"&amp;$C$1&amp;"*",'Horário - Graduação'!$C88:$AW$107,$B6,FALSE),IFERROR(HLOOKUP("*"&amp;$C$1&amp;"*",'Horário - Ensino Médio'!$C64:$Z$77,$A6,FALSE),"Janela")))</f>
        <v>Janela</v>
      </c>
      <c r="I6" s="56"/>
      <c r="J6" s="32"/>
    </row>
    <row r="7" ht="15.75" customHeight="1">
      <c r="A7" s="25">
        <v>12.0</v>
      </c>
      <c r="B7" s="29">
        <v>19.0</v>
      </c>
      <c r="C7" s="77" t="s">
        <v>111</v>
      </c>
      <c r="D7" s="69" t="s">
        <v>111</v>
      </c>
      <c r="E7" s="69" t="s">
        <v>111</v>
      </c>
      <c r="F7" s="69" t="s">
        <v>111</v>
      </c>
      <c r="G7" s="69" t="s">
        <v>111</v>
      </c>
      <c r="H7" s="69" t="s">
        <v>111</v>
      </c>
      <c r="I7" s="18"/>
      <c r="J7" s="71"/>
    </row>
    <row r="8" ht="25.5" customHeight="1">
      <c r="A8" s="25">
        <v>11.0</v>
      </c>
      <c r="B8" s="29">
        <v>18.0</v>
      </c>
      <c r="C8" s="20" t="s">
        <v>113</v>
      </c>
      <c r="D8" s="42" t="str">
        <f>IF((COUNTIF('Horário - Graduação'!$C6:$AW6,"*"&amp;$C$1&amp;"*")+COUNTIF('Horário - Ensino Médio'!$C6:$Z6,"*"&amp;$C$1&amp;"*"))&gt;1,CONCAT("[CHOQUE] - ",IFERROR(HLOOKUP("*"&amp;$C$1&amp;"*",'Horário - Graduação'!$C6:$AW$23,$B8,FALSE),IFERROR(HLOOKUP("*"&amp;$C$1&amp;"*",'Horário - Ensino Médio'!$C6:$Z$17,$A8,FALSE),"Janela"))),IFERROR(HLOOKUP("*"&amp;$C$1&amp;"*",'Horário - Graduação'!$C6:$AW$23,$B8,FALSE),IFERROR(HLOOKUP("*"&amp;$C$1&amp;"*",'Horário - Ensino Médio'!$C6:$Z$17,$A8,FALSE),"Janela")))</f>
        <v>Janela</v>
      </c>
      <c r="E8" s="42" t="str">
        <f>IF((COUNTIF('Horário - Graduação'!$C27:$AW27,"*"&amp;$C$1&amp;"*")+COUNTIF('Horário - Ensino Médio'!$C21:$Z21,"*"&amp;$C$1&amp;"*"))&gt;1,CONCAT("[CHOQUE] - ",IFERROR(HLOOKUP("*"&amp;$C$1&amp;"*",'Horário - Graduação'!$C27:$AW$44,$B8,FALSE),IFERROR(HLOOKUP("*"&amp;$C$1&amp;"*",'Horário - Ensino Médio'!$C21:$Z$32,$A8,FALSE),"Janela"))),IFERROR(HLOOKUP("*"&amp;$C$1&amp;"*",'Horário - Graduação'!$C27:$AW$44,$B8,FALSE),IFERROR(HLOOKUP("*"&amp;$C$1&amp;"*",'Horário - Ensino Médio'!$C21:$Z$32,$A8,FALSE),"Janela")))</f>
        <v>Janela</v>
      </c>
      <c r="F8" s="42" t="str">
        <f>IF((COUNTIF('Horário - Graduação'!$C48:$AW48,"*"&amp;$C$1&amp;"*")+COUNTIF('Horário - Ensino Médio'!$C36:$Z36,"*"&amp;$C$1&amp;"*"))&gt;1,CONCAT("[CHOQUE] - ",IFERROR(HLOOKUP("*"&amp;$C$1&amp;"*",'Horário - Graduação'!$C48:$AW$65,$B8,FALSE),IFERROR(HLOOKUP("*"&amp;$C$1&amp;"*",'Horário - Ensino Médio'!$C36:$Z$47,$A8,FALSE),"Janela"))),IFERROR(HLOOKUP("*"&amp;$C$1&amp;"*",'Horário - Graduação'!$C48:$AW$65,$B8,FALSE),IFERROR(HLOOKUP("*"&amp;$C$1&amp;"*",'Horário - Ensino Médio'!$C36:$Z$47,$A8,FALSE),"Janela")))</f>
        <v>Janela</v>
      </c>
      <c r="G8" s="42" t="str">
        <f>IF((COUNTIF('Horário - Graduação'!$C69:$AW69,"*"&amp;$C$1&amp;"*")+COUNTIF('Horário - Ensino Médio'!$C51:$Z51,"*"&amp;$C$1&amp;"*"))&gt;1,CONCAT("[CHOQUE] - ",IFERROR(HLOOKUP("*"&amp;$C$1&amp;"*",'Horário - Graduação'!$C69:$AW$86,$B8,FALSE),IFERROR(HLOOKUP("*"&amp;$C$1&amp;"*",'Horário - Ensino Médio'!$C51:$Z$62,$A8,FALSE),"Janela"))),IFERROR(HLOOKUP("*"&amp;$C$1&amp;"*",'Horário - Graduação'!$C69:$AW$86,$B8,FALSE),IFERROR(HLOOKUP("*"&amp;$C$1&amp;"*",'Horário - Ensino Médio'!$C51:$Z$62,$A8,FALSE),"Janela")))</f>
        <v>Janela</v>
      </c>
      <c r="H8" s="42" t="str">
        <f>IF((COUNTIF('Horário - Graduação'!$C90:$AW90,"*"&amp;$C$1&amp;"*")+COUNTIF('Horário - Ensino Médio'!$C66:$Z66,"*"&amp;$C$1&amp;"*"))&gt;1,CONCAT("[CHOQUE] - ",IFERROR(HLOOKUP("*"&amp;$C$1&amp;"*",'Horário - Graduação'!$C90:$AW$107,$B8,FALSE),IFERROR(HLOOKUP("*"&amp;$C$1&amp;"*",'Horário - Ensino Médio'!$C66:$Z$77,$A8,FALSE),"Janela"))),IFERROR(HLOOKUP("*"&amp;$C$1&amp;"*",'Horário - Graduação'!$C90:$AW$107,$B8,FALSE),IFERROR(HLOOKUP("*"&amp;$C$1&amp;"*",'Horário - Ensino Médio'!$C66:$Z$77,$A8,FALSE),"Janela")))</f>
        <v>Janela</v>
      </c>
      <c r="I8" s="56"/>
      <c r="J8" s="82"/>
    </row>
    <row r="9" ht="25.5" customHeight="1">
      <c r="A9" s="25">
        <v>10.0</v>
      </c>
      <c r="B9" s="29">
        <v>17.0</v>
      </c>
      <c r="C9" s="20" t="s">
        <v>120</v>
      </c>
      <c r="D9" s="42" t="str">
        <f>IF((COUNTIF('Horário - Graduação'!$C7:$AW7,"*"&amp;$C$1&amp;"*")+COUNTIF('Horário - Ensino Médio'!$C7:$Z7,"*"&amp;$C$1&amp;"*"))&gt;1,CONCAT("[CHOQUE] - ",IFERROR(HLOOKUP("*"&amp;$C$1&amp;"*",'Horário - Graduação'!$C7:$AW$23,$B9,FALSE),IFERROR(HLOOKUP("*"&amp;$C$1&amp;"*",'Horário - Ensino Médio'!$C7:$Z$17,$A9,FALSE),"Janela"))),IFERROR(HLOOKUP("*"&amp;$C$1&amp;"*",'Horário - Graduação'!$C7:$AW$23,$B9,FALSE),IFERROR(HLOOKUP("*"&amp;$C$1&amp;"*",'Horário - Ensino Médio'!$C7:$Z$17,$A9,FALSE),"Janela")))</f>
        <v>Janela</v>
      </c>
      <c r="E9" s="42" t="str">
        <f>IF((COUNTIF('Horário - Graduação'!$C28:$AW28,"*"&amp;$C$1&amp;"*")+COUNTIF('Horário - Ensino Médio'!$C22:$Z22,"*"&amp;$C$1&amp;"*"))&gt;1,CONCAT("[CHOQUE] - ",IFERROR(HLOOKUP("*"&amp;$C$1&amp;"*",'Horário - Graduação'!$C28:$AW$44,$B9,FALSE),IFERROR(HLOOKUP("*"&amp;$C$1&amp;"*",'Horário - Ensino Médio'!$C22:$Z$32,$A9,FALSE),"Janela"))),IFERROR(HLOOKUP("*"&amp;$C$1&amp;"*",'Horário - Graduação'!$C28:$AW$44,$B9,FALSE),IFERROR(HLOOKUP("*"&amp;$C$1&amp;"*",'Horário - Ensino Médio'!$C22:$Z$32,$A9,FALSE),"Janela")))</f>
        <v>Janela</v>
      </c>
      <c r="F9" s="42" t="str">
        <f>IF((COUNTIF('Horário - Graduação'!$C49:$AW49,"*"&amp;$C$1&amp;"*")+COUNTIF('Horário - Ensino Médio'!$C37:$Z37,"*"&amp;$C$1&amp;"*"))&gt;1,CONCAT("[CHOQUE] - ",IFERROR(HLOOKUP("*"&amp;$C$1&amp;"*",'Horário - Graduação'!$C49:$AW$65,$B9,FALSE),IFERROR(HLOOKUP("*"&amp;$C$1&amp;"*",'Horário - Ensino Médio'!$C37:$Z$47,$A9,FALSE),"Janela"))),IFERROR(HLOOKUP("*"&amp;$C$1&amp;"*",'Horário - Graduação'!$C49:$AW$65,$B9,FALSE),IFERROR(HLOOKUP("*"&amp;$C$1&amp;"*",'Horário - Ensino Médio'!$C37:$Z$47,$A9,FALSE),"Janela")))</f>
        <v>Janela</v>
      </c>
      <c r="G9" s="42" t="str">
        <f>IF((COUNTIF('Horário - Graduação'!$C70:$AW70,"*"&amp;$C$1&amp;"*")+COUNTIF('Horário - Ensino Médio'!$C52:$Z52,"*"&amp;$C$1&amp;"*"))&gt;1,CONCAT("[CHOQUE] - ",IFERROR(HLOOKUP("*"&amp;$C$1&amp;"*",'Horário - Graduação'!$C70:$AW$86,$B9,FALSE),IFERROR(HLOOKUP("*"&amp;$C$1&amp;"*",'Horário - Ensino Médio'!$C52:$Z$62,$A9,FALSE),"Janela"))),IFERROR(HLOOKUP("*"&amp;$C$1&amp;"*",'Horário - Graduação'!$C70:$AW$86,$B9,FALSE),IFERROR(HLOOKUP("*"&amp;$C$1&amp;"*",'Horário - Ensino Médio'!$C52:$Z$62,$A9,FALSE),"Janela")))</f>
        <v>Janela</v>
      </c>
      <c r="H9" s="42" t="str">
        <f>IF((COUNTIF('Horário - Graduação'!$C91:$AW91,"*"&amp;$C$1&amp;"*")+COUNTIF('Horário - Ensino Médio'!$C67:$Z67,"*"&amp;$C$1&amp;"*"))&gt;1,CONCAT("[CHOQUE] - ",IFERROR(HLOOKUP("*"&amp;$C$1&amp;"*",'Horário - Graduação'!$C91:$AW$107,$B9,FALSE),IFERROR(HLOOKUP("*"&amp;$C$1&amp;"*",'Horário - Ensino Médio'!$C67:$Z$77,$A9,FALSE),"Janela"))),IFERROR(HLOOKUP("*"&amp;$C$1&amp;"*",'Horário - Graduação'!$C91:$AW$107,$B9,FALSE),IFERROR(HLOOKUP("*"&amp;$C$1&amp;"*",'Horário - Ensino Médio'!$C67:$Z$77,$A9,FALSE),"Janela")))</f>
        <v>Janela</v>
      </c>
      <c r="I9" s="56"/>
      <c r="J9" s="71"/>
    </row>
    <row r="10" ht="25.5" customHeight="1">
      <c r="A10" s="25">
        <v>9.0</v>
      </c>
      <c r="B10" s="29">
        <v>16.0</v>
      </c>
      <c r="C10" s="20" t="s">
        <v>121</v>
      </c>
      <c r="D10" s="42" t="str">
        <f>IF((COUNTIF('Horário - Graduação'!$C8:$AW8,"*"&amp;$C$1&amp;"*")+COUNTIF('Horário - Ensino Médio'!$C8:$Z8,"*"&amp;$C$1&amp;"*"))&gt;1,CONCAT("[CHOQUE] - ",IFERROR(HLOOKUP("*"&amp;$C$1&amp;"*",'Horário - Graduação'!$C8:$AW$23,$B10,FALSE),IFERROR(HLOOKUP("*"&amp;$C$1&amp;"*",'Horário - Ensino Médio'!$C8:$Z$17,$A10,FALSE),"Janela"))),IFERROR(HLOOKUP("*"&amp;$C$1&amp;"*",'Horário - Graduação'!$C8:$AW$23,$B10,FALSE),IFERROR(HLOOKUP("*"&amp;$C$1&amp;"*",'Horário - Ensino Médio'!$C8:$Z$17,$A10,FALSE),"Janela")))</f>
        <v>Janela</v>
      </c>
      <c r="E10" s="42" t="str">
        <f>IF((COUNTIF('Horário - Graduação'!$C29:$AW29,"*"&amp;$C$1&amp;"*")+COUNTIF('Horário - Ensino Médio'!$C23:$Z23,"*"&amp;$C$1&amp;"*"))&gt;1,CONCAT("[CHOQUE] - ",IFERROR(HLOOKUP("*"&amp;$C$1&amp;"*",'Horário - Graduação'!$C29:$AW$44,$B10,FALSE),IFERROR(HLOOKUP("*"&amp;$C$1&amp;"*",'Horário - Ensino Médio'!$C23:$Z$32,$A10,FALSE),"Janela"))),IFERROR(HLOOKUP("*"&amp;$C$1&amp;"*",'Horário - Graduação'!$C29:$AW$44,$B10,FALSE),IFERROR(HLOOKUP("*"&amp;$C$1&amp;"*",'Horário - Ensino Médio'!$C23:$Z$32,$A10,FALSE),"Janela")))</f>
        <v>Janela</v>
      </c>
      <c r="F10" s="42" t="str">
        <f>IF((COUNTIF('Horário - Graduação'!$C50:$AW50,"*"&amp;$C$1&amp;"*")+COUNTIF('Horário - Ensino Médio'!$C38:$Z38,"*"&amp;$C$1&amp;"*"))&gt;1,CONCAT("[CHOQUE] - ",IFERROR(HLOOKUP("*"&amp;$C$1&amp;"*",'Horário - Graduação'!$C50:$AW$65,$B10,FALSE),IFERROR(HLOOKUP("*"&amp;$C$1&amp;"*",'Horário - Ensino Médio'!$C38:$Z$47,$A10,FALSE),"Janela"))),IFERROR(HLOOKUP("*"&amp;$C$1&amp;"*",'Horário - Graduação'!$C50:$AW$65,$B10,FALSE),IFERROR(HLOOKUP("*"&amp;$C$1&amp;"*",'Horário - Ensino Médio'!$C38:$Z$47,$A10,FALSE),"Janela")))</f>
        <v>Janela</v>
      </c>
      <c r="G10" s="42" t="str">
        <f>IF((COUNTIF('Horário - Graduação'!$C71:$AW71,"*"&amp;$C$1&amp;"*")+COUNTIF('Horário - Ensino Médio'!$C53:$Z53,"*"&amp;$C$1&amp;"*"))&gt;1,CONCAT("[CHOQUE] - ",IFERROR(HLOOKUP("*"&amp;$C$1&amp;"*",'Horário - Graduação'!$C71:$AW$86,$B10,FALSE),IFERROR(HLOOKUP("*"&amp;$C$1&amp;"*",'Horário - Ensino Médio'!$C53:$Z$62,$A10,FALSE),"Janela"))),IFERROR(HLOOKUP("*"&amp;$C$1&amp;"*",'Horário - Graduação'!$C71:$AW$86,$B10,FALSE),IFERROR(HLOOKUP("*"&amp;$C$1&amp;"*",'Horário - Ensino Médio'!$C53:$Z$62,$A10,FALSE),"Janela")))</f>
        <v>Janela</v>
      </c>
      <c r="H10" s="42" t="str">
        <f>IF((COUNTIF('Horário - Graduação'!$C92:$AW92,"*"&amp;$C$1&amp;"*")+COUNTIF('Horário - Ensino Médio'!$C68:$Z68,"*"&amp;$C$1&amp;"*"))&gt;1,CONCAT("[CHOQUE] - ",IFERROR(HLOOKUP("*"&amp;$C$1&amp;"*",'Horário - Graduação'!$C92:$AW$107,$B10,FALSE),IFERROR(HLOOKUP("*"&amp;$C$1&amp;"*",'Horário - Ensino Médio'!$C68:$Z$77,$A10,FALSE),"Janela"))),IFERROR(HLOOKUP("*"&amp;$C$1&amp;"*",'Horário - Graduação'!$C92:$AW$107,$B10,FALSE),IFERROR(HLOOKUP("*"&amp;$C$1&amp;"*",'Horário - Ensino Médio'!$C68:$Z$77,$A10,FALSE),"Janela")))</f>
        <v>Janela</v>
      </c>
      <c r="I10" s="56"/>
      <c r="J10" s="71"/>
    </row>
    <row r="11" ht="15.75" customHeight="1">
      <c r="A11" s="25">
        <v>8.0</v>
      </c>
      <c r="B11" s="29">
        <v>15.0</v>
      </c>
      <c r="C11" s="77" t="s">
        <v>124</v>
      </c>
      <c r="D11" s="69" t="s">
        <v>124</v>
      </c>
      <c r="E11" s="69" t="s">
        <v>124</v>
      </c>
      <c r="F11" s="69" t="s">
        <v>124</v>
      </c>
      <c r="G11" s="69" t="s">
        <v>124</v>
      </c>
      <c r="H11" s="69" t="s">
        <v>124</v>
      </c>
      <c r="I11" s="18"/>
      <c r="J11" s="71"/>
    </row>
    <row r="12" ht="25.5" customHeight="1">
      <c r="A12" s="25">
        <v>7.0</v>
      </c>
      <c r="B12" s="29">
        <v>14.0</v>
      </c>
      <c r="C12" s="20" t="s">
        <v>126</v>
      </c>
      <c r="D12" s="42" t="str">
        <f>IF((COUNTIF('Horário - Graduação'!$C10:$AW10,"*"&amp;$C$1&amp;"*")+COUNTIF('Horário - Ensino Médio'!$C10:$Z10,"*"&amp;$C$1&amp;"*"))&gt;1,CONCAT("[CHOQUE] - ",IFERROR(HLOOKUP("*"&amp;$C$1&amp;"*",'Horário - Graduação'!$C10:$AW$23,$B12,FALSE),IFERROR(HLOOKUP("*"&amp;$C$1&amp;"*",'Horário - Ensino Médio'!$C10:$Z$17,$A12,FALSE),"Janela"))),IFERROR(HLOOKUP("*"&amp;$C$1&amp;"*",'Horário - Graduação'!$C10:$AW$23,$B12,FALSE),IFERROR(HLOOKUP("*"&amp;$C$1&amp;"*",'Horário - Ensino Médio'!$C10:$Z$17,$A12,FALSE),"Janela")))</f>
        <v>Janela</v>
      </c>
      <c r="E12" s="42" t="str">
        <f>IF((COUNTIF('Horário - Graduação'!$C31:$AW31,"*"&amp;$C$1&amp;"*")+COUNTIF('Horário - Ensino Médio'!$C25:$Z25,"*"&amp;$C$1&amp;"*"))&gt;1,CONCAT("[CHOQUE] - ",IFERROR(HLOOKUP("*"&amp;$C$1&amp;"*",'Horário - Graduação'!$C31:$AW$44,$B12,FALSE),IFERROR(HLOOKUP("*"&amp;$C$1&amp;"*",'Horário - Ensino Médio'!$C25:$Z$32,$A12,FALSE),"Janela"))),IFERROR(HLOOKUP("*"&amp;$C$1&amp;"*",'Horário - Graduação'!$C31:$AW$44,$B12,FALSE),IFERROR(HLOOKUP("*"&amp;$C$1&amp;"*",'Horário - Ensino Médio'!$C25:$Z$32,$A12,FALSE),"Janela")))</f>
        <v>Janela</v>
      </c>
      <c r="F12" s="42" t="str">
        <f>IF((COUNTIF('Horário - Graduação'!$C52:$AW52,"*"&amp;$C$1&amp;"*")+COUNTIF('Horário - Ensino Médio'!$C40:$Z40,"*"&amp;$C$1&amp;"*"))&gt;1,CONCAT("[CHOQUE] - ",IFERROR(HLOOKUP("*"&amp;$C$1&amp;"*",'Horário - Graduação'!$C52:$AW$65,$B12,FALSE),IFERROR(HLOOKUP("*"&amp;$C$1&amp;"*",'Horário - Ensino Médio'!$C40:$Z$47,$A12,FALSE),"Janela"))),IFERROR(HLOOKUP("*"&amp;$C$1&amp;"*",'Horário - Graduação'!$C52:$AW$65,$B12,FALSE),IFERROR(HLOOKUP("*"&amp;$C$1&amp;"*",'Horário - Ensino Médio'!$C40:$Z$47,$A12,FALSE),"Janela")))</f>
        <v>Janela</v>
      </c>
      <c r="G12" s="42" t="str">
        <f>IF((COUNTIF('Horário - Graduação'!$C73:$AW73,"*"&amp;$C$1&amp;"*")+COUNTIF('Horário - Ensino Médio'!$C55:$Z55,"*"&amp;$C$1&amp;"*"))&gt;1,CONCAT("[CHOQUE] - ",IFERROR(HLOOKUP("*"&amp;$C$1&amp;"*",'Horário - Graduação'!$C73:$AW$86,$B12,FALSE),IFERROR(HLOOKUP("*"&amp;$C$1&amp;"*",'Horário - Ensino Médio'!$C55:$Z$62,$A12,FALSE),"Janela"))),IFERROR(HLOOKUP("*"&amp;$C$1&amp;"*",'Horário - Graduação'!$C73:$AW$86,$B12,FALSE),IFERROR(HLOOKUP("*"&amp;$C$1&amp;"*",'Horário - Ensino Médio'!$C55:$Z$62,$A12,FALSE),"Janela")))</f>
        <v>Janela</v>
      </c>
      <c r="H12" s="42" t="str">
        <f>IF((COUNTIF('Horário - Graduação'!$C94:$AW94,"*"&amp;$C$1&amp;"*")+COUNTIF(#REF!,"*"&amp;$C$1&amp;"*"))&gt;1,CONCAT("[CHOQUE] - ",IFERROR(HLOOKUP("*"&amp;$C$1&amp;"*",'Horário - Graduação'!$C94:$AW$107,$B12,FALSE),IFERROR(HLOOKUP("*"&amp;$C$1&amp;"*",'Horário - Ensino Médio'!$C75:$Z$77,$A12,FALSE),"Janela"))),IFERROR(HLOOKUP("*"&amp;$C$1&amp;"*",'Horário - Graduação'!$C94:$AW$107,$B12,FALSE),IFERROR(HLOOKUP("*"&amp;$C$1&amp;"*",'Horário - Ensino Médio'!$C75:$Z$77,$A12,FALSE),"Janela")))</f>
        <v>#REF!</v>
      </c>
      <c r="I12" s="56"/>
      <c r="J12" s="82"/>
    </row>
    <row r="13" ht="25.5" customHeight="1">
      <c r="A13" s="25">
        <v>6.0</v>
      </c>
      <c r="B13" s="29">
        <v>13.0</v>
      </c>
      <c r="C13" s="20" t="s">
        <v>138</v>
      </c>
      <c r="D13" s="42" t="str">
        <f>IF((COUNTIF('Horário - Graduação'!$C11:$AW11,"*"&amp;$C$1&amp;"*")+COUNTIF('Horário - Ensino Médio'!$C11:$Z11,"*"&amp;$C$1&amp;"*"))&gt;1,CONCAT("[CHOQUE] - ",IFERROR(HLOOKUP("*"&amp;$C$1&amp;"*",'Horário - Graduação'!$C11:$AW$23,$B13,FALSE),IFERROR(HLOOKUP("*"&amp;$C$1&amp;"*",'Horário - Ensino Médio'!$C11:$Z$17,$A13,FALSE),"Janela"))),IFERROR(HLOOKUP("*"&amp;$C$1&amp;"*",'Horário - Graduação'!$C11:$AW$23,$B13,FALSE),IFERROR(HLOOKUP("*"&amp;$C$1&amp;"*",'Horário - Ensino Médio'!$C11:$Z$17,$A13,FALSE),"Janela")))</f>
        <v>Janela</v>
      </c>
      <c r="E13" s="42" t="str">
        <f>IF((COUNTIF('Horário - Graduação'!$C32:$AW32,"*"&amp;$C$1&amp;"*")+COUNTIF('Horário - Ensino Médio'!$C26:$Z26,"*"&amp;$C$1&amp;"*"))&gt;1,CONCAT("[CHOQUE] - ",IFERROR(HLOOKUP("*"&amp;$C$1&amp;"*",'Horário - Graduação'!$C32:$AW$44,$B13,FALSE),IFERROR(HLOOKUP("*"&amp;$C$1&amp;"*",'Horário - Ensino Médio'!$C26:$Z$32,$A13,FALSE),"Janela"))),IFERROR(HLOOKUP("*"&amp;$C$1&amp;"*",'Horário - Graduação'!$C32:$AW$44,$B13,FALSE),IFERROR(HLOOKUP("*"&amp;$C$1&amp;"*",'Horário - Ensino Médio'!$C26:$Z$32,$A13,FALSE),"Janela")))</f>
        <v>Janela</v>
      </c>
      <c r="F13" s="42" t="str">
        <f>IF((COUNTIF('Horário - Graduação'!$C53:$AW53,"*"&amp;$C$1&amp;"*")+COUNTIF('Horário - Ensino Médio'!$C41:$Z41,"*"&amp;$C$1&amp;"*"))&gt;1,CONCAT("[CHOQUE] - ",IFERROR(HLOOKUP("*"&amp;$C$1&amp;"*",'Horário - Graduação'!$C53:$AW$65,$B13,FALSE),IFERROR(HLOOKUP("*"&amp;$C$1&amp;"*",'Horário - Ensino Médio'!$C41:$Z$47,$A13,FALSE),"Janela"))),IFERROR(HLOOKUP("*"&amp;$C$1&amp;"*",'Horário - Graduação'!$C53:$AW$65,$B13,FALSE),IFERROR(HLOOKUP("*"&amp;$C$1&amp;"*",'Horário - Ensino Médio'!$C41:$Z$47,$A13,FALSE),"Janela")))</f>
        <v>Janela</v>
      </c>
      <c r="G13" s="42" t="str">
        <f>IF((COUNTIF('Horário - Graduação'!$C74:$AW74,"*"&amp;$C$1&amp;"*")+COUNTIF('Horário - Ensino Médio'!$C56:$Z56,"*"&amp;$C$1&amp;"*"))&gt;1,CONCAT("[CHOQUE] - ",IFERROR(HLOOKUP("*"&amp;$C$1&amp;"*",'Horário - Graduação'!$C74:$AW$86,$B13,FALSE),IFERROR(HLOOKUP("*"&amp;$C$1&amp;"*",'Horário - Ensino Médio'!$C56:$Z$62,$A13,FALSE),"Janela"))),IFERROR(HLOOKUP("*"&amp;$C$1&amp;"*",'Horário - Graduação'!$C74:$AW$86,$B13,FALSE),IFERROR(HLOOKUP("*"&amp;$C$1&amp;"*",'Horário - Ensino Médio'!$C56:$Z$62,$A13,FALSE),"Janela")))</f>
        <v>Janela</v>
      </c>
      <c r="H13" s="42" t="str">
        <f>IF((COUNTIF('Horário - Graduação'!$C95:$AW95,"*"&amp;$C$1&amp;"*")+COUNTIF(#REF!,"*"&amp;$C$1&amp;"*"))&gt;1,CONCAT("[CHOQUE] - ",IFERROR(HLOOKUP("*"&amp;$C$1&amp;"*",'Horário - Graduação'!$C95:$AW$107,$B13,FALSE),IFERROR(HLOOKUP("*"&amp;$C$1&amp;"*",'Horário - Ensino Médio'!$C75:$Z$77,$A13,FALSE),"Janela"))),IFERROR(HLOOKUP("*"&amp;$C$1&amp;"*",'Horário - Graduação'!$C95:$AW$107,$B13,FALSE),IFERROR(HLOOKUP("*"&amp;$C$1&amp;"*",'Horário - Ensino Médio'!$C75:$Z$77,$A13,FALSE),"Janela")))</f>
        <v>#REF!</v>
      </c>
      <c r="I13" s="56"/>
      <c r="J13" s="71"/>
    </row>
    <row r="14" ht="15.75" customHeight="1">
      <c r="A14" s="25">
        <v>5.0</v>
      </c>
      <c r="B14" s="29">
        <v>12.0</v>
      </c>
      <c r="C14" s="77" t="s">
        <v>111</v>
      </c>
      <c r="D14" s="69" t="s">
        <v>111</v>
      </c>
      <c r="E14" s="69" t="s">
        <v>111</v>
      </c>
      <c r="F14" s="69" t="s">
        <v>111</v>
      </c>
      <c r="G14" s="69" t="s">
        <v>111</v>
      </c>
      <c r="H14" s="69" t="s">
        <v>111</v>
      </c>
      <c r="I14" s="18"/>
      <c r="J14" s="71"/>
    </row>
    <row r="15" ht="25.5" customHeight="1">
      <c r="A15" s="25">
        <v>4.0</v>
      </c>
      <c r="B15" s="29">
        <v>11.0</v>
      </c>
      <c r="C15" s="20" t="s">
        <v>141</v>
      </c>
      <c r="D15" s="42" t="str">
        <f>IF((COUNTIF('Horário - Graduação'!$C13:$AW13,"*"&amp;$C$1&amp;"*")+COUNTIF('Horário - Ensino Médio'!$C13:$Z13,"*"&amp;$C$1&amp;"*"))&gt;1,CONCAT("[CHOQUE] - ",IFERROR(HLOOKUP("*"&amp;$C$1&amp;"*",'Horário - Graduação'!$C13:$AW$23,$B15,FALSE),IFERROR(HLOOKUP("*"&amp;$C$1&amp;"*",'Horário - Ensino Médio'!$C13:$Z$17,$A15,FALSE),"Janela"))),IFERROR(HLOOKUP("*"&amp;$C$1&amp;"*",'Horário - Graduação'!$C13:$AW$23,$B15,FALSE),IFERROR(HLOOKUP("*"&amp;$C$1&amp;"*",'Horário - Ensino Médio'!$C13:$Z$17,$A15,FALSE),"Janela")))</f>
        <v>Janela</v>
      </c>
      <c r="E15" s="42" t="str">
        <f>IF((COUNTIF('Horário - Graduação'!$C34:$AW34,"*"&amp;$C$1&amp;"*")+COUNTIF('Horário - Ensino Médio'!$C28:$Z28,"*"&amp;$C$1&amp;"*"))&gt;1,CONCAT("[CHOQUE] - ",IFERROR(HLOOKUP("*"&amp;$C$1&amp;"*",'Horário - Graduação'!$C34:$AW$44,$B15,FALSE),IFERROR(HLOOKUP("*"&amp;$C$1&amp;"*",'Horário - Ensino Médio'!$C28:$Z$32,$A15,FALSE),"Janela"))),IFERROR(HLOOKUP("*"&amp;$C$1&amp;"*",'Horário - Graduação'!$C34:$AW$44,$B15,FALSE),IFERROR(HLOOKUP("*"&amp;$C$1&amp;"*",'Horário - Ensino Médio'!$C28:$Z$32,$A15,FALSE),"Janela")))</f>
        <v>Janela</v>
      </c>
      <c r="F15" s="42" t="str">
        <f>IF((COUNTIF('Horário - Graduação'!$C55:$AW55,"*"&amp;$C$1&amp;"*")+COUNTIF('Horário - Ensino Médio'!$C43:$Z43,"*"&amp;$C$1&amp;"*"))&gt;1,CONCAT("[CHOQUE] - ",IFERROR(HLOOKUP("*"&amp;$C$1&amp;"*",'Horário - Graduação'!$C55:$AW$65,$B15,FALSE),IFERROR(HLOOKUP("*"&amp;$C$1&amp;"*",'Horário - Ensino Médio'!$C43:$Z$47,$A15,FALSE),"Janela"))),IFERROR(HLOOKUP("*"&amp;$C$1&amp;"*",'Horário - Graduação'!$C55:$AW$65,$B15,FALSE),IFERROR(HLOOKUP("*"&amp;$C$1&amp;"*",'Horário - Ensino Médio'!$C43:$Z$47,$A15,FALSE),"Janela")))</f>
        <v>Janela</v>
      </c>
      <c r="G15" s="42" t="str">
        <f>IF((COUNTIF('Horário - Graduação'!$C76:$AW76,"*"&amp;$C$1&amp;"*")+COUNTIF('Horário - Ensino Médio'!$C58:$Z58,"*"&amp;$C$1&amp;"*"))&gt;1,CONCAT("[CHOQUE] - ",IFERROR(HLOOKUP("*"&amp;$C$1&amp;"*",'Horário - Graduação'!$C76:$AW$86,$B15,FALSE),IFERROR(HLOOKUP("*"&amp;$C$1&amp;"*",'Horário - Ensino Médio'!$C58:$Z$62,$A15,FALSE),"Janela"))),IFERROR(HLOOKUP("*"&amp;$C$1&amp;"*",'Horário - Graduação'!$C76:$AW$86,$B15,FALSE),IFERROR(HLOOKUP("*"&amp;$C$1&amp;"*",'Horário - Ensino Médio'!$C58:$Z$62,$A15,FALSE),"Janela")))</f>
        <v>Janela</v>
      </c>
      <c r="H15" s="42" t="str">
        <f>IF((COUNTIF('Horário - Graduação'!$C97:$AW97,"*"&amp;$C$1&amp;"*")+COUNTIF(#REF!,"*"&amp;$C$1&amp;"*"))&gt;1,CONCAT("[CHOQUE] - ",IFERROR(HLOOKUP("*"&amp;$C$1&amp;"*",'Horário - Graduação'!$C97:$AW$107,$B15,FALSE),IFERROR(HLOOKUP("*"&amp;$C$1&amp;"*",'Horário - Ensino Médio'!$C75:$Z$77,$A15,FALSE),"Janela"))),IFERROR(HLOOKUP("*"&amp;$C$1&amp;"*",'Horário - Graduação'!$C97:$AW$107,$B15,FALSE),IFERROR(HLOOKUP("*"&amp;$C$1&amp;"*",'Horário - Ensino Médio'!$C75:$Z$77,$A15,FALSE),"Janela")))</f>
        <v>#REF!</v>
      </c>
      <c r="I15" s="56"/>
      <c r="J15" s="71"/>
    </row>
    <row r="16" ht="25.5" customHeight="1">
      <c r="A16" s="25">
        <v>3.0</v>
      </c>
      <c r="B16" s="29">
        <v>10.0</v>
      </c>
      <c r="C16" s="20" t="s">
        <v>154</v>
      </c>
      <c r="D16" s="42" t="str">
        <f>IF((COUNTIF('Horário - Graduação'!$C14:$AW14,"*"&amp;$C$1&amp;"*")+COUNTIF('Horário - Ensino Médio'!$C14:$Z14,"*"&amp;$C$1&amp;"*"))&gt;1,CONCAT("[CHOQUE] - ",IFERROR(HLOOKUP("*"&amp;$C$1&amp;"*",'Horário - Graduação'!$C14:$AW$23,$B16,FALSE),IFERROR(HLOOKUP("*"&amp;$C$1&amp;"*",'Horário - Ensino Médio'!$C14:$Z$17,$A16,FALSE),"Janela"))),IFERROR(HLOOKUP("*"&amp;$C$1&amp;"*",'Horário - Graduação'!$C14:$AW$23,$B16,FALSE),IFERROR(HLOOKUP("*"&amp;$C$1&amp;"*",'Horário - Ensino Médio'!$C14:$Z$17,$A16,FALSE),"Janela")))</f>
        <v>Janela</v>
      </c>
      <c r="E16" s="42" t="str">
        <f>IF((COUNTIF('Horário - Graduação'!$C35:$AW35,"*"&amp;$C$1&amp;"*")+COUNTIF('Horário - Ensino Médio'!$C29:$Z29,"*"&amp;$C$1&amp;"*"))&gt;1,CONCAT("[CHOQUE] - ",IFERROR(HLOOKUP("*"&amp;$C$1&amp;"*",'Horário - Graduação'!$C35:$AW$44,$B16,FALSE),IFERROR(HLOOKUP("*"&amp;$C$1&amp;"*",'Horário - Ensino Médio'!$C29:$Z$32,$A16,FALSE),"Janela"))),IFERROR(HLOOKUP("*"&amp;$C$1&amp;"*",'Horário - Graduação'!$C35:$AW$44,$B16,FALSE),IFERROR(HLOOKUP("*"&amp;$C$1&amp;"*",'Horário - Ensino Médio'!$C29:$Z$32,$A16,FALSE),"Janela")))</f>
        <v>Janela</v>
      </c>
      <c r="F16" s="42" t="str">
        <f>IF((COUNTIF('Horário - Graduação'!$C56:$AW56,"*"&amp;$C$1&amp;"*")+COUNTIF('Horário - Ensino Médio'!$C44:$Z44,"*"&amp;$C$1&amp;"*"))&gt;1,CONCAT("[CHOQUE] - ",IFERROR(HLOOKUP("*"&amp;$C$1&amp;"*",'Horário - Graduação'!$C56:$AW$65,$B16,FALSE),IFERROR(HLOOKUP("*"&amp;$C$1&amp;"*",'Horário - Ensino Médio'!$C44:$Z$47,$A16,FALSE),"Janela"))),IFERROR(HLOOKUP("*"&amp;$C$1&amp;"*",'Horário - Graduação'!$C56:$AW$65,$B16,FALSE),IFERROR(HLOOKUP("*"&amp;$C$1&amp;"*",'Horário - Ensino Médio'!$C44:$Z$47,$A16,FALSE),"Janela")))</f>
        <v>Janela</v>
      </c>
      <c r="G16" s="42" t="str">
        <f>IF((COUNTIF('Horário - Graduação'!$C77:$AW77,"*"&amp;$C$1&amp;"*")+COUNTIF('Horário - Ensino Médio'!$C59:$Z59,"*"&amp;$C$1&amp;"*"))&gt;1,CONCAT("[CHOQUE] - ",IFERROR(HLOOKUP("*"&amp;$C$1&amp;"*",'Horário - Graduação'!$C77:$AW$86,$B16,FALSE),IFERROR(HLOOKUP("*"&amp;$C$1&amp;"*",'Horário - Ensino Médio'!$C59:$Z$62,$A16,FALSE),"Janela"))),IFERROR(HLOOKUP("*"&amp;$C$1&amp;"*",'Horário - Graduação'!$C77:$AW$86,$B16,FALSE),IFERROR(HLOOKUP("*"&amp;$C$1&amp;"*",'Horário - Ensino Médio'!$C59:$Z$62,$A16,FALSE),"Janela")))</f>
        <v>Janela</v>
      </c>
      <c r="H16" s="42" t="str">
        <f>IF((COUNTIF('Horário - Graduação'!$C98:$AW98,"*"&amp;$C$1&amp;"*")+COUNTIF(#REF!,"*"&amp;$C$1&amp;"*"))&gt;1,CONCAT("[CHOQUE] - ",IFERROR(HLOOKUP("*"&amp;$C$1&amp;"*",'Horário - Graduação'!$C98:$AW$107,$B16,FALSE),IFERROR(HLOOKUP("*"&amp;$C$1&amp;"*",'Horário - Ensino Médio'!$C75:$Z$77,$A16,FALSE),"Janela"))),IFERROR(HLOOKUP("*"&amp;$C$1&amp;"*",'Horário - Graduação'!$C98:$AW$107,$B16,FALSE),IFERROR(HLOOKUP("*"&amp;$C$1&amp;"*",'Horário - Ensino Médio'!$C75:$Z$77,$A16,FALSE),"Janela")))</f>
        <v>#REF!</v>
      </c>
      <c r="I16" s="56"/>
      <c r="J16" s="71"/>
    </row>
    <row r="17" ht="25.5" customHeight="1">
      <c r="A17" s="25">
        <v>2.0</v>
      </c>
      <c r="B17" s="29">
        <v>9.0</v>
      </c>
      <c r="C17" s="20" t="s">
        <v>155</v>
      </c>
      <c r="D17" s="42" t="str">
        <f>IF((COUNTIF('Horário - Graduação'!$C15:$AW15,"*"&amp;$C$1&amp;"*")+COUNTIF('Horário - Ensino Médio'!$C15:$Z15,"*"&amp;$C$1&amp;"*"))&gt;1,CONCAT("[CHOQUE] - ",IFERROR(HLOOKUP("*"&amp;$C$1&amp;"*",'Horário - Graduação'!$C15:$AW$23,$B17,FALSE),IFERROR(HLOOKUP("*"&amp;$C$1&amp;"*",'Horário - Ensino Médio'!$C15:$Z$17,$A17,FALSE),"Janela"))),IFERROR(HLOOKUP("*"&amp;$C$1&amp;"*",'Horário - Graduação'!$C15:$AW$23,$B17,FALSE),IFERROR(HLOOKUP("*"&amp;$C$1&amp;"*",'Horário - Ensino Médio'!$C15:$Z$17,$A17,FALSE),"Janela")))</f>
        <v>Janela</v>
      </c>
      <c r="E17" s="42" t="str">
        <f>IF((COUNTIF('Horário - Graduação'!$C36:$AW36,"*"&amp;$C$1&amp;"*")+COUNTIF('Horário - Ensino Médio'!$C30:$Z30,"*"&amp;$C$1&amp;"*"))&gt;1,CONCAT("[CHOQUE] - ",IFERROR(HLOOKUP("*"&amp;$C$1&amp;"*",'Horário - Graduação'!$C36:$AW$44,$B17,FALSE),IFERROR(HLOOKUP("*"&amp;$C$1&amp;"*",'Horário - Ensino Médio'!$C30:$Z$32,$A17,FALSE),"Janela"))),IFERROR(HLOOKUP("*"&amp;$C$1&amp;"*",'Horário - Graduação'!$C36:$AW$44,$B17,FALSE),IFERROR(HLOOKUP("*"&amp;$C$1&amp;"*",'Horário - Ensino Médio'!$C30:$Z$32,$A17,FALSE),"Janela")))</f>
        <v>Janela</v>
      </c>
      <c r="F17" s="42" t="str">
        <f>IF((COUNTIF('Horário - Graduação'!$C57:$AW57,"*"&amp;$C$1&amp;"*")+COUNTIF('Horário - Ensino Médio'!$C45:$Z45,"*"&amp;$C$1&amp;"*"))&gt;1,CONCAT("[CHOQUE] - ",IFERROR(HLOOKUP("*"&amp;$C$1&amp;"*",'Horário - Graduação'!$C57:$AW$65,$B17,FALSE),IFERROR(HLOOKUP("*"&amp;$C$1&amp;"*",'Horário - Ensino Médio'!$C45:$Z$47,$A17,FALSE),"Janela"))),IFERROR(HLOOKUP("*"&amp;$C$1&amp;"*",'Horário - Graduação'!$C57:$AW$65,$B17,FALSE),IFERROR(HLOOKUP("*"&amp;$C$1&amp;"*",'Horário - Ensino Médio'!$C45:$Z$47,$A17,FALSE),"Janela")))</f>
        <v>8º PERÍODO
Lic. Pedagogia</v>
      </c>
      <c r="G17" s="42" t="str">
        <f>IF((COUNTIF('Horário - Graduação'!$C78:$AW78,"*"&amp;$C$1&amp;"*")+COUNTIF('Horário - Ensino Médio'!$C60:$Z60,"*"&amp;$C$1&amp;"*"))&gt;1,CONCAT("[CHOQUE] - ",IFERROR(HLOOKUP("*"&amp;$C$1&amp;"*",'Horário - Graduação'!$C78:$AW$86,$B17,FALSE),IFERROR(HLOOKUP("*"&amp;$C$1&amp;"*",'Horário - Ensino Médio'!$C60:$Z$62,$A17,FALSE),"Janela"))),IFERROR(HLOOKUP("*"&amp;$C$1&amp;"*",'Horário - Graduação'!$C78:$AW$86,$B17,FALSE),IFERROR(HLOOKUP("*"&amp;$C$1&amp;"*",'Horário - Ensino Médio'!$C60:$Z$62,$A17,FALSE),"Janela")))</f>
        <v>Janela</v>
      </c>
      <c r="H17" s="42" t="str">
        <f>IF((COUNTIF('Horário - Graduação'!$C99:$AW99,"*"&amp;$C$1&amp;"*")+COUNTIF('Horário - Ensino Médio'!$C75:$Z75,"*"&amp;$C$1&amp;"*"))&gt;1,CONCAT("[CHOQUE] - ",IFERROR(HLOOKUP("*"&amp;$C$1&amp;"*",'Horário - Graduação'!$C99:$AW$107,$B17,FALSE),IFERROR(HLOOKUP("*"&amp;$C$1&amp;"*",'Horário - Ensino Médio'!$C75:$Z$77,$A17,FALSE),"Janela"))),IFERROR(HLOOKUP("*"&amp;$C$1&amp;"*",'Horário - Graduação'!$C99:$AW$107,$B17,FALSE),IFERROR(HLOOKUP("*"&amp;$C$1&amp;"*",'Horário - Ensino Médio'!$C75:$Z$77,$A17,FALSE),"Janela")))</f>
        <v>Janela</v>
      </c>
      <c r="I17" s="56"/>
      <c r="J17" s="82"/>
    </row>
    <row r="18" ht="15.75" customHeight="1">
      <c r="A18" s="25"/>
      <c r="B18" s="29">
        <v>8.0</v>
      </c>
      <c r="C18" s="77" t="s">
        <v>111</v>
      </c>
      <c r="D18" s="69" t="s">
        <v>111</v>
      </c>
      <c r="E18" s="69" t="s">
        <v>111</v>
      </c>
      <c r="F18" s="69" t="s">
        <v>111</v>
      </c>
      <c r="G18" s="69" t="s">
        <v>111</v>
      </c>
      <c r="H18" s="69" t="s">
        <v>111</v>
      </c>
      <c r="I18" s="18"/>
      <c r="J18" s="71"/>
    </row>
    <row r="19" ht="25.5" customHeight="1">
      <c r="A19" s="25">
        <v>1.0</v>
      </c>
      <c r="B19" s="29">
        <v>7.0</v>
      </c>
      <c r="C19" s="20" t="s">
        <v>164</v>
      </c>
      <c r="D19" s="42" t="str">
        <f>IF((COUNTIF('Horário - Graduação'!$C17:$AW17,"*"&amp;$C$1&amp;"*"))&gt;1,CONCAT("[CHOQUE] - ",IFERROR(HLOOKUP("*"&amp;$C$1&amp;"*",'Horário - Graduação'!$C17:$AW$23,$B19,FALSE),"Janela")),IFERROR(HLOOKUP("*"&amp;$C$1&amp;"*",'Horário - Graduação'!$C17:$AW$23,$B19,FALSE),"Janela"))</f>
        <v>Janela</v>
      </c>
      <c r="E19" s="42" t="str">
        <f>IF((COUNTIF('Horário - Graduação'!$C38:$AW38,"*"&amp;$C$1&amp;"*"))&gt;1,CONCAT("[CHOQUE] - ",IFERROR(HLOOKUP("*"&amp;$C$1&amp;"*",'Horário - Graduação'!$C38:$AW$44,$B19,FALSE),"Janela")),IFERROR(HLOOKUP("*"&amp;$C$1&amp;"*",'Horário - Graduação'!$C38:$AW$44,$B19,FALSE),"Janela"))</f>
        <v>Janela</v>
      </c>
      <c r="F19" s="42" t="str">
        <f>IF((COUNTIF('Horário - Graduação'!$C59:$AW59,"*"&amp;$C$1&amp;"*"))&gt;1,CONCAT("[CHOQUE] - ",IFERROR(HLOOKUP("*"&amp;$C$1&amp;"*",'Horário - Graduação'!$C59:$AW$65,$B19,FALSE),"Janela")),IFERROR(HLOOKUP("*"&amp;$C$1&amp;"*",'Horário - Graduação'!$C59:$AW$65,$B19,FALSE),"Janela"))</f>
        <v>8º PERÍODO
Lic. Pedagogia</v>
      </c>
      <c r="G19" s="42" t="str">
        <f>IF((COUNTIF('Horário - Graduação'!$C80:$AW80,"*"&amp;$C$1&amp;"*"))&gt;1,CONCAT("[CHOQUE] - ",IFERROR(HLOOKUP("*"&amp;$C$1&amp;"*",'Horário - Graduação'!$C80:$AW$86,$B19,FALSE),"Janela")),IFERROR(HLOOKUP("*"&amp;$C$1&amp;"*",'Horário - Graduação'!$C80:$AW$86,$B19,FALSE),"Janela"))</f>
        <v>Janela</v>
      </c>
      <c r="H19" s="42" t="str">
        <f>IF((COUNTIF('Horário - Graduação'!$C101:$AW101,"*"&amp;$C$1&amp;"*"))&gt;1,CONCAT("[CHOQUE] - ",IFERROR(HLOOKUP("*"&amp;$C$1&amp;"*",'Horário - Graduação'!$C101:$AW$107,$B19,FALSE),"Janela")),IFERROR(HLOOKUP("*"&amp;$C$1&amp;"*",'Horário - Graduação'!$C101:$AW$107,$B19,FALSE),"Janela"))</f>
        <v>Janela</v>
      </c>
      <c r="I19" s="56"/>
      <c r="J19" s="71"/>
    </row>
    <row r="20" ht="25.5" customHeight="1">
      <c r="A20" s="25"/>
      <c r="B20" s="29">
        <v>6.0</v>
      </c>
      <c r="C20" s="20" t="s">
        <v>174</v>
      </c>
      <c r="D20" s="42" t="str">
        <f>IF((COUNTIF('Horário - Graduação'!$C18:$AW18,"*"&amp;$C$1&amp;"*"))&gt;1,CONCAT("[CHOQUE] - ",IFERROR(HLOOKUP("*"&amp;$C$1&amp;"*",'Horário - Graduação'!$C18:$AW$23,$B20,FALSE),"Janela")),IFERROR(HLOOKUP("*"&amp;$C$1&amp;"*",'Horário - Graduação'!$C18:$AW$23,$B20,FALSE),"Janela"))</f>
        <v>4º PERÍODO
Lic. Pedagogia</v>
      </c>
      <c r="E20" s="42" t="str">
        <f>IF((COUNTIF('Horário - Graduação'!$C39:$AW39,"*"&amp;$C$1&amp;"*"))&gt;1,CONCAT("[CHOQUE] - ",IFERROR(HLOOKUP("*"&amp;$C$1&amp;"*",'Horário - Graduação'!$C39:$AW$44,$B20,FALSE),"Janela")),IFERROR(HLOOKUP("*"&amp;$C$1&amp;"*",'Horário - Graduação'!$C39:$AW$44,$B20,FALSE),"Janela"))</f>
        <v>8º PERÍODO
Lic. Pedagogia</v>
      </c>
      <c r="F20" s="42" t="str">
        <f>IF((COUNTIF('Horário - Graduação'!$C60:$AW60,"*"&amp;$C$1&amp;"*"))&gt;1,CONCAT("[CHOQUE] - ",IFERROR(HLOOKUP("*"&amp;$C$1&amp;"*",'Horário - Graduação'!$C60:$AW$65,$B20,FALSE),"Janela")),IFERROR(HLOOKUP("*"&amp;$C$1&amp;"*",'Horário - Graduação'!$C60:$AW$65,$B20,FALSE),"Janela"))</f>
        <v>8º PERÍODO
Lic. Pedagogia</v>
      </c>
      <c r="G20" s="42" t="str">
        <f>IF((COUNTIF('Horário - Graduação'!$C81:$AW81,"*"&amp;$C$1&amp;"*"))&gt;1,CONCAT("[CHOQUE] - ",IFERROR(HLOOKUP("*"&amp;$C$1&amp;"*",'Horário - Graduação'!$C81:$AW$86,$B20,FALSE),"Janela")),IFERROR(HLOOKUP("*"&amp;$C$1&amp;"*",'Horário - Graduação'!$C81:$AW$86,$B20,FALSE),"Janela"))</f>
        <v>Janela</v>
      </c>
      <c r="H20" s="42" t="str">
        <f>IF((COUNTIF('Horário - Graduação'!$C102:$AW102,"*"&amp;$C$1&amp;"*"))&gt;1,CONCAT("[CHOQUE] - ",IFERROR(HLOOKUP("*"&amp;$C$1&amp;"*",'Horário - Graduação'!$C102:$AW$107,$B20,FALSE),"Janela")),IFERROR(HLOOKUP("*"&amp;$C$1&amp;"*",'Horário - Graduação'!$C102:$AW$107,$B20,FALSE),"Janela"))</f>
        <v>Janela</v>
      </c>
      <c r="I20" s="56"/>
      <c r="J20" s="82"/>
    </row>
    <row r="21" ht="25.5" customHeight="1">
      <c r="A21" s="25"/>
      <c r="B21" s="29">
        <v>5.0</v>
      </c>
      <c r="C21" s="20" t="s">
        <v>193</v>
      </c>
      <c r="D21" s="42" t="str">
        <f>IF((COUNTIF('Horário - Graduação'!$C19:$AW19,"*"&amp;$C$1&amp;"*"))&gt;1,CONCAT("[CHOQUE] - ",IFERROR(HLOOKUP("*"&amp;$C$1&amp;"*",'Horário - Graduação'!$C19:$AW$23,$B21,FALSE),"Janela")),IFERROR(HLOOKUP("*"&amp;$C$1&amp;"*",'Horário - Graduação'!$C19:$AW$23,$B21,FALSE),"Janela"))</f>
        <v>4º PERÍODO
Lic. Pedagogia</v>
      </c>
      <c r="E21" s="42" t="str">
        <f>IF((COUNTIF('Horário - Graduação'!$C40:$AW40,"*"&amp;$C$1&amp;"*"))&gt;1,CONCAT("[CHOQUE] - ",IFERROR(HLOOKUP("*"&amp;$C$1&amp;"*",'Horário - Graduação'!$C40:$AW$44,$B21,FALSE),"Janela")),IFERROR(HLOOKUP("*"&amp;$C$1&amp;"*",'Horário - Graduação'!$C40:$AW$44,$B21,FALSE),"Janela"))</f>
        <v>8º PERÍODO
Lic. Pedagogia</v>
      </c>
      <c r="F21" s="42" t="str">
        <f>IF((COUNTIF('Horário - Graduação'!$C61:$AW61,"*"&amp;$C$1&amp;"*"))&gt;1,CONCAT("[CHOQUE] - ",IFERROR(HLOOKUP("*"&amp;$C$1&amp;"*",'Horário - Graduação'!$C61:$AW$65,$B21,FALSE),"Janela")),IFERROR(HLOOKUP("*"&amp;$C$1&amp;"*",'Horário - Graduação'!$C61:$AW$65,$B21,FALSE),"Janela"))</f>
        <v>8º PERÍODO
Lic. Pedagogia</v>
      </c>
      <c r="G21" s="42" t="str">
        <f>IF((COUNTIF('Horário - Graduação'!$C82:$AW82,"*"&amp;$C$1&amp;"*"))&gt;1,CONCAT("[CHOQUE] - ",IFERROR(HLOOKUP("*"&amp;$C$1&amp;"*",'Horário - Graduação'!$C82:$AW$86,$B21,FALSE),"Janela")),IFERROR(HLOOKUP("*"&amp;$C$1&amp;"*",'Horário - Graduação'!$C82:$AW$86,$B21,FALSE),"Janela"))</f>
        <v>Janela</v>
      </c>
      <c r="H21" s="42" t="str">
        <f>IF((COUNTIF('Horário - Graduação'!$C103:$AW103,"*"&amp;$C$1&amp;"*"))&gt;1,CONCAT("[CHOQUE] - ",IFERROR(HLOOKUP("*"&amp;$C$1&amp;"*",'Horário - Graduação'!$C103:$AW$107,$B21,FALSE),"Janela")),IFERROR(HLOOKUP("*"&amp;$C$1&amp;"*",'Horário - Graduação'!$C103:$AW$107,$B21,FALSE),"Janela"))</f>
        <v>Janela</v>
      </c>
      <c r="I21" s="56"/>
      <c r="J21" s="71"/>
    </row>
    <row r="22" ht="15.75" customHeight="1">
      <c r="A22" s="25"/>
      <c r="B22" s="29">
        <v>4.0</v>
      </c>
      <c r="C22" s="77" t="s">
        <v>111</v>
      </c>
      <c r="D22" s="69" t="s">
        <v>111</v>
      </c>
      <c r="E22" s="69" t="s">
        <v>111</v>
      </c>
      <c r="F22" s="69" t="s">
        <v>111</v>
      </c>
      <c r="G22" s="69" t="s">
        <v>111</v>
      </c>
      <c r="H22" s="69" t="s">
        <v>111</v>
      </c>
      <c r="I22" s="18"/>
      <c r="J22" s="71"/>
    </row>
    <row r="23" ht="25.5" customHeight="1">
      <c r="A23" s="25"/>
      <c r="B23" s="29">
        <v>3.0</v>
      </c>
      <c r="C23" s="20" t="s">
        <v>198</v>
      </c>
      <c r="D23" s="42" t="str">
        <f>IF((COUNTIF('Horário - Graduação'!$C21:$AW21,"*"&amp;$C$1&amp;"*"))&gt;1,CONCAT("[CHOQUE] - ",IFERROR(HLOOKUP("*"&amp;$C$1&amp;"*",'Horário - Graduação'!$C21:$AW$23,$B23,FALSE),"Janela")),IFERROR(HLOOKUP("*"&amp;$C$1&amp;"*",'Horário - Graduação'!$C21:$AW$23,$B23,FALSE),"Janela"))</f>
        <v>4º PERÍODO
Lic. Pedagogia</v>
      </c>
      <c r="E23" s="42" t="str">
        <f>IF((COUNTIF('Horário - Graduação'!$C42:$AW42,"*"&amp;$C$1&amp;"*"))&gt;1,CONCAT("[CHOQUE] - ",IFERROR(HLOOKUP("*"&amp;$C$1&amp;"*",'Horário - Graduação'!$C42:$AW$44,$B23,FALSE),"Janela")),IFERROR(HLOOKUP("*"&amp;$C$1&amp;"*",'Horário - Graduação'!$C42:$AW$44,$B23,FALSE),"Janela"))</f>
        <v>8º PERÍODO
Lic. Pedagogia</v>
      </c>
      <c r="F23" s="42" t="str">
        <f>IF((COUNTIF('Horário - Graduação'!$C63:$AW63,"*"&amp;$C$1&amp;"*"))&gt;1,CONCAT("[CHOQUE] - ",IFERROR(HLOOKUP("*"&amp;$C$1&amp;"*",'Horário - Graduação'!$C63:$AW$65,$B23,FALSE),"Janela")),IFERROR(HLOOKUP("*"&amp;$C$1&amp;"*",'Horário - Graduação'!$C63:$AW$65,$B23,FALSE),"Janela"))</f>
        <v>Janela</v>
      </c>
      <c r="G23" s="42" t="str">
        <f>IF((COUNTIF('Horário - Graduação'!$C84:$AW84,"*"&amp;$C$1&amp;"*"))&gt;1,CONCAT("[CHOQUE] - ",IFERROR(HLOOKUP("*"&amp;$C$1&amp;"*",'Horário - Graduação'!$C84:$AW$86,$B23,FALSE),"Janela")),IFERROR(HLOOKUP("*"&amp;$C$1&amp;"*",'Horário - Graduação'!$C84:$AW$86,$B23,FALSE),"Janela"))</f>
        <v>Janela</v>
      </c>
      <c r="H23" s="42" t="str">
        <f>IF((COUNTIF('Horário - Graduação'!$C105:$AW105,"*"&amp;$C$1&amp;"*"))&gt;1,CONCAT("[CHOQUE] - ",IFERROR(HLOOKUP("*"&amp;$C$1&amp;"*",'Horário - Graduação'!$C105:$AW$107,$B23,FALSE),"Janela")),IFERROR(HLOOKUP("*"&amp;$C$1&amp;"*",'Horário - Graduação'!$C105:$AW$107,$B23,FALSE),"Janela"))</f>
        <v>Janela</v>
      </c>
      <c r="I23" s="56"/>
      <c r="J23" s="71"/>
    </row>
    <row r="24" ht="25.5" customHeight="1">
      <c r="A24" s="25"/>
      <c r="B24" s="29">
        <v>2.0</v>
      </c>
      <c r="C24" s="20" t="s">
        <v>210</v>
      </c>
      <c r="D24" s="42" t="str">
        <f>IF((COUNTIF('Horário - Graduação'!$C22:$AW22,"*"&amp;$C$1&amp;"*"))&gt;1,CONCAT("[CHOQUE] - ",IFERROR(HLOOKUP("*"&amp;$C$1&amp;"*",'Horário - Graduação'!$C22:$AW$23,$B24,FALSE),"Janela")),IFERROR(HLOOKUP("*"&amp;$C$1&amp;"*",'Horário - Graduação'!$C22:$AW$23,$B24,FALSE),"Janela"))</f>
        <v>4º PERÍODO
Lic. Pedagogia</v>
      </c>
      <c r="E24" s="42" t="str">
        <f>IF((COUNTIF('Horário - Graduação'!$C43:$AW43,"*"&amp;$C$1&amp;"*"))&gt;1,CONCAT("[CHOQUE] - ",IFERROR(HLOOKUP("*"&amp;$C$1&amp;"*",'Horário - Graduação'!$C43:$AW$44,$B24,FALSE),"Janela")),IFERROR(HLOOKUP("*"&amp;$C$1&amp;"*",'Horário - Graduação'!$C43:$AW$44,$B24,FALSE),"Janela"))</f>
        <v>8º PERÍODO
Lic. Pedagogia</v>
      </c>
      <c r="F24" s="42" t="str">
        <f>IF((COUNTIF('Horário - Graduação'!$C64:$AW64,"*"&amp;$C$1&amp;"*"))&gt;1,CONCAT("[CHOQUE] - ",IFERROR(HLOOKUP("*"&amp;$C$1&amp;"*",'Horário - Graduação'!$C64:$AW$65,$B24,FALSE),"Janela")),IFERROR(HLOOKUP("*"&amp;$C$1&amp;"*",'Horário - Graduação'!$C64:$AW$65,$B24,FALSE),"Janela"))</f>
        <v>Janela</v>
      </c>
      <c r="G24" s="42" t="str">
        <f>IF((COUNTIF('Horário - Graduação'!$C85:$AW85,"*"&amp;$C$1&amp;"*"))&gt;1,CONCAT("[CHOQUE] - ",IFERROR(HLOOKUP("*"&amp;$C$1&amp;"*",'Horário - Graduação'!$C85:$AW$86,$B24,FALSE),"Janela")),IFERROR(HLOOKUP("*"&amp;$C$1&amp;"*",'Horário - Graduação'!$C85:$AW$86,$B24,FALSE),"Janela"))</f>
        <v>Janela</v>
      </c>
      <c r="H24" s="42" t="str">
        <f>IF((COUNTIF('Horário - Graduação'!$C106:$AW106,"*"&amp;$C$1&amp;"*"))&gt;1,CONCAT("[CHOQUE] - ",IFERROR(HLOOKUP("*"&amp;$C$1&amp;"*",'Horário - Graduação'!$C106:$AW$107,$B24,FALSE),"Janela")),IFERROR(HLOOKUP("*"&amp;$C$1&amp;"*",'Horário - Graduação'!$C106:$AW$107,$B24,FALSE),"Janela"))</f>
        <v>Janela</v>
      </c>
      <c r="I24" s="56"/>
      <c r="J24" s="71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</row>
  </sheetData>
  <mergeCells count="2">
    <mergeCell ref="A1:B1"/>
    <mergeCell ref="C1:H1"/>
  </mergeCells>
  <conditionalFormatting sqref="B5:B24 D5:H21 D23:H24 I5:I24 J7:J24">
    <cfRule type="containsText" dxfId="0" priority="1" operator="containsText" text="CHOQUE">
      <formula>NOT(ISERROR(SEARCH(("CHOQUE"),(B5))))</formula>
    </cfRule>
  </conditionalFormatting>
  <conditionalFormatting sqref="D5:H21 D23:H24 I5:I24 J7:J24">
    <cfRule type="cellIs" dxfId="1" priority="2" operator="equal">
      <formula>"Janela"</formula>
    </cfRule>
  </conditionalFormatting>
  <conditionalFormatting sqref="D5:H21 D23:H24 I5:I24 J7:J24">
    <cfRule type="containsText" dxfId="2" priority="3" operator="containsText" text="Agroindústria">
      <formula>NOT(ISERROR(SEARCH(("Agroindústria"),(D5))))</formula>
    </cfRule>
  </conditionalFormatting>
  <conditionalFormatting sqref="D5:H21 D23:H24 I5:I24 J7:J24">
    <cfRule type="containsText" dxfId="3" priority="4" operator="containsText" text="Agropecuária">
      <formula>NOT(ISERROR(SEARCH(("Agropecuária"),(D5))))</formula>
    </cfRule>
  </conditionalFormatting>
  <conditionalFormatting sqref="D5:H21 D23:H24 I5:I24 J7:J24">
    <cfRule type="containsText" dxfId="4" priority="5" operator="containsText" text="Informática">
      <formula>NOT(ISERROR(SEARCH(("Informática"),(D5))))</formula>
    </cfRule>
  </conditionalFormatting>
  <dataValidations>
    <dataValidation type="list" allowBlank="1" sqref="C1">
      <formula1>'Validação de Dados'!$A:$A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10.88"/>
    <col customWidth="1" min="3" max="7" width="15.0"/>
    <col customWidth="1" min="8" max="8" width="5.13"/>
    <col customWidth="1" hidden="1" min="9" max="9" width="2.75"/>
    <col customWidth="1" min="10" max="10" width="10.88"/>
    <col customWidth="1" min="11" max="15" width="15.0"/>
  </cols>
  <sheetData>
    <row r="1" ht="15.75" customHeight="1">
      <c r="A1" s="1" t="s">
        <v>787</v>
      </c>
      <c r="B1" s="10"/>
      <c r="C1" s="155" t="s">
        <v>788</v>
      </c>
      <c r="D1" s="8"/>
      <c r="E1" s="8"/>
      <c r="F1" s="8"/>
      <c r="G1" s="10"/>
      <c r="H1" s="82"/>
      <c r="I1" s="156" t="s">
        <v>789</v>
      </c>
      <c r="J1" s="10"/>
      <c r="K1" s="156"/>
      <c r="L1" s="8"/>
      <c r="M1" s="8"/>
      <c r="N1" s="8"/>
      <c r="O1" s="10"/>
    </row>
    <row r="2" ht="15.75" customHeight="1">
      <c r="A2" s="13" t="s">
        <v>4</v>
      </c>
      <c r="B2" s="13" t="s">
        <v>23</v>
      </c>
      <c r="C2" s="13" t="s">
        <v>55</v>
      </c>
      <c r="D2" s="13" t="s">
        <v>58</v>
      </c>
      <c r="E2" s="13" t="s">
        <v>60</v>
      </c>
      <c r="F2" s="13" t="s">
        <v>62</v>
      </c>
      <c r="G2" s="13" t="s">
        <v>64</v>
      </c>
      <c r="H2" s="82"/>
      <c r="I2" s="17" t="s">
        <v>4</v>
      </c>
      <c r="J2" s="17" t="s">
        <v>23</v>
      </c>
      <c r="K2" s="17" t="s">
        <v>55</v>
      </c>
      <c r="L2" s="17" t="s">
        <v>58</v>
      </c>
      <c r="M2" s="17" t="s">
        <v>60</v>
      </c>
      <c r="N2" s="17" t="s">
        <v>62</v>
      </c>
      <c r="O2" s="17" t="s">
        <v>64</v>
      </c>
    </row>
    <row r="3" ht="15.75" hidden="1" customHeight="1">
      <c r="A3" s="13"/>
      <c r="B3" s="13"/>
      <c r="C3" s="13" t="s">
        <v>25</v>
      </c>
      <c r="D3" s="13" t="s">
        <v>26</v>
      </c>
      <c r="E3" s="13" t="s">
        <v>28</v>
      </c>
      <c r="F3" s="13" t="s">
        <v>30</v>
      </c>
      <c r="G3" s="13" t="s">
        <v>31</v>
      </c>
      <c r="H3" s="82"/>
      <c r="I3" s="20"/>
      <c r="J3" s="17"/>
      <c r="K3" s="17" t="s">
        <v>35</v>
      </c>
      <c r="L3" s="17" t="s">
        <v>37</v>
      </c>
      <c r="M3" s="17" t="s">
        <v>38</v>
      </c>
      <c r="N3" s="17" t="s">
        <v>40</v>
      </c>
      <c r="O3" s="17" t="s">
        <v>41</v>
      </c>
    </row>
    <row r="4" ht="25.5" customHeight="1">
      <c r="A4" s="25">
        <v>14.0</v>
      </c>
      <c r="B4" s="20" t="s">
        <v>790</v>
      </c>
      <c r="C4" s="157" t="str">
        <f>IF(COUNTIF('Horário - Ensino Médio'!$C$3:$V$3,"*"&amp;$C$1&amp;"*")&gt;1,"CHOQUE",IFERROR(HLOOKUP("*"&amp;$C$1&amp;"*",'Horário - Ensino Médio'!$C$3:$V$17,$A$4,FALSE),"Janela"))</f>
        <v>Janela</v>
      </c>
      <c r="D4" s="157" t="str">
        <f>IF(COUNTIF('Horário - Ensino Médio'!$C$18:$V$18,"*"&amp;$C$1&amp;"*")&gt;1,"CHOQUE",IFERROR(HLOOKUP("*"&amp;$C$1&amp;"*",'Horário - Ensino Médio'!$C$18:$V$32,$A$4,FALSE),"Janela"))</f>
        <v>Janela</v>
      </c>
      <c r="E4" s="157" t="str">
        <f>IF(COUNTIF('Horário - Ensino Médio'!$C$33:$V$33,"*"&amp;$C$1&amp;"*")&gt;1,"CHOQUE",IFERROR(HLOOKUP("*"&amp;$C$1&amp;"*",'Horário - Ensino Médio'!$C$33:$V$47,$A$4,FALSE),"Janela"))</f>
        <v>Janela</v>
      </c>
      <c r="F4" s="157" t="str">
        <f>IF(COUNTIF('Horário - Ensino Médio'!$C$48:$V$48,"*"&amp;$C$1&amp;"*")&gt;1,"CHOQUE",IFERROR(HLOOKUP("*"&amp;$C$1&amp;"*",'Horário - Ensino Médio'!$C$48:$V$62,$A$4,FALSE),"Janela"))</f>
        <v/>
      </c>
      <c r="G4" s="157" t="str">
        <f>IF(COUNTIF('Horário - Ensino Médio'!$C$63:$V$63,"*"&amp;$C$1&amp;"*")&gt;1,"CHOQUE",IFERROR(HLOOKUP("*"&amp;$C$1&amp;"*",'Horário - Ensino Médio'!$C$63:$V$77,$A$4,FALSE),"Janela"))</f>
        <v/>
      </c>
      <c r="H4" s="71"/>
      <c r="I4" s="29">
        <v>21.0</v>
      </c>
      <c r="J4" s="20" t="s">
        <v>790</v>
      </c>
      <c r="K4" s="42" t="str">
        <f>IF(COUNTIF('Horário - Graduação'!$C3:$AW3,"*"&amp;$C$1&amp;"*")&gt;1,"CHOQUE",IFERROR(HLOOKUP("*"&amp;$C$1&amp;"*",'Horário - Graduação'!$C3:$AW$23,$I4,FALSE),"Janela"))</f>
        <v>Janela</v>
      </c>
      <c r="L4" s="42" t="str">
        <f>IF(COUNTIF('Horário - Graduação'!$C24:$AW24,"*"&amp;$C$1&amp;"*")&gt;1,"CHOQUE",IFERROR(HLOOKUP("*"&amp;$C$1&amp;"*",'Horário - Graduação'!$C24:$AW$44,$I4,FALSE),"Janela"))</f>
        <v>Janela</v>
      </c>
      <c r="M4" s="42" t="str">
        <f>IF(COUNTIF('Horário - Graduação'!$C45:$AW45,"*"&amp;$C$1&amp;"*")&gt;1,"CHOQUE",IFERROR(HLOOKUP("*"&amp;$C$1&amp;"*",'Horário - Graduação'!$C45:$AW$65,$I4,FALSE),"Janela"))</f>
        <v>Janela</v>
      </c>
      <c r="N4" s="42" t="str">
        <f>IF(COUNTIF('Horário - Graduação'!$C66:$AW66,"*"&amp;$C$1&amp;"*")&gt;1,"CHOQUE",IFERROR(HLOOKUP("*"&amp;$C$1&amp;"*",'Horário - Graduação'!$C66:$AW$86,$I4,FALSE),"Janela"))</f>
        <v>Janela</v>
      </c>
      <c r="O4" s="42" t="str">
        <f>IF(COUNTIF('Horário - Graduação'!$C87:$AW87,"*"&amp;$C$1&amp;"*")&gt;1,"CHOQUE",IFERROR(HLOOKUP("*"&amp;$C$1&amp;"*",'Horário - Graduação'!$C87:$AW$107,$I4,FALSE),"Janela"))</f>
        <v>Janela</v>
      </c>
    </row>
    <row r="5" ht="25.5" customHeight="1">
      <c r="A5" s="25">
        <v>13.0</v>
      </c>
      <c r="B5" s="20" t="s">
        <v>791</v>
      </c>
      <c r="C5" s="157" t="str">
        <f>IF(COUNTIF('Horário - Ensino Médio'!$C$4:$V$4,"*"&amp;$C$1&amp;"*")&gt;1,"CHOQUE",IFERROR(HLOOKUP("*"&amp;$C$1&amp;"*",'Horário - Ensino Médio'!$C$4:$V$17,$A$5,FALSE),"Janela"))</f>
        <v>Janela</v>
      </c>
      <c r="D5" s="157" t="str">
        <f>IF(COUNTIF('Horário - Ensino Médio'!$C$19:$V$19,"*"&amp;$C$1&amp;"*")&gt;1,"CHOQUE",IFERROR(HLOOKUP("*"&amp;$C$1&amp;"*",'Horário - Ensino Médio'!$C$19:$V$32,$A$5,FALSE),"Janela"))</f>
        <v>Janela</v>
      </c>
      <c r="E5" s="157" t="str">
        <f>IF(COUNTIF('Horário - Ensino Médio'!$C$34:$V$34,"*"&amp;$C$1&amp;"*")&gt;1,"CHOQUE",IFERROR(HLOOKUP("*"&amp;$C$1&amp;"*",'Horário - Ensino Médio'!$C$34:$V$47,$A$5,FALSE),"Janela"))</f>
        <v/>
      </c>
      <c r="F5" s="157" t="str">
        <f>IF(COUNTIF('Horário - Ensino Médio'!$C$49:$V$49,"*"&amp;$C$1&amp;"*")&gt;1,"CHOQUE",IFERROR(HLOOKUP("*"&amp;$C$1&amp;"*",'Horário - Ensino Médio'!$C$49:$V$62,$A$5,FALSE),"Janela"))</f>
        <v>Janela</v>
      </c>
      <c r="G5" s="157" t="str">
        <f>IF(COUNTIF('Horário - Ensino Médio'!$C$64:$V$64,"*"&amp;$C$1&amp;"*")&gt;1,"CHOQUE",IFERROR(HLOOKUP("*"&amp;$C$1&amp;"*",'Horário - Ensino Médio'!$C$64:$V$77,$A$5,FALSE),"Janela"))</f>
        <v/>
      </c>
      <c r="H5" s="71"/>
      <c r="I5" s="29">
        <v>20.0</v>
      </c>
      <c r="J5" s="20" t="s">
        <v>791</v>
      </c>
      <c r="K5" s="42" t="str">
        <f>IF(COUNTIF('Horário - Graduação'!$C4:$AW4,"*"&amp;$C$1&amp;"*")&gt;1,"CHOQUE",IFERROR(HLOOKUP("*"&amp;$C$1&amp;"*",'Horário - Graduação'!$C4:$AW$23,$I5,FALSE),"Janela"))</f>
        <v>Janela</v>
      </c>
      <c r="L5" s="42" t="str">
        <f>IF(COUNTIF('Horário - Graduação'!$C25:$AW25,"*"&amp;$C$1&amp;"*")&gt;1,"CHOQUE",IFERROR(HLOOKUP("*"&amp;$C$1&amp;"*",'Horário - Graduação'!$C25:$AW$44,$I5,FALSE),"Janela"))</f>
        <v>Janela</v>
      </c>
      <c r="M5" s="42" t="str">
        <f>IF(COUNTIF('Horário - Graduação'!$C46:$AW46,"*"&amp;$C$1&amp;"*")&gt;1,"CHOQUE",IFERROR(HLOOKUP("*"&amp;$C$1&amp;"*",'Horário - Graduação'!$C46:$AW$65,$I5,FALSE),"Janela"))</f>
        <v>Janela</v>
      </c>
      <c r="N5" s="42" t="str">
        <f>IF(COUNTIF('Horário - Graduação'!$C67:$AW67,"*"&amp;$C$1&amp;"*")&gt;1,"CHOQUE",IFERROR(HLOOKUP("*"&amp;$C$1&amp;"*",'Horário - Graduação'!$C67:$AW$86,$I5,FALSE),"Janela"))</f>
        <v>Janela</v>
      </c>
      <c r="O5" s="42" t="str">
        <f>IF(COUNTIF('Horário - Graduação'!$C88:$AW88,"*"&amp;$C$1&amp;"*")&gt;1,"CHOQUE",IFERROR(HLOOKUP("*"&amp;$C$1&amp;"*",'Horário - Graduação'!$C88:$AW$107,$I5,FALSE),"Janela"))</f>
        <v>Janela</v>
      </c>
    </row>
    <row r="6" ht="15.75" customHeight="1">
      <c r="A6" s="25">
        <v>12.0</v>
      </c>
      <c r="B6" s="77" t="s">
        <v>111</v>
      </c>
      <c r="C6" s="69" t="s">
        <v>111</v>
      </c>
      <c r="D6" s="69" t="s">
        <v>111</v>
      </c>
      <c r="E6" s="69" t="s">
        <v>111</v>
      </c>
      <c r="F6" s="69" t="s">
        <v>111</v>
      </c>
      <c r="G6" s="69" t="s">
        <v>111</v>
      </c>
      <c r="H6" s="82"/>
      <c r="I6" s="29">
        <v>19.0</v>
      </c>
      <c r="J6" s="77" t="s">
        <v>111</v>
      </c>
      <c r="K6" s="69" t="s">
        <v>111</v>
      </c>
      <c r="L6" s="69" t="s">
        <v>111</v>
      </c>
      <c r="M6" s="69" t="s">
        <v>111</v>
      </c>
      <c r="N6" s="69" t="s">
        <v>111</v>
      </c>
      <c r="O6" s="69" t="s">
        <v>111</v>
      </c>
    </row>
    <row r="7" ht="25.5" customHeight="1">
      <c r="A7" s="25">
        <v>11.0</v>
      </c>
      <c r="B7" s="20" t="s">
        <v>792</v>
      </c>
      <c r="C7" s="157" t="str">
        <f>IF(COUNTIF('Horário - Ensino Médio'!$C$6:$V$6,"*"&amp;$C$1&amp;"*")&gt;1,"CHOQUE",IFERROR(HLOOKUP("*"&amp;$C$1&amp;"*",'Horário - Ensino Médio'!$C$6:$V$17,$A$7,FALSE),"Janela"))</f>
        <v>Janela</v>
      </c>
      <c r="D7" s="157" t="str">
        <f>IF(COUNTIF('Horário - Ensino Médio'!$C$21:$V$21,"*"&amp;$C$1&amp;"*")&gt;1,"CHOQUE",IFERROR(HLOOKUP("*"&amp;$C$1&amp;"*",'Horário - Ensino Médio'!$C$21:$V$32,$A$7,FALSE),"Janela"))</f>
        <v>Janela</v>
      </c>
      <c r="E7" s="157" t="str">
        <f>IF(COUNTIF('Horário - Ensino Médio'!$C$36:$V$36,"*"&amp;$C$1&amp;"*")&gt;1,"CHOQUE",IFERROR(HLOOKUP("*"&amp;$C$1&amp;"*",'Horário - Ensino Médio'!$C$36:$V$47,$A$7,FALSE),"Janela"))</f>
        <v/>
      </c>
      <c r="F7" s="157" t="str">
        <f>IF(COUNTIF('Horário - Ensino Médio'!$C$51:$V$51,"*"&amp;$C$1&amp;"*")&gt;1,"CHOQUE",IFERROR(HLOOKUP("*"&amp;$C$1&amp;"*",'Horário - Ensino Médio'!$C$51:$V$62,$A$7,FALSE),"Janela"))</f>
        <v>Janela</v>
      </c>
      <c r="G7" s="157" t="str">
        <f>IF(COUNTIF('Horário - Ensino Médio'!$C$66:$V$66,"*"&amp;$C$1&amp;"*")&gt;1,"CHOQUE",IFERROR(HLOOKUP("*"&amp;$C$1&amp;"*",'Horário - Ensino Médio'!$C$66:$V$77,$A$7,FALSE),"Janela"))</f>
        <v/>
      </c>
      <c r="H7" s="71"/>
      <c r="I7" s="29">
        <v>18.0</v>
      </c>
      <c r="J7" s="20" t="s">
        <v>792</v>
      </c>
      <c r="K7" s="42" t="str">
        <f>IF(COUNTIF('Horário - Graduação'!$C6:$AW6,"*"&amp;$C$1&amp;"*")&gt;1,"CHOQUE",IFERROR(HLOOKUP("*"&amp;$C$1&amp;"*",'Horário - Graduação'!$C6:$AW$23,$I7,FALSE),"Janela"))</f>
        <v>Janela</v>
      </c>
      <c r="L7" s="42" t="str">
        <f>IF(COUNTIF('Horário - Graduação'!$C27:$AW27,"*"&amp;$C$1&amp;"*")&gt;1,"CHOQUE",IFERROR(HLOOKUP("*"&amp;$C$1&amp;"*",'Horário - Graduação'!$C27:$AW$44,$I7,FALSE),"Janela"))</f>
        <v>Janela</v>
      </c>
      <c r="M7" s="42" t="str">
        <f>IF(COUNTIF('Horário - Graduação'!$C48:$AW48,"*"&amp;$C$1&amp;"*")&gt;1,"CHOQUE",IFERROR(HLOOKUP("*"&amp;$C$1&amp;"*",'Horário - Graduação'!$C48:$AW$65,$I7,FALSE),"Janela"))</f>
        <v>Janela</v>
      </c>
      <c r="N7" s="42" t="str">
        <f>IF(COUNTIF('Horário - Graduação'!$C69:$AW69,"*"&amp;$C$1&amp;"*")&gt;1,"CHOQUE",IFERROR(HLOOKUP("*"&amp;$C$1&amp;"*",'Horário - Graduação'!$C69:$AW$86,$I7,FALSE),"Janela"))</f>
        <v>Janela</v>
      </c>
      <c r="O7" s="42" t="str">
        <f>IF(COUNTIF('Horário - Graduação'!$C90:$AW90,"*"&amp;$C$1&amp;"*")&gt;1,"CHOQUE",IFERROR(HLOOKUP("*"&amp;$C$1&amp;"*",'Horário - Graduação'!$C90:$AW$107,$I7,FALSE),"Janela"))</f>
        <v>Janela</v>
      </c>
    </row>
    <row r="8" ht="25.5" customHeight="1">
      <c r="A8" s="25">
        <v>10.0</v>
      </c>
      <c r="B8" s="20" t="s">
        <v>793</v>
      </c>
      <c r="C8" s="157" t="str">
        <f>IF(COUNTIF('Horário - Ensino Médio'!$C$7:$V$7,"*"&amp;$C$1&amp;"*")&gt;1,"CHOQUE",IFERROR(HLOOKUP("*"&amp;$C$1&amp;"*",'Horário - Ensino Médio'!$C$7:$V$17,$A$8,FALSE),"Janela"))</f>
        <v>Janela</v>
      </c>
      <c r="D8" s="157" t="str">
        <f>IF(COUNTIF('Horário - Ensino Médio'!$C$22:$V$22,"*"&amp;$C$1&amp;"*")&gt;1,"CHOQUE",IFERROR(HLOOKUP("*"&amp;$C$1&amp;"*",'Horário - Ensino Médio'!$C$22:$V$32,$A$8,FALSE),"Janela"))</f>
        <v>Janela</v>
      </c>
      <c r="E8" s="157" t="str">
        <f>IF(COUNTIF('Horário - Ensino Médio'!$C$37:$V$37,"*"&amp;$C$1&amp;"*")&gt;1,"CHOQUE",IFERROR(HLOOKUP("*"&amp;$C$1&amp;"*",'Horário - Ensino Médio'!$C$37:$V$47,$A$8,FALSE),"Janela"))</f>
        <v/>
      </c>
      <c r="F8" s="157" t="str">
        <f>IF(COUNTIF('Horário - Ensino Médio'!$C$52:$V$52,"*"&amp;$C$1&amp;"*")&gt;1,"CHOQUE",IFERROR(HLOOKUP("*"&amp;$C$1&amp;"*",'Horário - Ensino Médio'!$C$52:$V$62,$A$8,FALSE),"Janela"))</f>
        <v>Janela</v>
      </c>
      <c r="G8" s="157" t="str">
        <f>IF(COUNTIF('Horário - Ensino Médio'!$C$67:$V$67,"*"&amp;$C$1&amp;"*")&gt;1,"CHOQUE",IFERROR(HLOOKUP("*"&amp;$C$1&amp;"*",'Horário - Ensino Médio'!$C$67:$V$77,$A$8,FALSE),"Janela"))</f>
        <v>Janela</v>
      </c>
      <c r="H8" s="71"/>
      <c r="I8" s="29">
        <v>17.0</v>
      </c>
      <c r="J8" s="20" t="s">
        <v>793</v>
      </c>
      <c r="K8" s="42" t="str">
        <f>IF(COUNTIF('Horário - Graduação'!$C7:$AW7,"*"&amp;$C$1&amp;"*")&gt;1,"CHOQUE",IFERROR(HLOOKUP("*"&amp;$C$1&amp;"*",'Horário - Graduação'!$C7:$AW$23,$I8,FALSE),"Janela"))</f>
        <v>Janela</v>
      </c>
      <c r="L8" s="42" t="str">
        <f>IF(COUNTIF('Horário - Graduação'!$C28:$AW28,"*"&amp;$C$1&amp;"*")&gt;1,"CHOQUE",IFERROR(HLOOKUP("*"&amp;$C$1&amp;"*",'Horário - Graduação'!$C28:$AW$44,$I8,FALSE),"Janela"))</f>
        <v>Janela</v>
      </c>
      <c r="M8" s="42" t="str">
        <f>IF(COUNTIF('Horário - Graduação'!$C49:$AW49,"*"&amp;$C$1&amp;"*")&gt;1,"CHOQUE",IFERROR(HLOOKUP("*"&amp;$C$1&amp;"*",'Horário - Graduação'!$C49:$AW$65,$I8,FALSE),"Janela"))</f>
        <v>Janela</v>
      </c>
      <c r="N8" s="42" t="str">
        <f>IF(COUNTIF('Horário - Graduação'!$C70:$AW70,"*"&amp;$C$1&amp;"*")&gt;1,"CHOQUE",IFERROR(HLOOKUP("*"&amp;$C$1&amp;"*",'Horário - Graduação'!$C70:$AW$86,$I8,FALSE),"Janela"))</f>
        <v>Janela</v>
      </c>
      <c r="O8" s="42" t="str">
        <f>IF(COUNTIF('Horário - Graduação'!$C91:$AW91,"*"&amp;$C$1&amp;"*")&gt;1,"CHOQUE",IFERROR(HLOOKUP("*"&amp;$C$1&amp;"*",'Horário - Graduação'!$C91:$AW$107,$I8,FALSE),"Janela"))</f>
        <v>Janela</v>
      </c>
    </row>
    <row r="9" ht="25.5" customHeight="1">
      <c r="A9" s="25">
        <v>9.0</v>
      </c>
      <c r="B9" s="20" t="s">
        <v>794</v>
      </c>
      <c r="C9" s="157" t="str">
        <f>IF(COUNTIF('Horário - Ensino Médio'!$C$7:$V$7,"*"&amp;$C$1&amp;"*")&gt;1,"CHOQUE",IFERROR(HLOOKUP("*"&amp;$C$1&amp;"*",'Horário - Ensino Médio'!$C$7:$V$17,$A$8,FALSE),"Janela"))</f>
        <v>Janela</v>
      </c>
      <c r="D9" s="157" t="str">
        <f>IF(COUNTIF('Horário - Ensino Médio'!$C$22:$V$22,"*"&amp;$C$1&amp;"*")&gt;1,"CHOQUE",IFERROR(HLOOKUP("*"&amp;$C$1&amp;"*",'Horário - Ensino Médio'!$C$22:$V$32,$A$8,FALSE),"Janela"))</f>
        <v>Janela</v>
      </c>
      <c r="E9" s="157" t="str">
        <f>IF(COUNTIF('Horário - Ensino Médio'!$C$37:$V$37,"*"&amp;$C$1&amp;"*")&gt;1,"CHOQUE",IFERROR(HLOOKUP("*"&amp;$C$1&amp;"*",'Horário - Ensino Médio'!$C$37:$V$47,$A$8,FALSE),"Janela"))</f>
        <v/>
      </c>
      <c r="F9" s="157" t="str">
        <f>IF(COUNTIF('Horário - Ensino Médio'!$C$52:$V$52,"*"&amp;$C$1&amp;"*")&gt;1,"CHOQUE",IFERROR(HLOOKUP("*"&amp;$C$1&amp;"*",'Horário - Ensino Médio'!$C$52:$V$62,$A$8,FALSE),"Janela"))</f>
        <v>Janela</v>
      </c>
      <c r="G9" s="157" t="str">
        <f>IF(COUNTIF('Horário - Ensino Médio'!$C$67:$V$67,"*"&amp;$C$1&amp;"*")&gt;1,"CHOQUE",IFERROR(HLOOKUP("*"&amp;$C$1&amp;"*",'Horário - Ensino Médio'!$C$67:$V$77,$A$8,FALSE),"Janela"))</f>
        <v>Janela</v>
      </c>
      <c r="H9" s="71"/>
      <c r="I9" s="29">
        <v>16.0</v>
      </c>
      <c r="J9" s="20" t="s">
        <v>794</v>
      </c>
      <c r="K9" s="42" t="str">
        <f>IF(COUNTIF('Horário - Graduação'!$C8:$AW8,"*"&amp;$C$1&amp;"*")&gt;1,"CHOQUE",IFERROR(HLOOKUP("*"&amp;$C$1&amp;"*",'Horário - Graduação'!$C8:$AW$23,$I9,FALSE),"Janela"))</f>
        <v>Janela</v>
      </c>
      <c r="L9" s="42" t="str">
        <f>IF(COUNTIF('Horário - Graduação'!$C29:$AW29,"*"&amp;$C$1&amp;"*")&gt;1,"CHOQUE",IFERROR(HLOOKUP("*"&amp;$C$1&amp;"*",'Horário - Graduação'!$C29:$AW$44,$I9,FALSE),"Janela"))</f>
        <v>Janela</v>
      </c>
      <c r="M9" s="42" t="str">
        <f>IF(COUNTIF('Horário - Graduação'!$C50:$AW50,"*"&amp;$C$1&amp;"*")&gt;1,"CHOQUE",IFERROR(HLOOKUP("*"&amp;$C$1&amp;"*",'Horário - Graduação'!$C50:$AW$65,$I9,FALSE),"Janela"))</f>
        <v>Janela</v>
      </c>
      <c r="N9" s="42" t="str">
        <f>IF(COUNTIF('Horário - Graduação'!$C71:$AW71,"*"&amp;$C$1&amp;"*")&gt;1,"CHOQUE",IFERROR(HLOOKUP("*"&amp;$C$1&amp;"*",'Horário - Graduação'!$C71:$AW$86,$I9,FALSE),"Janela"))</f>
        <v>Janela</v>
      </c>
      <c r="O9" s="42" t="str">
        <f>IF(COUNTIF('Horário - Graduação'!$C92:$AW92,"*"&amp;$C$1&amp;"*")&gt;1,"CHOQUE",IFERROR(HLOOKUP("*"&amp;$C$1&amp;"*",'Horário - Graduação'!$C92:$AW$107,$I9,FALSE),"Janela"))</f>
        <v>Janela</v>
      </c>
    </row>
    <row r="10" ht="15.75" customHeight="1">
      <c r="A10" s="25">
        <v>8.0</v>
      </c>
      <c r="B10" s="77" t="s">
        <v>124</v>
      </c>
      <c r="C10" s="69" t="s">
        <v>124</v>
      </c>
      <c r="D10" s="69" t="s">
        <v>124</v>
      </c>
      <c r="E10" s="69" t="s">
        <v>124</v>
      </c>
      <c r="F10" s="69" t="s">
        <v>124</v>
      </c>
      <c r="G10" s="69" t="s">
        <v>124</v>
      </c>
      <c r="H10" s="82"/>
      <c r="I10" s="29">
        <v>15.0</v>
      </c>
      <c r="J10" s="77" t="s">
        <v>124</v>
      </c>
      <c r="K10" s="69" t="s">
        <v>124</v>
      </c>
      <c r="L10" s="69" t="s">
        <v>124</v>
      </c>
      <c r="M10" s="69" t="s">
        <v>124</v>
      </c>
      <c r="N10" s="69" t="s">
        <v>124</v>
      </c>
      <c r="O10" s="69" t="s">
        <v>124</v>
      </c>
    </row>
    <row r="11" ht="25.5" customHeight="1">
      <c r="A11" s="25">
        <v>7.0</v>
      </c>
      <c r="B11" s="20" t="s">
        <v>126</v>
      </c>
      <c r="C11" s="157" t="str">
        <f>IF(COUNTIF('Horário - Ensino Médio'!$C$10:$V$10,"*"&amp;$C$1&amp;"*")&gt;1,"CHOQUE",IFERROR(HLOOKUP("*"&amp;$C$1&amp;"*",'Horário - Ensino Médio'!$C$10:$V$17,$A$11,FALSE),"Janela"))</f>
        <v>Janela</v>
      </c>
      <c r="D11" s="157" t="str">
        <f>IF(COUNTIF('Horário - Ensino Médio'!$C$25:$V$25,"*"&amp;$C$1&amp;"*")&gt;1,"CHOQUE",IFERROR(HLOOKUP("*"&amp;$C$1&amp;"*",'Horário - Ensino Médio'!$C$25:$V$32,$A$11,FALSE),"Janela"))</f>
        <v>Janela</v>
      </c>
      <c r="E11" s="157" t="str">
        <f>IF(COUNTIF('Horário - Ensino Médio'!$C$40:$V$40,"*"&amp;$C$1&amp;"*")&gt;1,"CHOQUE",IFERROR(HLOOKUP("*"&amp;$C$1&amp;"*",'Horário - Ensino Médio'!$C$40:$V$47,$A$11,FALSE),"Janela"))</f>
        <v>Janela</v>
      </c>
      <c r="F11" s="157" t="str">
        <f>IF(COUNTIF('Horário - Ensino Médio'!$C$55:$V$55,"*"&amp;$C$1&amp;"*")&gt;1,"CHOQUE",IFERROR(HLOOKUP("*"&amp;$C$1&amp;"*",'Horário - Ensino Médio'!$C$55:$V$62,$A$11,FALSE),"Janela"))</f>
        <v>Janela</v>
      </c>
      <c r="G11" s="157" t="str">
        <f>IF(COUNTIF(#REF!,"*"&amp;$C$1&amp;"*")&gt;1,"CHOQUE",IFERROR(HLOOKUP("*"&amp;$C$1&amp;"*",'Horário - Ensino Médio'!$C$75:$V$77,$A$11,FALSE),"Janela"))</f>
        <v>#REF!</v>
      </c>
      <c r="H11" s="71"/>
      <c r="I11" s="29">
        <v>14.0</v>
      </c>
      <c r="J11" s="20" t="s">
        <v>126</v>
      </c>
      <c r="K11" s="42" t="str">
        <f>IF(COUNTIF('Horário - Graduação'!$C10:$AW10,"*"&amp;$C$1&amp;"*")&gt;1,"CHOQUE",IFERROR(HLOOKUP("*"&amp;$C$1&amp;"*",'Horário - Graduação'!$C10:$AW$23,$I11,FALSE),"Janela"))</f>
        <v>Janela</v>
      </c>
      <c r="L11" s="42" t="str">
        <f>IF(COUNTIF('Horário - Graduação'!$C31:$AW31,"*"&amp;$C$1&amp;"*")&gt;1,"CHOQUE",IFERROR(HLOOKUP("*"&amp;$C$1&amp;"*",'Horário - Graduação'!$C31:$AW$44,$I11,FALSE),"Janela"))</f>
        <v>Janela</v>
      </c>
      <c r="M11" s="42" t="str">
        <f>IF(COUNTIF('Horário - Graduação'!$C52:$AW52,"*"&amp;$C$1&amp;"*")&gt;1,"CHOQUE",IFERROR(HLOOKUP("*"&amp;$C$1&amp;"*",'Horário - Graduação'!$C52:$AW$65,$I11,FALSE),"Janela"))</f>
        <v>Janela</v>
      </c>
      <c r="N11" s="42" t="str">
        <f>IF(COUNTIF('Horário - Graduação'!$C73:$AW73,"*"&amp;$C$1&amp;"*")&gt;1,"CHOQUE",IFERROR(HLOOKUP("*"&amp;$C$1&amp;"*",'Horário - Graduação'!$C73:$AW$86,$I11,FALSE),"Janela"))</f>
        <v>Janela</v>
      </c>
      <c r="O11" s="42" t="str">
        <f>IF(COUNTIF('Horário - Graduação'!$C94:$AW94,"*"&amp;$C$1&amp;"*")&gt;1,"CHOQUE",IFERROR(HLOOKUP("*"&amp;$C$1&amp;"*",'Horário - Graduação'!$C94:$AW$107,$I11,FALSE),"Janela"))</f>
        <v>Janela</v>
      </c>
    </row>
    <row r="12" ht="25.5" customHeight="1">
      <c r="A12" s="25">
        <v>6.0</v>
      </c>
      <c r="B12" s="20" t="s">
        <v>138</v>
      </c>
      <c r="C12" s="157" t="str">
        <f>IF(COUNTIF('Horário - Ensino Médio'!$C$11:$V$11,"*"&amp;$C$1&amp;"*")&gt;1,"CHOQUE",IFERROR(HLOOKUP("*"&amp;$C$1&amp;"*",'Horário - Ensino Médio'!$C$11:$V$17,$A$12,FALSE),"Janela"))</f>
        <v>Janela</v>
      </c>
      <c r="D12" s="157" t="str">
        <f>IF(COUNTIF('Horário - Ensino Médio'!$C$26:$V$26,"*"&amp;$C$1&amp;"*")&gt;1,"CHOQUE",IFERROR(HLOOKUP("*"&amp;$C$1&amp;"*",'Horário - Ensino Médio'!$C$26:V$32,$A$12,FALSE),"Janela"))</f>
        <v>Janela</v>
      </c>
      <c r="E12" s="157" t="str">
        <f>IF(COUNTIF('Horário - Ensino Médio'!$C$41:$V$41,"*"&amp;$C$1&amp;"*")&gt;1,"CHOQUE",IFERROR(HLOOKUP("*"&amp;$C$1&amp;"*",'Horário - Ensino Médio'!$C$41:$V$47,$A$12,FALSE),"Janela"))</f>
        <v>Janela</v>
      </c>
      <c r="F12" s="157" t="str">
        <f>IF(COUNTIF('Horário - Ensino Médio'!$C$56:$V$56,"*"&amp;$C$1&amp;"*")&gt;1,"CHOQUE",IFERROR(HLOOKUP("*"&amp;$C$1&amp;"*",'Horário - Ensino Médio'!$C$56:$V$62,$A$12,FALSE),"Janela"))</f>
        <v>Janela</v>
      </c>
      <c r="G12" s="157" t="str">
        <f>IF(COUNTIF(#REF!,"*"&amp;$C$1&amp;"*")&gt;1,"CHOQUE",IFERROR(HLOOKUP("*"&amp;$C$1&amp;"*",'Horário - Ensino Médio'!$C$75:$V$77,$A$12,FALSE),"Janela"))</f>
        <v>#REF!</v>
      </c>
      <c r="H12" s="71"/>
      <c r="I12" s="29">
        <v>13.0</v>
      </c>
      <c r="J12" s="20" t="s">
        <v>138</v>
      </c>
      <c r="K12" s="42" t="str">
        <f>IF(COUNTIF('Horário - Graduação'!$C11:$AW11,"*"&amp;$C$1&amp;"*")&gt;1,"CHOQUE",IFERROR(HLOOKUP("*"&amp;$C$1&amp;"*",'Horário - Graduação'!$C11:$AW$23,$I12,FALSE),"Janela"))</f>
        <v>Janela</v>
      </c>
      <c r="L12" s="42" t="str">
        <f>IF(COUNTIF('Horário - Graduação'!$C32:$AW32,"*"&amp;$C$1&amp;"*")&gt;1,"CHOQUE",IFERROR(HLOOKUP("*"&amp;$C$1&amp;"*",'Horário - Graduação'!$C32:$AW$44,$I12,FALSE),"Janela"))</f>
        <v>Janela</v>
      </c>
      <c r="M12" s="42" t="str">
        <f>IF(COUNTIF('Horário - Graduação'!$C53:$AW53,"*"&amp;$C$1&amp;"*")&gt;1,"CHOQUE",IFERROR(HLOOKUP("*"&amp;$C$1&amp;"*",'Horário - Graduação'!$C53:$AW$65,$I12,FALSE),"Janela"))</f>
        <v>Janela</v>
      </c>
      <c r="N12" s="42" t="str">
        <f>IF(COUNTIF('Horário - Graduação'!$C74:$AW74,"*"&amp;$C$1&amp;"*")&gt;1,"CHOQUE",IFERROR(HLOOKUP("*"&amp;$C$1&amp;"*",'Horário - Graduação'!$C74:$AW$86,$I12,FALSE),"Janela"))</f>
        <v>Janela</v>
      </c>
      <c r="O12" s="42" t="str">
        <f>IF(COUNTIF('Horário - Graduação'!$C95:$AW95,"*"&amp;$C$1&amp;"*")&gt;1,"CHOQUE",IFERROR(HLOOKUP("*"&amp;$C$1&amp;"*",'Horário - Graduação'!$C95:$AW$107,$I12,FALSE),"Janela"))</f>
        <v>Janela</v>
      </c>
    </row>
    <row r="13" ht="15.75" customHeight="1">
      <c r="A13" s="25">
        <v>5.0</v>
      </c>
      <c r="B13" s="77" t="s">
        <v>111</v>
      </c>
      <c r="C13" s="69" t="s">
        <v>111</v>
      </c>
      <c r="D13" s="69" t="s">
        <v>111</v>
      </c>
      <c r="E13" s="69" t="s">
        <v>111</v>
      </c>
      <c r="F13" s="69" t="s">
        <v>111</v>
      </c>
      <c r="G13" s="69" t="s">
        <v>111</v>
      </c>
      <c r="H13" s="82"/>
      <c r="I13" s="29">
        <v>12.0</v>
      </c>
      <c r="J13" s="77" t="s">
        <v>111</v>
      </c>
      <c r="K13" s="69" t="s">
        <v>111</v>
      </c>
      <c r="L13" s="69" t="s">
        <v>111</v>
      </c>
      <c r="M13" s="69" t="s">
        <v>111</v>
      </c>
      <c r="N13" s="69" t="s">
        <v>111</v>
      </c>
      <c r="O13" s="69" t="s">
        <v>111</v>
      </c>
    </row>
    <row r="14" ht="25.5" customHeight="1">
      <c r="A14" s="25">
        <v>4.0</v>
      </c>
      <c r="B14" s="20" t="s">
        <v>141</v>
      </c>
      <c r="C14" s="157" t="str">
        <f>IF(COUNTIF('Horário - Ensino Médio'!$C$13:$U$13,"*"&amp;$C$1&amp;"*")&gt;1,"CHOQUE",IFERROR(HLOOKUP("*"&amp;$C$1&amp;"*",'Horário - Ensino Médio'!$C$13:$V$17,$A$14,FALSE),"Janela"))</f>
        <v>Janela</v>
      </c>
      <c r="D14" s="157" t="str">
        <f>IF(COUNTIF('Horário - Ensino Médio'!$C$28:$V$28,"*"&amp;$C$1&amp;"*")&gt;1,"CHOQUE",IFERROR(HLOOKUP("*"&amp;$C$1&amp;"*",'Horário - Ensino Médio'!$C$28:$V$32,$A$14,FALSE),"Janela"))</f>
        <v/>
      </c>
      <c r="E14" s="157" t="str">
        <f>IF(COUNTIF('Horário - Ensino Médio'!$C$43:$V$43,"*"&amp;$C$1&amp;"*")&gt;1,"CHOQUE",IFERROR(HLOOKUP("*"&amp;$C$1&amp;"*",'Horário - Ensino Médio'!$C$43:$V$47,$A$14,FALSE),"Janela"))</f>
        <v>Janela</v>
      </c>
      <c r="F14" s="157" t="str">
        <f>IF(COUNTIF('Horário - Ensino Médio'!$C$58:$V$58,"*"&amp;$C$1&amp;"*")&gt;1,"CHOQUE",IFERROR(HLOOKUP("*"&amp;$C$1&amp;"*",'Horário - Ensino Médio'!$C$58:$V$62,$A$14,FALSE),"Janela"))</f>
        <v>Janela</v>
      </c>
      <c r="G14" s="157" t="str">
        <f>IF(COUNTIF(#REF!,"*"&amp;$C$1&amp;"*")&gt;1,"CHOQUE",IFERROR(HLOOKUP("*"&amp;$C$1&amp;"*",'Horário - Ensino Médio'!$C$75:$V$77,$A$14,FALSE),"Janela"))</f>
        <v>#REF!</v>
      </c>
      <c r="H14" s="71"/>
      <c r="I14" s="29">
        <v>11.0</v>
      </c>
      <c r="J14" s="20" t="s">
        <v>141</v>
      </c>
      <c r="K14" s="42" t="str">
        <f>IF(COUNTIF('Horário - Graduação'!$C13:$AW13,"*"&amp;$C$1&amp;"*")&gt;1,"CHOQUE",IFERROR(HLOOKUP("*"&amp;$C$1&amp;"*",'Horário - Graduação'!$C13:$AW$23,$I14,FALSE),"Janela"))</f>
        <v>Janela</v>
      </c>
      <c r="L14" s="42" t="str">
        <f>IF(COUNTIF('Horário - Graduação'!$C34:$AW34,"*"&amp;$C$1&amp;"*")&gt;1,"CHOQUE",IFERROR(HLOOKUP("*"&amp;$C$1&amp;"*",'Horário - Graduação'!$C34:$AW$44,$I14,FALSE),"Janela"))</f>
        <v>Janela</v>
      </c>
      <c r="M14" s="42" t="str">
        <f>IF(COUNTIF('Horário - Graduação'!$C55:$AW55,"*"&amp;$C$1&amp;"*")&gt;1,"CHOQUE",IFERROR(HLOOKUP("*"&amp;$C$1&amp;"*",'Horário - Graduação'!$C55:$AW$65,$I14,FALSE),"Janela"))</f>
        <v>Janela</v>
      </c>
      <c r="N14" s="42" t="str">
        <f>IF(COUNTIF('Horário - Graduação'!$C76:$AW76,"*"&amp;$C$1&amp;"*")&gt;1,"CHOQUE",IFERROR(HLOOKUP("*"&amp;$C$1&amp;"*",'Horário - Graduação'!$C76:$AW$86,$I14,FALSE),"Janela"))</f>
        <v>Janela</v>
      </c>
      <c r="O14" s="42" t="str">
        <f>IF(COUNTIF('Horário - Graduação'!$C97:$AW97,"*"&amp;$C$1&amp;"*")&gt;1,"CHOQUE",IFERROR(HLOOKUP("*"&amp;$C$1&amp;"*",'Horário - Graduação'!$C97:$AW$107,$I14,FALSE),"Janela"))</f>
        <v>Janela</v>
      </c>
    </row>
    <row r="15" ht="25.5" customHeight="1">
      <c r="A15" s="25">
        <v>3.0</v>
      </c>
      <c r="B15" s="20" t="s">
        <v>154</v>
      </c>
      <c r="C15" s="157" t="str">
        <f>IF(COUNTIF('Horário - Ensino Médio'!$C$14:$U$14,"*"&amp;$C$1&amp;"*")&gt;1,"CHOQUE",IFERROR(HLOOKUP("*"&amp;$C$1&amp;"*",'Horário - Ensino Médio'!$C$14:$V$17,$A$15,FALSE),"Janela"))</f>
        <v>Janela</v>
      </c>
      <c r="D15" s="157" t="str">
        <f>IF(COUNTIF('Horário - Ensino Médio'!$C$29:$V$29,"*"&amp;$C$1&amp;"*")&gt;1,"CHOQUE",IFERROR(HLOOKUP("*"&amp;$C$1&amp;"*",'Horário - Ensino Médio'!$C$29:$V$32,$A$15,FALSE),"Janela"))</f>
        <v/>
      </c>
      <c r="E15" s="157" t="str">
        <f>IF(COUNTIF('Horário - Ensino Médio'!$C$44:$V$44,"*"&amp;$C$1&amp;"*")&gt;1,"CHOQUE",IFERROR(HLOOKUP("*"&amp;$C$1&amp;"*",'Horário - Ensino Médio'!$C$44:$V$47,$A$15,FALSE),"Janela"))</f>
        <v>Janela</v>
      </c>
      <c r="F15" s="157" t="str">
        <f>IF(COUNTIF('Horário - Ensino Médio'!$C$59:$V$59,"*"&amp;$C$1&amp;"*")&gt;1,"CHOQUE",IFERROR(HLOOKUP("*"&amp;$C$1&amp;"*",'Horário - Ensino Médio'!$C$59:$V$62,$A$15,FALSE),"Janela"))</f>
        <v>Janela</v>
      </c>
      <c r="G15" s="157" t="str">
        <f>IF(COUNTIF(#REF!,"*"&amp;$C$1&amp;"*")&gt;1,"CHOQUE",IFERROR(HLOOKUP("*"&amp;$C$1&amp;"*",'Horário - Ensino Médio'!$C$75:$V$77,$A$15,FALSE),"Janela"))</f>
        <v>#REF!</v>
      </c>
      <c r="H15" s="71"/>
      <c r="I15" s="29">
        <v>10.0</v>
      </c>
      <c r="J15" s="20" t="s">
        <v>154</v>
      </c>
      <c r="K15" s="42" t="str">
        <f>IF(COUNTIF('Horário - Graduação'!$C14:$AW14,"*"&amp;$C$1&amp;"*")&gt;1,"CHOQUE",IFERROR(HLOOKUP("*"&amp;$C$1&amp;"*",'Horário - Graduação'!$C14:$AW$23,$I15,FALSE),"Janela"))</f>
        <v>Janela</v>
      </c>
      <c r="L15" s="42" t="str">
        <f>IF(COUNTIF('Horário - Graduação'!$C35:$AW35,"*"&amp;$C$1&amp;"*")&gt;1,"CHOQUE",IFERROR(HLOOKUP("*"&amp;$C$1&amp;"*",'Horário - Graduação'!$C35:$AW$44,$I15,FALSE),"Janela"))</f>
        <v>Janela</v>
      </c>
      <c r="M15" s="42" t="str">
        <f>IF(COUNTIF('Horário - Graduação'!$C56:$AW56,"*"&amp;$C$1&amp;"*")&gt;1,"CHOQUE",IFERROR(HLOOKUP("*"&amp;$C$1&amp;"*",'Horário - Graduação'!$C56:$AW$65,$I15,FALSE),"Janela"))</f>
        <v>Janela</v>
      </c>
      <c r="N15" s="42" t="str">
        <f>IF(COUNTIF('Horário - Graduação'!$C77:$AW77,"*"&amp;$C$1&amp;"*")&gt;1,"CHOQUE",IFERROR(HLOOKUP("*"&amp;$C$1&amp;"*",'Horário - Graduação'!$C77:$AW$86,$I15,FALSE),"Janela"))</f>
        <v>Janela</v>
      </c>
      <c r="O15" s="42" t="str">
        <f>IF(COUNTIF('Horário - Graduação'!$C98:$AW98,"*"&amp;$C$1&amp;"*")&gt;1,"CHOQUE",IFERROR(HLOOKUP("*"&amp;$C$1&amp;"*",'Horário - Graduação'!$C98:$AW$107,$I15,FALSE),"Janela"))</f>
        <v>Janela</v>
      </c>
    </row>
    <row r="16" ht="25.5" customHeight="1">
      <c r="A16" s="25">
        <v>2.0</v>
      </c>
      <c r="B16" s="20" t="s">
        <v>155</v>
      </c>
      <c r="C16" s="157" t="str">
        <f>IF(COUNTIF('Horário - Ensino Médio'!$C$15:$V$15,"*"&amp;$C$1&amp;"*")&gt;1,"CHOQUE",IFERROR(HLOOKUP("*"&amp;$C$1&amp;"*",'Horário - Ensino Médio'!$C$15:$V$17,$A$16,FALSE),"Janela"))</f>
        <v>Janela</v>
      </c>
      <c r="D16" s="157" t="str">
        <f>IF(COUNTIF('Horário - Ensino Médio'!$C$30:$V$30,"*"&amp;$C$1&amp;"*")&gt;1,"CHOQUE",IFERROR(HLOOKUP("*"&amp;$C$1&amp;"*",'Horário - Ensino Médio'!$C$30:$V$32,$A$16,FALSE),"Janela"))</f>
        <v>Janela</v>
      </c>
      <c r="E16" s="157" t="str">
        <f>IF(COUNTIF('Horário - Ensino Médio'!$C$45:$V$45,"*"&amp;$C$1&amp;"*")&gt;1,"CHOQUE",IFERROR(HLOOKUP("*"&amp;$C$1&amp;"*",'Horário - Ensino Médio'!$C$45:$V$47,$A$16,FALSE),"Janela"))</f>
        <v>Janela</v>
      </c>
      <c r="F16" s="157" t="str">
        <f>IF(COUNTIF('Horário - Ensino Médio'!$C$60:$V$60,"*"&amp;$C$1&amp;"*")&gt;1,"CHOQUE",IFERROR(HLOOKUP("*"&amp;$C$1&amp;"*",'Horário - Ensino Médio'!$C$60:$V$62,$A$16,FALSE),"Janela"))</f>
        <v>Janela</v>
      </c>
      <c r="G16" s="157" t="str">
        <f>IF(COUNTIF('Horário - Ensino Médio'!$C$75:$V$75,"*"&amp;$C$1&amp;"*")&gt;1,"CHOQUE",IFERROR(HLOOKUP("*"&amp;$C$1&amp;"*",'Horário - Ensino Médio'!$C$75:$V$77,$A$16,FALSE),"Janela"))</f>
        <v>Janela</v>
      </c>
      <c r="H16" s="71"/>
      <c r="I16" s="29">
        <v>9.0</v>
      </c>
      <c r="J16" s="20" t="s">
        <v>155</v>
      </c>
      <c r="K16" s="42" t="str">
        <f>IF(COUNTIF('Horário - Graduação'!$C15:$AW15,"*"&amp;$C$1&amp;"*")&gt;1,"CHOQUE",IFERROR(HLOOKUP("*"&amp;$C$1&amp;"*",'Horário - Graduação'!$C15:$AW$23,$I16,FALSE),"Janela"))</f>
        <v>Janela</v>
      </c>
      <c r="L16" s="42" t="str">
        <f>IF(COUNTIF('Horário - Graduação'!$C36:$AW36,"*"&amp;$C$1&amp;"*")&gt;1,"CHOQUE",IFERROR(HLOOKUP("*"&amp;$C$1&amp;"*",'Horário - Graduação'!$C36:$AW$44,$I16,FALSE),"Janela"))</f>
        <v>Janela</v>
      </c>
      <c r="M16" s="42" t="str">
        <f>IF(COUNTIF('Horário - Graduação'!$C57:$AW57,"*"&amp;$C$1&amp;"*")&gt;1,"CHOQUE",IFERROR(HLOOKUP("*"&amp;$C$1&amp;"*",'Horário - Graduação'!$C57:$AW$65,$I16,FALSE),"Janela"))</f>
        <v>Janela</v>
      </c>
      <c r="N16" s="42" t="str">
        <f>IF(COUNTIF('Horário - Graduação'!$C78:$AW78,"*"&amp;$C$1&amp;"*")&gt;1,"CHOQUE",IFERROR(HLOOKUP("*"&amp;$C$1&amp;"*",'Horário - Graduação'!$C78:$AW$86,$I16,FALSE),"Janela"))</f>
        <v>Janela</v>
      </c>
      <c r="O16" s="42" t="str">
        <f>IF(COUNTIF('Horário - Graduação'!$C99:$AW99,"*"&amp;$C$1&amp;"*")&gt;1,"CHOQUE",IFERROR(HLOOKUP("*"&amp;$C$1&amp;"*",'Horário - Graduação'!$C99:$AW$107,$I16,FALSE),"Janela"))</f>
        <v>Janela</v>
      </c>
    </row>
    <row r="17" ht="25.5" customHeight="1">
      <c r="A17" s="25">
        <v>1.0</v>
      </c>
      <c r="B17" s="20" t="s">
        <v>164</v>
      </c>
      <c r="C17" s="157" t="str">
        <f>IF(COUNTIF('Horário - Ensino Médio'!$C$16:$V$16,"*"&amp;$C$1&amp;"*")&gt;1,"CHOQUE",IFERROR(HLOOKUP("*"&amp;$C$1&amp;"*",'Horário - Ensino Médio'!$C$16:$V$17,$A$17,FALSE),"Janela"))</f>
        <v>Janela</v>
      </c>
      <c r="D17" s="157" t="str">
        <f>IF(COUNTIF('Horário - Ensino Médio'!$C$31:$V$31,"*"&amp;$C$1&amp;"*")&gt;1,"CHOQUE",IFERROR(HLOOKUP("*"&amp;$C$1&amp;"*",'Horário - Ensino Médio'!$C$31:$V$32,$A$17,FALSE),"Janela"))</f>
        <v>Janela</v>
      </c>
      <c r="E17" s="157" t="str">
        <f>IF(COUNTIF('Horário - Ensino Médio'!$C$45:$V$46,"*"&amp;$C$1&amp;"*")&gt;1,"CHOQUE",IFERROR(HLOOKUP("*"&amp;$C$1&amp;"*",'Horário - Ensino Médio'!$C$46:$V$47,$A$17,FALSE),"Janela"))</f>
        <v>Janela</v>
      </c>
      <c r="F17" s="157" t="str">
        <f>IF(COUNTIF('Horário - Ensino Médio'!$C$61:$V$61,"*"&amp;$C$1&amp;"*")&gt;1,"CHOQUE",IFERROR(HLOOKUP("*"&amp;$C$1&amp;"*",'Horário - Ensino Médio'!$C$61:$V$62,$A$17,FALSE),"Janela"))</f>
        <v>Janela</v>
      </c>
      <c r="G17" s="157" t="str">
        <f>IF(COUNTIF('Horário - Ensino Médio'!$C$76:$V$76,"*"&amp;$C$1&amp;"*")&gt;1,"CHOQUE",IFERROR(HLOOKUP("*"&amp;$C$1&amp;"*",'Horário - Ensino Médio'!$C$76:$V$77,$A$17,FALSE),"Janela"))</f>
        <v>Janela</v>
      </c>
      <c r="H17" s="71"/>
      <c r="I17" s="29">
        <v>8.0</v>
      </c>
      <c r="J17" s="20" t="s">
        <v>164</v>
      </c>
      <c r="K17" s="42" t="str">
        <f>IF(COUNTIF('Horário - Graduação'!$C16:$AW16,"*"&amp;$C$1&amp;"*")&gt;1,"CHOQUE",IFERROR(HLOOKUP("*"&amp;$C$1&amp;"*",'Horário - Graduação'!$C16:$AW$23,$I17,FALSE),"Janela"))</f>
        <v>Janela</v>
      </c>
      <c r="L17" s="42" t="str">
        <f>IF(COUNTIF('Horário - Graduação'!$C37:$AW37,"*"&amp;$C$1&amp;"*")&gt;1,"CHOQUE",IFERROR(HLOOKUP("*"&amp;$C$1&amp;"*",'Horário - Graduação'!$C37:$AW$44,$I17,FALSE),"Janela"))</f>
        <v>Janela</v>
      </c>
      <c r="M17" s="42" t="str">
        <f>IF(COUNTIF('Horário - Graduação'!$C58:$AW58,"*"&amp;$C$1&amp;"*")&gt;1,"CHOQUE",IFERROR(HLOOKUP("*"&amp;$C$1&amp;"*",'Horário - Graduação'!$C58:$AW$65,$I17,FALSE),"Janela"))</f>
        <v>Janela</v>
      </c>
      <c r="N17" s="42" t="str">
        <f>IF(COUNTIF('Horário - Graduação'!$C79:$AW79,"*"&amp;$C$1&amp;"*")&gt;1,"CHOQUE",IFERROR(HLOOKUP("*"&amp;$C$1&amp;"*",'Horário - Graduação'!$C79:$AW$86,$I17,FALSE),"Janela"))</f>
        <v>Janela</v>
      </c>
      <c r="O17" s="42" t="str">
        <f>IF(COUNTIF('Horário - Graduação'!$C100:$AW100,"*"&amp;$C$1&amp;"*")&gt;1,"CHOQUE",IFERROR(HLOOKUP("*"&amp;$C$1&amp;"*",'Horário - Graduação'!$C100:$AW$107,$I17,FALSE),"Janela"))</f>
        <v>Janela</v>
      </c>
    </row>
    <row r="18" ht="15.75" customHeight="1">
      <c r="A18" s="166"/>
      <c r="B18" s="166"/>
      <c r="C18" s="166"/>
      <c r="D18" s="166"/>
      <c r="E18" s="166"/>
      <c r="F18" s="166"/>
      <c r="G18" s="166"/>
      <c r="H18" s="71"/>
      <c r="I18" s="29">
        <v>7.0</v>
      </c>
      <c r="J18" s="77" t="s">
        <v>111</v>
      </c>
      <c r="K18" s="69" t="s">
        <v>111</v>
      </c>
      <c r="L18" s="69" t="s">
        <v>111</v>
      </c>
      <c r="M18" s="69" t="s">
        <v>111</v>
      </c>
      <c r="N18" s="69" t="s">
        <v>111</v>
      </c>
      <c r="O18" s="69" t="s">
        <v>111</v>
      </c>
    </row>
    <row r="19" ht="25.5" customHeight="1">
      <c r="A19" s="166"/>
      <c r="B19" s="13" t="s">
        <v>1008</v>
      </c>
      <c r="C19" s="13" t="str">
        <f>(55-(COUNTIF(C4:G17,"Janela")))&amp;" h/a"</f>
        <v>14 h/a</v>
      </c>
      <c r="D19" s="166"/>
      <c r="E19" s="166"/>
      <c r="F19" s="166"/>
      <c r="G19" s="166"/>
      <c r="H19" s="71"/>
      <c r="I19" s="29">
        <v>6.0</v>
      </c>
      <c r="J19" s="20" t="s">
        <v>174</v>
      </c>
      <c r="K19" s="42" t="str">
        <f>IF(COUNTIF('Horário - Graduação'!$C18:$AW18,"*"&amp;$C$1&amp;"*")&gt;1,"CHOQUE",IFERROR(HLOOKUP("*"&amp;$C$1&amp;"*",'Horário - Graduação'!$C18:$AW$23,$I19,FALSE),"Janela"))</f>
        <v>Janela</v>
      </c>
      <c r="L19" s="42" t="str">
        <f>IF(COUNTIF('Horário - Graduação'!$C39:$AW39,"*"&amp;$C$1&amp;"*")&gt;1,"CHOQUE",IFERROR(HLOOKUP("*"&amp;$C$1&amp;"*",'Horário - Graduação'!$C39:$AW$44,$I19,FALSE),"Janela"))</f>
        <v>Janela</v>
      </c>
      <c r="M19" s="42" t="str">
        <f>IF(COUNTIF('Horário - Graduação'!$C60:$AW60,"*"&amp;$C$1&amp;"*")&gt;1,"CHOQUE",IFERROR(HLOOKUP("*"&amp;$C$1&amp;"*",'Horário - Graduação'!$C60:$AW$65,$I19,FALSE),"Janela"))</f>
        <v>Janela</v>
      </c>
      <c r="N19" s="42" t="str">
        <f>IF(COUNTIF('Horário - Graduação'!$C81:$AW81,"*"&amp;$C$1&amp;"*")&gt;1,"CHOQUE",IFERROR(HLOOKUP("*"&amp;$C$1&amp;"*",'Horário - Graduação'!$C81:$AW$86,$I19,FALSE),"Janela"))</f>
        <v>8º PERÍODO
Lic. Física</v>
      </c>
      <c r="O19" s="42" t="str">
        <f>IF(COUNTIF('Horário - Graduação'!$C102:$AW102,"*"&amp;$C$1&amp;"*")&gt;1,"CHOQUE",IFERROR(HLOOKUP("*"&amp;$C$1&amp;"*",'Horário - Graduação'!$C102:$AW$107,$I19,FALSE),"Janela"))</f>
        <v>8º PERÍODO
Lic. Física</v>
      </c>
    </row>
    <row r="20" ht="25.5" customHeight="1">
      <c r="A20" s="166"/>
      <c r="B20" s="167"/>
      <c r="C20" s="167"/>
      <c r="D20" s="166"/>
      <c r="E20" s="166"/>
      <c r="F20" s="166"/>
      <c r="G20" s="166"/>
      <c r="H20" s="71"/>
      <c r="I20" s="29">
        <v>5.0</v>
      </c>
      <c r="J20" s="20" t="s">
        <v>193</v>
      </c>
      <c r="K20" s="42" t="str">
        <f>IF(COUNTIF('Horário - Graduação'!$C19:$AW19,"*"&amp;$C$1&amp;"*")&gt;1,"CHOQUE",IFERROR(HLOOKUP("*"&amp;$C$1&amp;"*",'Horário - Graduação'!$C19:$AW$23,$I20,FALSE),"Janela"))</f>
        <v>Janela</v>
      </c>
      <c r="L20" s="42" t="str">
        <f>IF(COUNTIF('Horário - Graduação'!$C40:$AW40,"*"&amp;$C$1&amp;"*")&gt;1,"CHOQUE",IFERROR(HLOOKUP("*"&amp;$C$1&amp;"*",'Horário - Graduação'!$C40:$AW$44,$I20,FALSE),"Janela"))</f>
        <v>Janela</v>
      </c>
      <c r="M20" s="42" t="str">
        <f>IF(COUNTIF('Horário - Graduação'!$C61:$AW61,"*"&amp;$C$1&amp;"*")&gt;1,"CHOQUE",IFERROR(HLOOKUP("*"&amp;$C$1&amp;"*",'Horário - Graduação'!$C61:$AW$65,$I20,FALSE),"Janela"))</f>
        <v>Janela</v>
      </c>
      <c r="N20" s="42" t="str">
        <f>IF(COUNTIF('Horário - Graduação'!$C82:$AW82,"*"&amp;$C$1&amp;"*")&gt;1,"CHOQUE",IFERROR(HLOOKUP("*"&amp;$C$1&amp;"*",'Horário - Graduação'!$C82:$AW$86,$I20,FALSE),"Janela"))</f>
        <v>8º PERÍODO
Lic. Física</v>
      </c>
      <c r="O20" s="42" t="str">
        <f>IF(COUNTIF('Horário - Graduação'!$C103:$AW103,"*"&amp;$C$1&amp;"*")&gt;1,"CHOQUE",IFERROR(HLOOKUP("*"&amp;$C$1&amp;"*",'Horário - Graduação'!$C103:$AW$107,$I20,FALSE),"Janela"))</f>
        <v>8º PERÍODO
Lic. Física</v>
      </c>
    </row>
    <row r="21" ht="15.75" customHeight="1">
      <c r="A21" s="166"/>
      <c r="B21" s="21" t="s">
        <v>1009</v>
      </c>
      <c r="C21" s="17" t="str">
        <f>(75-(COUNTIF(K4:O23,"Janela")))&amp;" h/a"</f>
        <v>6 h/a</v>
      </c>
      <c r="D21" s="166"/>
      <c r="E21" s="166"/>
      <c r="F21" s="166"/>
      <c r="G21" s="166"/>
      <c r="H21" s="71"/>
      <c r="I21" s="29">
        <v>4.0</v>
      </c>
      <c r="J21" s="77" t="s">
        <v>111</v>
      </c>
      <c r="K21" s="69" t="s">
        <v>111</v>
      </c>
      <c r="L21" s="69" t="s">
        <v>111</v>
      </c>
      <c r="M21" s="69" t="s">
        <v>111</v>
      </c>
      <c r="N21" s="69" t="s">
        <v>111</v>
      </c>
      <c r="O21" s="69" t="s">
        <v>111</v>
      </c>
    </row>
    <row r="22" ht="25.5" customHeight="1">
      <c r="A22" s="166"/>
      <c r="B22" s="167"/>
      <c r="C22" s="167"/>
      <c r="D22" s="166"/>
      <c r="E22" s="166"/>
      <c r="F22" s="166"/>
      <c r="G22" s="166"/>
      <c r="H22" s="71"/>
      <c r="I22" s="29">
        <v>3.0</v>
      </c>
      <c r="J22" s="20" t="s">
        <v>198</v>
      </c>
      <c r="K22" s="42" t="str">
        <f>IF(COUNTIF('Horário - Graduação'!$C21:$AW21,"*"&amp;$C$1&amp;"*")&gt;1,"CHOQUE",IFERROR(HLOOKUP("*"&amp;$C$1&amp;"*",'Horário - Graduação'!$C21:$AW$23,$I22,FALSE),"Janela"))</f>
        <v>Janela</v>
      </c>
      <c r="L22" s="42" t="str">
        <f>IF(COUNTIF('Horário - Graduação'!$C42:$AW42,"*"&amp;$C$1&amp;"*")&gt;1,"CHOQUE",IFERROR(HLOOKUP("*"&amp;$C$1&amp;"*",'Horário - Graduação'!$C42:$AW$44,$I22,FALSE),"Janela"))</f>
        <v>Janela</v>
      </c>
      <c r="M22" s="42" t="str">
        <f>IF(COUNTIF('Horário - Graduação'!$C63:$AW63,"*"&amp;$C$1&amp;"*")&gt;1,"CHOQUE",IFERROR(HLOOKUP("*"&amp;$C$1&amp;"*",'Horário - Graduação'!$C63:$AW$65,$I22,FALSE),"Janela"))</f>
        <v>Janela</v>
      </c>
      <c r="N22" s="42" t="str">
        <f>IF(COUNTIF('Horário - Graduação'!$C84:$AW84,"*"&amp;$C$1&amp;"*")&gt;1,"CHOQUE",IFERROR(HLOOKUP("*"&amp;$C$1&amp;"*",'Horário - Graduação'!$C84:$AW$86,$I22,FALSE),"Janela"))</f>
        <v>Janela</v>
      </c>
      <c r="O22" s="42" t="str">
        <f>IF(COUNTIF('Horário - Graduação'!$C105:$AW105,"*"&amp;$C$1&amp;"*")&gt;1,"CHOQUE",IFERROR(HLOOKUP("*"&amp;$C$1&amp;"*",'Horário - Graduação'!$C105:$AW$107,$I22,FALSE),"Janela"))</f>
        <v>6º PERÍODO
Lic. Biológicas</v>
      </c>
    </row>
    <row r="23" ht="25.5" customHeight="1">
      <c r="A23" s="166"/>
      <c r="B23" s="21" t="s">
        <v>17</v>
      </c>
      <c r="C23" s="17" t="str">
        <f>(130-((COUNTIF(C4:G17,"Janela"))+(COUNTIF(K4:O23,"Janela"))))&amp;" h/a"</f>
        <v>20 h/a</v>
      </c>
      <c r="D23" s="166"/>
      <c r="E23" s="166"/>
      <c r="F23" s="166"/>
      <c r="G23" s="166"/>
      <c r="H23" s="71"/>
      <c r="I23" s="29">
        <v>2.0</v>
      </c>
      <c r="J23" s="20" t="s">
        <v>210</v>
      </c>
      <c r="K23" s="42" t="str">
        <f>IF(COUNTIF('Horário - Graduação'!$C22:$AW22,"*"&amp;$C$1&amp;"*")&gt;1,"CHOQUE",IFERROR(HLOOKUP("*"&amp;$C$1&amp;"*",'Horário - Graduação'!$C22:$AW$23,$I23,FALSE),"Janela"))</f>
        <v>Janela</v>
      </c>
      <c r="L23" s="42" t="str">
        <f>IF(COUNTIF('Horário - Graduação'!$C43:$AW43,"*"&amp;$C$1&amp;"*")&gt;1,"CHOQUE",IFERROR(HLOOKUP("*"&amp;$C$1&amp;"*",'Horário - Graduação'!$C43:$AW$44,$I23,FALSE),"Janela"))</f>
        <v>Janela</v>
      </c>
      <c r="M23" s="42" t="str">
        <f>IF(COUNTIF('Horário - Graduação'!$C64:$AW64,"*"&amp;$C$1&amp;"*")&gt;1,"CHOQUE",IFERROR(HLOOKUP("*"&amp;$C$1&amp;"*",'Horário - Graduação'!$C64:$AW$65,$I23,FALSE),"Janela"))</f>
        <v>Janela</v>
      </c>
      <c r="N23" s="42" t="str">
        <f>IF(COUNTIF('Horário - Graduação'!$C85:$AW85,"*"&amp;$C$1&amp;"*")&gt;1,"CHOQUE",IFERROR(HLOOKUP("*"&amp;$C$1&amp;"*",'Horário - Graduação'!$C85:$AW$86,$I23,FALSE),"Janela"))</f>
        <v>Janela</v>
      </c>
      <c r="O23" s="42" t="str">
        <f>IF(COUNTIF('Horário - Graduação'!$C106:$AW106,"*"&amp;$C$1&amp;"*")&gt;1,"CHOQUE",IFERROR(HLOOKUP("*"&amp;$C$1&amp;"*",'Horário - Graduação'!$C106:$AW$107,$I23,FALSE),"Janela"))</f>
        <v>6º PERÍODO
Lic. Biológicas</v>
      </c>
    </row>
    <row r="24" ht="15.75" customHeight="1">
      <c r="A24" s="166"/>
      <c r="B24" s="167"/>
      <c r="C24" s="167"/>
      <c r="D24" s="166"/>
      <c r="E24" s="166"/>
      <c r="F24" s="166"/>
      <c r="G24" s="166"/>
      <c r="H24" s="71"/>
      <c r="I24" s="71"/>
      <c r="J24" s="71"/>
      <c r="K24" s="71"/>
      <c r="L24" s="71"/>
      <c r="M24" s="71"/>
      <c r="N24" s="71"/>
      <c r="O24" s="71"/>
    </row>
    <row r="25" ht="15.75" customHeight="1">
      <c r="A25" s="166"/>
      <c r="B25" s="167"/>
      <c r="C25" s="167"/>
      <c r="D25" s="166"/>
      <c r="E25" s="166"/>
      <c r="F25" s="166"/>
      <c r="G25" s="166"/>
      <c r="H25" s="71"/>
      <c r="I25" s="168"/>
      <c r="J25" s="169"/>
      <c r="K25" s="169"/>
      <c r="L25" s="71"/>
      <c r="M25" s="71"/>
      <c r="N25" s="71"/>
      <c r="O25" s="71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</sheetData>
  <mergeCells count="4">
    <mergeCell ref="A1:B1"/>
    <mergeCell ref="C1:G1"/>
    <mergeCell ref="I1:J1"/>
    <mergeCell ref="K1:O1"/>
  </mergeCells>
  <conditionalFormatting sqref="C4:H17 K4:O24">
    <cfRule type="cellIs" dxfId="0" priority="1" operator="equal">
      <formula>"CHOQUE"</formula>
    </cfRule>
  </conditionalFormatting>
  <conditionalFormatting sqref="C4:H17 K4:O23">
    <cfRule type="cellIs" dxfId="1" priority="2" operator="equal">
      <formula>"Janela"</formula>
    </cfRule>
  </conditionalFormatting>
  <conditionalFormatting sqref="C4:G17 K6:O6 K10:O10 K13:O13 K18:O18 K21:O21">
    <cfRule type="containsText" dxfId="2" priority="3" operator="containsText" text="Agroindústria">
      <formula>NOT(ISERROR(SEARCH(("Agroindústria"),(C4))))</formula>
    </cfRule>
  </conditionalFormatting>
  <conditionalFormatting sqref="C4:G17 K6:O6 K10:O10 K13:O13 K18:O18 K21:O21">
    <cfRule type="containsText" dxfId="3" priority="4" operator="containsText" text="Agropecuária">
      <formula>NOT(ISERROR(SEARCH(("Agropecuária"),(C4))))</formula>
    </cfRule>
  </conditionalFormatting>
  <conditionalFormatting sqref="C4:G17 K6:O6 K10:O10 K13:O13 K18:O18 K21:O21">
    <cfRule type="containsText" dxfId="4" priority="5" operator="containsText" text="Informática">
      <formula>NOT(ISERROR(SEARCH(("Informática"),(C4))))</formula>
    </cfRule>
  </conditionalFormatting>
  <dataValidations>
    <dataValidation type="list" allowBlank="1" sqref="K1">
      <formula1>'Validação de Dados'!$A$2:$A$109</formula1>
    </dataValidation>
    <dataValidation type="list" allowBlank="1" sqref="C1">
      <formula1>'Validação de Dados'!$A:$A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34.13"/>
    <col customWidth="1" min="3" max="6" width="12.63"/>
  </cols>
  <sheetData>
    <row r="1" ht="15.75" customHeight="1">
      <c r="A1" s="158" t="s">
        <v>795</v>
      </c>
      <c r="B1" s="159" t="s">
        <v>796</v>
      </c>
    </row>
    <row r="2" ht="15.75" customHeight="1">
      <c r="A2" s="146" t="s">
        <v>797</v>
      </c>
      <c r="B2" s="160" t="s">
        <v>798</v>
      </c>
    </row>
    <row r="3" ht="15.75" customHeight="1">
      <c r="A3" s="146" t="s">
        <v>799</v>
      </c>
      <c r="B3" s="160" t="s">
        <v>800</v>
      </c>
    </row>
    <row r="4" ht="15.75" customHeight="1">
      <c r="A4" s="146" t="s">
        <v>801</v>
      </c>
      <c r="B4" s="160" t="s">
        <v>802</v>
      </c>
    </row>
    <row r="5" ht="15.75" customHeight="1">
      <c r="A5" s="146" t="s">
        <v>803</v>
      </c>
      <c r="B5" s="160" t="s">
        <v>804</v>
      </c>
    </row>
    <row r="6" ht="15.75" customHeight="1">
      <c r="A6" s="146" t="s">
        <v>805</v>
      </c>
      <c r="B6" s="160" t="s">
        <v>806</v>
      </c>
    </row>
    <row r="7" ht="15.75" customHeight="1">
      <c r="A7" s="146" t="s">
        <v>807</v>
      </c>
      <c r="B7" s="160" t="s">
        <v>808</v>
      </c>
    </row>
    <row r="8" ht="15.75" customHeight="1">
      <c r="A8" s="146" t="s">
        <v>809</v>
      </c>
      <c r="B8" s="160" t="s">
        <v>810</v>
      </c>
    </row>
    <row r="9" ht="15.75" customHeight="1">
      <c r="A9" s="146" t="s">
        <v>811</v>
      </c>
      <c r="B9" s="160" t="s">
        <v>812</v>
      </c>
    </row>
    <row r="10" ht="15.75" customHeight="1">
      <c r="A10" s="146" t="s">
        <v>813</v>
      </c>
      <c r="B10" s="160" t="s">
        <v>3</v>
      </c>
    </row>
    <row r="11" ht="15.75" customHeight="1">
      <c r="A11" s="146" t="s">
        <v>814</v>
      </c>
      <c r="B11" s="160" t="s">
        <v>815</v>
      </c>
    </row>
    <row r="12" ht="15.75" customHeight="1">
      <c r="A12" s="146" t="s">
        <v>816</v>
      </c>
      <c r="B12" s="160" t="s">
        <v>817</v>
      </c>
    </row>
    <row r="13" ht="15.75" customHeight="1">
      <c r="A13" s="146" t="s">
        <v>818</v>
      </c>
      <c r="B13" s="160" t="s">
        <v>819</v>
      </c>
    </row>
    <row r="14" ht="15.75" customHeight="1">
      <c r="A14" s="146" t="s">
        <v>820</v>
      </c>
      <c r="B14" s="160" t="s">
        <v>821</v>
      </c>
    </row>
    <row r="15" ht="15.75" customHeight="1">
      <c r="A15" s="146" t="s">
        <v>822</v>
      </c>
      <c r="B15" s="160" t="s">
        <v>823</v>
      </c>
    </row>
    <row r="16" ht="15.75" customHeight="1">
      <c r="A16" s="146" t="s">
        <v>824</v>
      </c>
      <c r="B16" s="160" t="s">
        <v>825</v>
      </c>
    </row>
    <row r="17" ht="15.75" customHeight="1">
      <c r="A17" s="146" t="s">
        <v>826</v>
      </c>
      <c r="B17" s="160" t="s">
        <v>827</v>
      </c>
    </row>
    <row r="18" ht="15.75" customHeight="1">
      <c r="A18" s="146" t="s">
        <v>828</v>
      </c>
      <c r="B18" s="160" t="s">
        <v>829</v>
      </c>
    </row>
    <row r="19" ht="15.75" customHeight="1">
      <c r="A19" s="146" t="s">
        <v>830</v>
      </c>
      <c r="B19" s="160" t="s">
        <v>831</v>
      </c>
    </row>
    <row r="20" ht="15.75" customHeight="1">
      <c r="A20" s="146" t="s">
        <v>832</v>
      </c>
      <c r="B20" s="160" t="s">
        <v>833</v>
      </c>
    </row>
    <row r="21" ht="15.75" customHeight="1">
      <c r="A21" s="161" t="s">
        <v>834</v>
      </c>
      <c r="B21" s="160" t="s">
        <v>835</v>
      </c>
    </row>
    <row r="22" ht="15.75" customHeight="1">
      <c r="A22" s="146" t="s">
        <v>836</v>
      </c>
      <c r="B22" s="160" t="s">
        <v>837</v>
      </c>
    </row>
    <row r="23" ht="15.75" customHeight="1">
      <c r="A23" s="146" t="s">
        <v>838</v>
      </c>
      <c r="B23" s="160" t="s">
        <v>839</v>
      </c>
    </row>
    <row r="24" ht="15.75" customHeight="1">
      <c r="A24" s="146" t="s">
        <v>788</v>
      </c>
      <c r="B24" s="160" t="s">
        <v>840</v>
      </c>
    </row>
    <row r="25" ht="15.75" customHeight="1">
      <c r="A25" s="146" t="s">
        <v>841</v>
      </c>
      <c r="B25" s="160" t="s">
        <v>842</v>
      </c>
    </row>
    <row r="26" ht="15.75" customHeight="1">
      <c r="A26" s="146" t="s">
        <v>843</v>
      </c>
      <c r="B26" s="160" t="s">
        <v>844</v>
      </c>
    </row>
    <row r="27" ht="15.75" customHeight="1">
      <c r="A27" s="146" t="s">
        <v>845</v>
      </c>
      <c r="B27" s="160" t="s">
        <v>846</v>
      </c>
    </row>
    <row r="28" ht="15.75" customHeight="1">
      <c r="A28" s="162" t="s">
        <v>847</v>
      </c>
      <c r="B28" s="160" t="s">
        <v>848</v>
      </c>
      <c r="C28" s="163"/>
    </row>
    <row r="29" ht="15.75" customHeight="1">
      <c r="A29" s="146" t="s">
        <v>849</v>
      </c>
      <c r="B29" s="160" t="s">
        <v>850</v>
      </c>
    </row>
    <row r="30" ht="15.75" customHeight="1">
      <c r="A30" s="146" t="s">
        <v>851</v>
      </c>
      <c r="B30" s="160" t="s">
        <v>852</v>
      </c>
    </row>
    <row r="31" ht="15.75" customHeight="1">
      <c r="A31" s="146" t="s">
        <v>853</v>
      </c>
      <c r="B31" s="160" t="s">
        <v>854</v>
      </c>
    </row>
    <row r="32" ht="15.75" customHeight="1">
      <c r="A32" s="146" t="s">
        <v>855</v>
      </c>
      <c r="B32" s="160" t="s">
        <v>856</v>
      </c>
    </row>
    <row r="33" ht="15.75" customHeight="1">
      <c r="A33" s="146" t="s">
        <v>857</v>
      </c>
      <c r="B33" s="160" t="s">
        <v>858</v>
      </c>
    </row>
    <row r="34" ht="15.75" customHeight="1">
      <c r="A34" s="146" t="s">
        <v>859</v>
      </c>
      <c r="B34" s="160" t="s">
        <v>860</v>
      </c>
    </row>
    <row r="35" ht="15.75" customHeight="1">
      <c r="A35" s="146" t="s">
        <v>861</v>
      </c>
      <c r="B35" s="160" t="s">
        <v>862</v>
      </c>
    </row>
    <row r="36" ht="15.75" customHeight="1">
      <c r="A36" s="146" t="s">
        <v>863</v>
      </c>
      <c r="B36" s="160" t="s">
        <v>864</v>
      </c>
    </row>
    <row r="37" ht="15.75" customHeight="1">
      <c r="A37" s="146" t="s">
        <v>865</v>
      </c>
      <c r="B37" s="160" t="s">
        <v>866</v>
      </c>
    </row>
    <row r="38" ht="15.75" customHeight="1">
      <c r="A38" s="146" t="s">
        <v>867</v>
      </c>
      <c r="B38" s="160" t="s">
        <v>868</v>
      </c>
    </row>
    <row r="39" ht="15.75" customHeight="1">
      <c r="A39" s="146" t="s">
        <v>869</v>
      </c>
      <c r="B39" s="160" t="s">
        <v>870</v>
      </c>
    </row>
    <row r="40" ht="15.75" customHeight="1">
      <c r="A40" s="146" t="s">
        <v>871</v>
      </c>
      <c r="B40" s="160" t="s">
        <v>872</v>
      </c>
    </row>
    <row r="41" ht="15.75" customHeight="1">
      <c r="A41" s="146" t="s">
        <v>873</v>
      </c>
      <c r="B41" s="160" t="s">
        <v>874</v>
      </c>
    </row>
    <row r="42" ht="15.75" customHeight="1">
      <c r="A42" s="164" t="s">
        <v>875</v>
      </c>
      <c r="B42" s="160" t="s">
        <v>876</v>
      </c>
    </row>
    <row r="43" ht="15.75" customHeight="1">
      <c r="A43" s="146" t="s">
        <v>877</v>
      </c>
      <c r="B43" s="160" t="s">
        <v>878</v>
      </c>
    </row>
    <row r="44" ht="15.75" customHeight="1">
      <c r="A44" s="146" t="s">
        <v>879</v>
      </c>
      <c r="B44" s="160" t="s">
        <v>880</v>
      </c>
    </row>
    <row r="45" ht="15.75" customHeight="1">
      <c r="A45" s="146" t="s">
        <v>881</v>
      </c>
      <c r="B45" s="160" t="s">
        <v>882</v>
      </c>
    </row>
    <row r="46" ht="15.75" customHeight="1">
      <c r="A46" s="146" t="s">
        <v>883</v>
      </c>
      <c r="B46" s="160" t="s">
        <v>882</v>
      </c>
    </row>
    <row r="47" ht="15.75" customHeight="1">
      <c r="A47" s="146" t="s">
        <v>884</v>
      </c>
      <c r="B47" s="160" t="s">
        <v>885</v>
      </c>
    </row>
    <row r="48" ht="15.75" customHeight="1">
      <c r="A48" s="146" t="s">
        <v>886</v>
      </c>
      <c r="B48" s="160" t="s">
        <v>887</v>
      </c>
    </row>
    <row r="49" ht="15.75" customHeight="1">
      <c r="A49" s="146" t="s">
        <v>888</v>
      </c>
      <c r="B49" s="160" t="s">
        <v>889</v>
      </c>
    </row>
    <row r="50" ht="15.75" customHeight="1">
      <c r="A50" s="146" t="s">
        <v>890</v>
      </c>
      <c r="B50" s="146" t="s">
        <v>891</v>
      </c>
    </row>
    <row r="51" ht="15.75" customHeight="1">
      <c r="A51" s="146" t="s">
        <v>892</v>
      </c>
      <c r="B51" s="146" t="s">
        <v>893</v>
      </c>
    </row>
    <row r="52" ht="15.75" customHeight="1">
      <c r="A52" s="146" t="s">
        <v>894</v>
      </c>
      <c r="B52" s="160" t="s">
        <v>895</v>
      </c>
    </row>
    <row r="53" ht="15.75" customHeight="1">
      <c r="A53" s="146" t="s">
        <v>896</v>
      </c>
      <c r="B53" s="146" t="s">
        <v>897</v>
      </c>
    </row>
    <row r="54" ht="15.75" customHeight="1">
      <c r="A54" s="146" t="s">
        <v>898</v>
      </c>
      <c r="B54" s="160" t="s">
        <v>899</v>
      </c>
    </row>
    <row r="55" ht="15.75" customHeight="1">
      <c r="A55" s="146" t="s">
        <v>900</v>
      </c>
      <c r="B55" s="160" t="s">
        <v>901</v>
      </c>
    </row>
    <row r="56" ht="15.75" customHeight="1">
      <c r="A56" s="146" t="s">
        <v>902</v>
      </c>
      <c r="B56" s="160" t="s">
        <v>903</v>
      </c>
    </row>
    <row r="57" ht="15.75" customHeight="1">
      <c r="A57" s="146" t="s">
        <v>1</v>
      </c>
      <c r="B57" s="160" t="s">
        <v>904</v>
      </c>
    </row>
    <row r="58" ht="15.75" customHeight="1">
      <c r="A58" s="146" t="s">
        <v>905</v>
      </c>
      <c r="B58" s="160" t="s">
        <v>906</v>
      </c>
    </row>
    <row r="59" ht="15.75" customHeight="1">
      <c r="A59" s="146" t="s">
        <v>907</v>
      </c>
      <c r="B59" s="160" t="s">
        <v>908</v>
      </c>
    </row>
    <row r="60" ht="15.75" customHeight="1">
      <c r="A60" s="146" t="s">
        <v>909</v>
      </c>
      <c r="B60" s="160" t="s">
        <v>910</v>
      </c>
    </row>
    <row r="61" ht="15.75" customHeight="1">
      <c r="A61" s="146" t="s">
        <v>911</v>
      </c>
      <c r="B61" s="160" t="s">
        <v>912</v>
      </c>
    </row>
    <row r="62" ht="15.75" customHeight="1">
      <c r="A62" s="146" t="s">
        <v>913</v>
      </c>
      <c r="B62" s="160" t="s">
        <v>914</v>
      </c>
    </row>
    <row r="63" ht="15.75" customHeight="1">
      <c r="A63" s="146" t="s">
        <v>915</v>
      </c>
      <c r="B63" s="160" t="s">
        <v>916</v>
      </c>
    </row>
    <row r="64" ht="15.75" customHeight="1">
      <c r="A64" s="146" t="s">
        <v>917</v>
      </c>
      <c r="B64" s="160" t="s">
        <v>918</v>
      </c>
    </row>
    <row r="65" ht="15.75" customHeight="1">
      <c r="A65" s="146" t="s">
        <v>919</v>
      </c>
      <c r="B65" s="160" t="s">
        <v>920</v>
      </c>
    </row>
    <row r="66" ht="15.75" customHeight="1">
      <c r="A66" s="146" t="s">
        <v>921</v>
      </c>
      <c r="B66" s="160" t="s">
        <v>922</v>
      </c>
    </row>
    <row r="67" ht="15.75" customHeight="1">
      <c r="A67" s="146" t="s">
        <v>923</v>
      </c>
      <c r="B67" s="160" t="s">
        <v>924</v>
      </c>
    </row>
    <row r="68" ht="15.75" customHeight="1">
      <c r="A68" s="146" t="s">
        <v>925</v>
      </c>
      <c r="B68" s="160" t="s">
        <v>926</v>
      </c>
    </row>
    <row r="69" ht="15.75" customHeight="1">
      <c r="A69" s="146" t="s">
        <v>927</v>
      </c>
      <c r="B69" s="160" t="s">
        <v>928</v>
      </c>
    </row>
    <row r="70" ht="15.75" customHeight="1">
      <c r="A70" s="146" t="s">
        <v>929</v>
      </c>
      <c r="B70" s="160" t="s">
        <v>930</v>
      </c>
    </row>
    <row r="71" ht="15.75" customHeight="1">
      <c r="A71" s="146" t="s">
        <v>931</v>
      </c>
      <c r="B71" s="160" t="s">
        <v>932</v>
      </c>
    </row>
    <row r="72" ht="15.75" customHeight="1">
      <c r="A72" s="146" t="s">
        <v>933</v>
      </c>
      <c r="B72" s="160" t="s">
        <v>934</v>
      </c>
    </row>
    <row r="73" ht="15.75" customHeight="1">
      <c r="A73" s="146" t="s">
        <v>935</v>
      </c>
      <c r="B73" s="146" t="s">
        <v>936</v>
      </c>
    </row>
    <row r="74" ht="15.75" customHeight="1">
      <c r="A74" s="146" t="s">
        <v>786</v>
      </c>
      <c r="B74" s="146" t="s">
        <v>937</v>
      </c>
    </row>
    <row r="75" ht="15.75" customHeight="1">
      <c r="A75" s="146" t="s">
        <v>938</v>
      </c>
      <c r="B75" s="146" t="s">
        <v>939</v>
      </c>
    </row>
    <row r="76" ht="15.75" customHeight="1">
      <c r="A76" s="146" t="s">
        <v>940</v>
      </c>
      <c r="B76" s="146" t="s">
        <v>941</v>
      </c>
    </row>
    <row r="77" ht="15.75" customHeight="1">
      <c r="A77" s="146" t="s">
        <v>942</v>
      </c>
      <c r="B77" s="146" t="s">
        <v>943</v>
      </c>
    </row>
    <row r="78" ht="15.75" customHeight="1">
      <c r="A78" s="146" t="s">
        <v>944</v>
      </c>
      <c r="B78" s="146" t="s">
        <v>945</v>
      </c>
    </row>
    <row r="79" ht="15.75" customHeight="1">
      <c r="A79" s="146" t="s">
        <v>946</v>
      </c>
      <c r="B79" s="146" t="s">
        <v>947</v>
      </c>
    </row>
    <row r="80" ht="15.75" customHeight="1">
      <c r="A80" s="146" t="s">
        <v>948</v>
      </c>
      <c r="B80" s="146" t="s">
        <v>949</v>
      </c>
    </row>
    <row r="81" ht="15.75" customHeight="1">
      <c r="A81" s="146" t="s">
        <v>950</v>
      </c>
      <c r="B81" s="146" t="s">
        <v>951</v>
      </c>
    </row>
    <row r="82" ht="15.75" customHeight="1">
      <c r="A82" s="164" t="s">
        <v>952</v>
      </c>
      <c r="B82" s="146" t="s">
        <v>953</v>
      </c>
    </row>
    <row r="83" ht="15.75" customHeight="1">
      <c r="A83" s="146" t="s">
        <v>954</v>
      </c>
      <c r="B83" s="146" t="s">
        <v>955</v>
      </c>
    </row>
    <row r="84" ht="15.75" customHeight="1">
      <c r="A84" s="164" t="s">
        <v>956</v>
      </c>
      <c r="B84" s="160" t="s">
        <v>957</v>
      </c>
    </row>
    <row r="85" ht="15.75" customHeight="1">
      <c r="A85" s="146" t="s">
        <v>958</v>
      </c>
      <c r="B85" s="162" t="s">
        <v>959</v>
      </c>
    </row>
    <row r="86" ht="15.75" customHeight="1">
      <c r="A86" s="146" t="s">
        <v>960</v>
      </c>
      <c r="B86" s="162" t="s">
        <v>961</v>
      </c>
    </row>
    <row r="87" ht="15.75" customHeight="1">
      <c r="A87" s="146" t="s">
        <v>962</v>
      </c>
      <c r="B87" s="162" t="s">
        <v>963</v>
      </c>
    </row>
    <row r="88" ht="15.75" customHeight="1">
      <c r="A88" s="146" t="s">
        <v>964</v>
      </c>
      <c r="B88" s="162" t="s">
        <v>965</v>
      </c>
    </row>
    <row r="89" ht="15.75" customHeight="1">
      <c r="A89" s="146" t="s">
        <v>966</v>
      </c>
      <c r="B89" s="165"/>
    </row>
    <row r="90" ht="15.75" customHeight="1">
      <c r="A90" s="146" t="s">
        <v>967</v>
      </c>
      <c r="B90" s="165"/>
    </row>
    <row r="91" ht="15.75" customHeight="1">
      <c r="A91" s="146" t="s">
        <v>968</v>
      </c>
      <c r="B91" s="165"/>
    </row>
    <row r="92" ht="15.75" customHeight="1">
      <c r="A92" s="146" t="s">
        <v>969</v>
      </c>
      <c r="B92" s="165"/>
    </row>
    <row r="93" ht="15.75" customHeight="1">
      <c r="A93" s="146" t="s">
        <v>970</v>
      </c>
      <c r="B93" s="165"/>
    </row>
    <row r="94" ht="15.75" customHeight="1">
      <c r="A94" s="146" t="s">
        <v>971</v>
      </c>
      <c r="B94" s="165"/>
    </row>
    <row r="95" ht="15.75" customHeight="1">
      <c r="A95" s="146" t="s">
        <v>972</v>
      </c>
      <c r="B95" s="165"/>
    </row>
    <row r="96" ht="15.75" customHeight="1">
      <c r="A96" s="146" t="s">
        <v>973</v>
      </c>
      <c r="B96" s="165"/>
    </row>
    <row r="97" ht="15.75" customHeight="1">
      <c r="A97" s="146" t="s">
        <v>974</v>
      </c>
      <c r="B97" s="165"/>
    </row>
    <row r="98" ht="15.75" customHeight="1">
      <c r="A98" s="146" t="s">
        <v>975</v>
      </c>
      <c r="B98" s="165"/>
    </row>
    <row r="99" ht="15.75" customHeight="1">
      <c r="A99" s="146" t="s">
        <v>976</v>
      </c>
      <c r="B99" s="165"/>
    </row>
    <row r="100" ht="15.75" customHeight="1">
      <c r="A100" s="146" t="s">
        <v>977</v>
      </c>
      <c r="B100" s="165"/>
    </row>
    <row r="101" ht="15.75" customHeight="1">
      <c r="A101" s="146" t="s">
        <v>978</v>
      </c>
      <c r="B101" s="165"/>
    </row>
    <row r="102" ht="15.75" customHeight="1">
      <c r="A102" s="146" t="s">
        <v>979</v>
      </c>
      <c r="B102" s="165"/>
    </row>
    <row r="103" ht="15.75" customHeight="1">
      <c r="A103" s="146" t="s">
        <v>980</v>
      </c>
      <c r="B103" s="165"/>
    </row>
    <row r="104" ht="15.75" customHeight="1">
      <c r="A104" s="146" t="s">
        <v>981</v>
      </c>
      <c r="B104" s="165"/>
    </row>
    <row r="105" ht="15.75" customHeight="1">
      <c r="A105" s="146" t="s">
        <v>982</v>
      </c>
      <c r="B105" s="165"/>
    </row>
    <row r="106" ht="15.75" customHeight="1">
      <c r="A106" s="146" t="s">
        <v>983</v>
      </c>
      <c r="B106" s="165"/>
    </row>
    <row r="107" ht="15.75" customHeight="1">
      <c r="A107" s="146" t="s">
        <v>984</v>
      </c>
      <c r="B107" s="165"/>
    </row>
    <row r="108" ht="15.75" customHeight="1">
      <c r="A108" s="146" t="s">
        <v>985</v>
      </c>
      <c r="B108" s="165"/>
    </row>
    <row r="109" ht="15.75" customHeight="1">
      <c r="A109" s="146" t="s">
        <v>986</v>
      </c>
      <c r="B109" s="165"/>
    </row>
    <row r="110" ht="15.75" customHeight="1">
      <c r="A110" s="146" t="s">
        <v>987</v>
      </c>
      <c r="B110" s="165"/>
    </row>
    <row r="111" ht="15.75" customHeight="1">
      <c r="A111" s="146" t="s">
        <v>988</v>
      </c>
      <c r="B111" s="165"/>
    </row>
    <row r="112" ht="15.75" customHeight="1">
      <c r="A112" s="146" t="s">
        <v>989</v>
      </c>
      <c r="B112" s="165"/>
    </row>
    <row r="113" ht="15.75" customHeight="1">
      <c r="A113" s="146" t="s">
        <v>990</v>
      </c>
      <c r="B113" s="165"/>
    </row>
    <row r="114" ht="15.75" customHeight="1">
      <c r="A114" s="146" t="s">
        <v>991</v>
      </c>
      <c r="B114" s="165"/>
    </row>
    <row r="115" ht="15.75" customHeight="1">
      <c r="A115" s="146" t="s">
        <v>992</v>
      </c>
      <c r="B115" s="165"/>
    </row>
    <row r="116" ht="15.75" customHeight="1">
      <c r="A116" s="146" t="s">
        <v>993</v>
      </c>
      <c r="B116" s="165"/>
    </row>
    <row r="117" ht="15.75" customHeight="1">
      <c r="A117" s="146" t="s">
        <v>994</v>
      </c>
      <c r="B117" s="165"/>
    </row>
    <row r="118" ht="15.75" customHeight="1">
      <c r="A118" s="146" t="s">
        <v>995</v>
      </c>
      <c r="B118" s="165"/>
    </row>
    <row r="119" ht="15.75" customHeight="1">
      <c r="A119" s="146" t="s">
        <v>996</v>
      </c>
      <c r="B119" s="165"/>
    </row>
    <row r="120" ht="15.75" customHeight="1">
      <c r="A120" s="146" t="s">
        <v>997</v>
      </c>
      <c r="B120" s="165"/>
    </row>
    <row r="121" ht="15.75" customHeight="1">
      <c r="A121" s="146" t="s">
        <v>998</v>
      </c>
      <c r="B121" s="165"/>
    </row>
    <row r="122" ht="15.75" customHeight="1">
      <c r="A122" s="146" t="s">
        <v>999</v>
      </c>
      <c r="B122" s="165"/>
    </row>
    <row r="123" ht="15.75" customHeight="1">
      <c r="A123" s="146" t="s">
        <v>1000</v>
      </c>
      <c r="B123" s="165"/>
    </row>
    <row r="124" ht="15.75" customHeight="1">
      <c r="A124" s="146" t="s">
        <v>1001</v>
      </c>
      <c r="B124" s="165"/>
    </row>
    <row r="125" ht="15.75" customHeight="1">
      <c r="A125" s="146" t="s">
        <v>1002</v>
      </c>
      <c r="B125" s="165"/>
    </row>
    <row r="126" ht="15.75" customHeight="1">
      <c r="A126" s="146" t="s">
        <v>1003</v>
      </c>
      <c r="B126" s="165"/>
    </row>
    <row r="127" ht="15.75" customHeight="1">
      <c r="A127" s="146" t="s">
        <v>1004</v>
      </c>
      <c r="B127" s="165"/>
    </row>
    <row r="128" ht="15.75" customHeight="1">
      <c r="A128" s="146" t="s">
        <v>1005</v>
      </c>
      <c r="B128" s="165"/>
    </row>
    <row r="129" ht="15.75" customHeight="1">
      <c r="A129" s="146" t="s">
        <v>1006</v>
      </c>
      <c r="B129" s="165"/>
    </row>
    <row r="130" ht="15.75" customHeight="1">
      <c r="A130" s="146" t="s">
        <v>1007</v>
      </c>
      <c r="B130" s="165"/>
    </row>
    <row r="131" ht="15.75" customHeight="1">
      <c r="A131" s="146"/>
      <c r="B131" s="165"/>
    </row>
    <row r="132" ht="15.75" customHeight="1">
      <c r="A132" s="146"/>
      <c r="B132" s="32"/>
    </row>
    <row r="133" ht="15.75" customHeight="1">
      <c r="A133" s="146"/>
      <c r="B133" s="32"/>
    </row>
    <row r="134" ht="15.75" customHeight="1">
      <c r="A134" s="146"/>
      <c r="B134" s="32"/>
    </row>
    <row r="135" ht="15.75" customHeight="1">
      <c r="A135" s="146"/>
      <c r="B135" s="32"/>
    </row>
    <row r="136" ht="15.75" customHeight="1">
      <c r="A136" s="146"/>
      <c r="B136" s="32"/>
    </row>
    <row r="137" ht="15.75" customHeight="1">
      <c r="A137" s="146"/>
      <c r="B137" s="32"/>
    </row>
    <row r="138" ht="15.75" customHeight="1">
      <c r="A138" s="146"/>
      <c r="B138" s="32"/>
    </row>
    <row r="139" ht="15.75" customHeight="1">
      <c r="A139" s="146"/>
      <c r="B139" s="32"/>
    </row>
    <row r="140" ht="15.75" customHeight="1">
      <c r="A140" s="146"/>
      <c r="B140" s="32"/>
    </row>
    <row r="141" ht="15.75" customHeight="1">
      <c r="A141" s="146"/>
      <c r="B141" s="32"/>
    </row>
    <row r="142" ht="15.75" customHeight="1">
      <c r="A142" s="146"/>
      <c r="B142" s="32"/>
    </row>
    <row r="143" ht="15.75" customHeight="1">
      <c r="A143" s="146"/>
      <c r="B143" s="32"/>
    </row>
    <row r="144" ht="15.75" customHeight="1">
      <c r="A144" s="146"/>
      <c r="B144" s="32"/>
    </row>
    <row r="145" ht="15.75" customHeight="1">
      <c r="A145" s="146"/>
      <c r="B145" s="32"/>
    </row>
    <row r="146" ht="15.75" customHeight="1">
      <c r="A146" s="146"/>
      <c r="B146" s="32"/>
    </row>
    <row r="147" ht="15.75" customHeight="1">
      <c r="A147" s="146"/>
      <c r="B147" s="32"/>
    </row>
    <row r="148" ht="15.75" customHeight="1">
      <c r="A148" s="146"/>
      <c r="B148" s="32"/>
    </row>
    <row r="149" ht="15.75" customHeight="1">
      <c r="A149" s="146"/>
      <c r="B149" s="32"/>
    </row>
    <row r="150" ht="15.75" customHeight="1">
      <c r="A150" s="146"/>
      <c r="B150" s="32"/>
    </row>
    <row r="151" ht="15.75" customHeight="1">
      <c r="A151" s="146"/>
      <c r="B151" s="32"/>
    </row>
    <row r="152" ht="15.75" customHeight="1">
      <c r="A152" s="164"/>
      <c r="B152" s="32"/>
    </row>
    <row r="153" ht="15.75" customHeight="1">
      <c r="A153" s="146"/>
      <c r="B153" s="32"/>
    </row>
    <row r="154" ht="15.75" customHeight="1">
      <c r="A154" s="146"/>
      <c r="B154" s="32"/>
    </row>
    <row r="155" ht="15.75" customHeight="1">
      <c r="A155" s="162"/>
      <c r="B155" s="32"/>
    </row>
    <row r="156" ht="15.75" customHeight="1">
      <c r="A156" s="163"/>
      <c r="B156" s="32"/>
    </row>
    <row r="157" ht="15.75" customHeight="1">
      <c r="A157" s="163"/>
      <c r="B157" s="32"/>
    </row>
    <row r="158" ht="15.75" customHeight="1">
      <c r="A158" s="163"/>
      <c r="B158" s="32"/>
    </row>
    <row r="159" ht="15.75" customHeight="1">
      <c r="A159" s="163"/>
      <c r="B159" s="32"/>
    </row>
    <row r="160" ht="15.75" customHeight="1">
      <c r="A160" s="163"/>
      <c r="B160" s="32"/>
    </row>
    <row r="161" ht="15.75" customHeight="1">
      <c r="A161" s="163"/>
      <c r="B161" s="32"/>
    </row>
    <row r="162" ht="15.75" customHeight="1">
      <c r="A162" s="163"/>
      <c r="B162" s="32"/>
    </row>
    <row r="163" ht="15.75" customHeight="1">
      <c r="A163" s="163"/>
      <c r="B163" s="32"/>
    </row>
    <row r="164" ht="15.75" customHeight="1">
      <c r="A164" s="163"/>
      <c r="B164" s="32"/>
    </row>
    <row r="165" ht="15.75" customHeight="1">
      <c r="A165" s="163"/>
      <c r="B165" s="32"/>
    </row>
    <row r="166" ht="15.75" customHeight="1">
      <c r="A166" s="163"/>
      <c r="B166" s="32"/>
    </row>
    <row r="167" ht="15.75" customHeight="1">
      <c r="A167" s="163"/>
      <c r="B167" s="32"/>
    </row>
    <row r="168" ht="15.75" customHeight="1">
      <c r="A168" s="163"/>
      <c r="B168" s="32"/>
    </row>
    <row r="169" ht="15.75" customHeight="1">
      <c r="A169" s="163"/>
      <c r="B169" s="32"/>
    </row>
    <row r="170" ht="15.75" customHeight="1">
      <c r="A170" s="163"/>
      <c r="B170" s="32"/>
    </row>
    <row r="171" ht="15.75" customHeight="1">
      <c r="A171" s="163"/>
      <c r="B171" s="32"/>
    </row>
    <row r="172" ht="15.75" customHeight="1">
      <c r="A172" s="163"/>
      <c r="B172" s="32"/>
    </row>
    <row r="173" ht="15.75" customHeight="1">
      <c r="A173" s="163"/>
      <c r="B173" s="32"/>
    </row>
    <row r="174" ht="15.75" customHeight="1">
      <c r="A174" s="163"/>
      <c r="B174" s="32"/>
    </row>
    <row r="175" ht="15.75" customHeight="1">
      <c r="A175" s="163"/>
      <c r="B175" s="32"/>
    </row>
    <row r="176" ht="15.75" customHeight="1">
      <c r="A176" s="163"/>
      <c r="B176" s="32"/>
    </row>
    <row r="177" ht="15.75" customHeight="1">
      <c r="A177" s="163"/>
      <c r="B177" s="32"/>
    </row>
    <row r="178" ht="15.75" customHeight="1">
      <c r="A178" s="163"/>
      <c r="B178" s="32"/>
    </row>
    <row r="179" ht="15.75" customHeight="1">
      <c r="A179" s="163"/>
      <c r="B179" s="32"/>
    </row>
    <row r="180" ht="15.75" customHeight="1">
      <c r="A180" s="163"/>
      <c r="B180" s="32"/>
    </row>
    <row r="181" ht="15.75" customHeight="1">
      <c r="A181" s="163"/>
      <c r="B181" s="32"/>
    </row>
    <row r="182" ht="15.75" customHeight="1">
      <c r="A182" s="163"/>
      <c r="B182" s="32"/>
    </row>
    <row r="183" ht="15.75" customHeight="1">
      <c r="A183" s="163"/>
      <c r="B183" s="32"/>
    </row>
    <row r="184" ht="15.75" customHeight="1">
      <c r="A184" s="163"/>
      <c r="B184" s="32"/>
    </row>
    <row r="185" ht="15.75" customHeight="1">
      <c r="A185" s="163"/>
      <c r="B185" s="32"/>
    </row>
    <row r="186" ht="15.75" customHeight="1">
      <c r="A186" s="163"/>
      <c r="B186" s="32"/>
    </row>
    <row r="187" ht="15.75" customHeight="1">
      <c r="A187" s="163"/>
      <c r="B187" s="32"/>
    </row>
    <row r="188" ht="15.75" customHeight="1">
      <c r="A188" s="163"/>
      <c r="B188" s="32"/>
    </row>
    <row r="189" ht="15.75" customHeight="1">
      <c r="A189" s="163"/>
      <c r="B189" s="32"/>
    </row>
    <row r="190" ht="15.75" customHeight="1">
      <c r="A190" s="163"/>
      <c r="B190" s="32"/>
    </row>
    <row r="191" ht="15.75" customHeight="1">
      <c r="A191" s="163"/>
      <c r="B191" s="32"/>
    </row>
    <row r="192" ht="15.75" customHeight="1">
      <c r="A192" s="163"/>
      <c r="B192" s="32"/>
    </row>
    <row r="193" ht="15.75" customHeight="1">
      <c r="A193" s="163"/>
      <c r="B193" s="32"/>
    </row>
    <row r="194" ht="15.75" customHeight="1">
      <c r="A194" s="163"/>
      <c r="B194" s="32"/>
    </row>
    <row r="195" ht="15.75" customHeight="1">
      <c r="A195" s="163"/>
      <c r="B195" s="32"/>
    </row>
    <row r="196" ht="15.75" customHeight="1">
      <c r="A196" s="163"/>
      <c r="B196" s="32"/>
    </row>
    <row r="197" ht="15.75" customHeight="1">
      <c r="A197" s="163"/>
      <c r="B197" s="32"/>
    </row>
    <row r="198" ht="15.75" customHeight="1">
      <c r="A198" s="163"/>
      <c r="B198" s="32"/>
    </row>
    <row r="199" ht="15.75" customHeight="1">
      <c r="A199" s="163"/>
      <c r="B199" s="32"/>
    </row>
    <row r="200" ht="15.75" customHeight="1">
      <c r="A200" s="163"/>
      <c r="B200" s="32"/>
    </row>
    <row r="201" ht="15.75" customHeight="1">
      <c r="A201" s="163"/>
      <c r="B201" s="32"/>
    </row>
    <row r="202" ht="15.75" customHeight="1">
      <c r="A202" s="163"/>
      <c r="B202" s="32"/>
    </row>
    <row r="203" ht="15.75" customHeight="1">
      <c r="A203" s="163"/>
      <c r="B203" s="32"/>
    </row>
    <row r="204" ht="15.75" customHeight="1">
      <c r="A204" s="163"/>
      <c r="B204" s="32"/>
    </row>
    <row r="205" ht="15.75" customHeight="1">
      <c r="A205" s="163"/>
      <c r="B205" s="32"/>
    </row>
    <row r="206" ht="15.75" customHeight="1">
      <c r="A206" s="163"/>
      <c r="B206" s="32"/>
    </row>
    <row r="207" ht="15.75" customHeight="1">
      <c r="A207" s="163"/>
      <c r="B207" s="32"/>
    </row>
    <row r="208" ht="15.75" customHeight="1">
      <c r="A208" s="163"/>
      <c r="B208" s="32"/>
    </row>
    <row r="209" ht="15.75" customHeight="1">
      <c r="A209" s="163"/>
      <c r="B209" s="32"/>
    </row>
    <row r="210" ht="15.75" customHeight="1">
      <c r="A210" s="163"/>
      <c r="B210" s="32"/>
    </row>
    <row r="211" ht="15.75" customHeight="1">
      <c r="A211" s="163"/>
      <c r="B211" s="32"/>
    </row>
    <row r="212" ht="15.75" customHeight="1">
      <c r="A212" s="163"/>
      <c r="B212" s="32"/>
    </row>
    <row r="213" ht="15.75" customHeight="1">
      <c r="A213" s="163"/>
      <c r="B213" s="32"/>
    </row>
    <row r="214" ht="15.75" customHeight="1">
      <c r="A214" s="163"/>
      <c r="B214" s="32"/>
    </row>
    <row r="215" ht="15.75" customHeight="1">
      <c r="A215" s="163"/>
      <c r="B215" s="32"/>
    </row>
    <row r="216" ht="15.75" customHeight="1">
      <c r="A216" s="163"/>
      <c r="B216" s="32"/>
    </row>
    <row r="217" ht="15.75" customHeight="1">
      <c r="A217" s="163"/>
      <c r="B217" s="32"/>
    </row>
    <row r="218" ht="15.75" customHeight="1">
      <c r="A218" s="163"/>
      <c r="B218" s="32"/>
    </row>
    <row r="219" ht="15.75" customHeight="1">
      <c r="A219" s="163"/>
      <c r="B219" s="32"/>
    </row>
    <row r="220" ht="15.75" customHeight="1">
      <c r="A220" s="163"/>
      <c r="B220" s="32"/>
    </row>
    <row r="221" ht="15.75" customHeight="1">
      <c r="A221" s="163"/>
      <c r="B221" s="32"/>
    </row>
    <row r="222" ht="15.75" customHeight="1">
      <c r="A222" s="163"/>
      <c r="B222" s="32"/>
    </row>
    <row r="223" ht="15.75" customHeight="1">
      <c r="A223" s="163"/>
      <c r="B223" s="32"/>
    </row>
    <row r="224" ht="15.75" customHeight="1">
      <c r="A224" s="163"/>
      <c r="B224" s="32"/>
    </row>
    <row r="225" ht="15.75" customHeight="1">
      <c r="A225" s="163"/>
      <c r="B225" s="32"/>
    </row>
    <row r="226" ht="15.75" customHeight="1">
      <c r="A226" s="163"/>
      <c r="B226" s="32"/>
    </row>
    <row r="227" ht="15.75" customHeight="1">
      <c r="A227" s="163"/>
      <c r="B227" s="32"/>
    </row>
    <row r="228" ht="15.75" customHeight="1">
      <c r="A228" s="163"/>
      <c r="B228" s="32"/>
    </row>
    <row r="229" ht="15.75" customHeight="1">
      <c r="A229" s="163"/>
      <c r="B229" s="32"/>
    </row>
    <row r="230" ht="15.75" customHeight="1">
      <c r="A230" s="163"/>
      <c r="B230" s="32"/>
    </row>
    <row r="231" ht="15.75" customHeight="1">
      <c r="A231" s="163"/>
      <c r="B231" s="32"/>
    </row>
    <row r="232" ht="15.75" customHeight="1">
      <c r="A232" s="163"/>
      <c r="B232" s="32"/>
    </row>
    <row r="233" ht="15.75" customHeight="1">
      <c r="A233" s="163"/>
      <c r="B233" s="32"/>
    </row>
    <row r="234" ht="15.75" customHeight="1">
      <c r="A234" s="163"/>
      <c r="B234" s="32"/>
    </row>
    <row r="235" ht="15.75" customHeight="1">
      <c r="A235" s="163"/>
      <c r="B235" s="32"/>
    </row>
    <row r="236" ht="15.75" customHeight="1">
      <c r="A236" s="163"/>
      <c r="B236" s="32"/>
    </row>
    <row r="237" ht="15.75" customHeight="1">
      <c r="A237" s="163"/>
      <c r="B237" s="32"/>
    </row>
    <row r="238" ht="15.75" customHeight="1">
      <c r="A238" s="163"/>
      <c r="B238" s="32"/>
    </row>
    <row r="239" ht="15.75" customHeight="1">
      <c r="A239" s="163"/>
      <c r="B239" s="32"/>
    </row>
    <row r="240" ht="15.75" customHeight="1">
      <c r="A240" s="163"/>
      <c r="B240" s="32"/>
    </row>
    <row r="241" ht="15.75" customHeight="1">
      <c r="A241" s="163"/>
      <c r="B241" s="32"/>
    </row>
    <row r="242" ht="15.75" customHeight="1">
      <c r="A242" s="163"/>
      <c r="B242" s="32"/>
    </row>
    <row r="243" ht="15.75" customHeight="1">
      <c r="A243" s="163"/>
      <c r="B243" s="32"/>
    </row>
    <row r="244" ht="15.75" customHeight="1">
      <c r="A244" s="163"/>
      <c r="B244" s="32"/>
    </row>
    <row r="245" ht="15.75" customHeight="1">
      <c r="A245" s="163"/>
      <c r="B245" s="32"/>
    </row>
    <row r="246" ht="15.75" customHeight="1">
      <c r="A246" s="163"/>
      <c r="B246" s="32"/>
    </row>
    <row r="247" ht="15.75" customHeight="1">
      <c r="A247" s="163"/>
      <c r="B247" s="32"/>
    </row>
    <row r="248" ht="15.75" customHeight="1">
      <c r="A248" s="163"/>
      <c r="B248" s="32"/>
    </row>
    <row r="249" ht="15.75" customHeight="1">
      <c r="A249" s="163"/>
      <c r="B249" s="32"/>
    </row>
    <row r="250" ht="15.75" customHeight="1">
      <c r="A250" s="163"/>
      <c r="B250" s="32"/>
    </row>
    <row r="251" ht="15.75" customHeight="1">
      <c r="A251" s="163"/>
      <c r="B251" s="32"/>
    </row>
    <row r="252" ht="15.75" customHeight="1">
      <c r="A252" s="163"/>
      <c r="B252" s="32"/>
    </row>
    <row r="253" ht="15.75" customHeight="1">
      <c r="A253" s="163"/>
      <c r="B253" s="32"/>
    </row>
    <row r="254" ht="15.75" customHeight="1">
      <c r="A254" s="163"/>
      <c r="B254" s="32"/>
    </row>
    <row r="255" ht="15.75" customHeight="1">
      <c r="A255" s="163"/>
      <c r="B255" s="32"/>
    </row>
    <row r="256" ht="15.75" customHeight="1">
      <c r="A256" s="163"/>
      <c r="B256" s="32"/>
    </row>
    <row r="257" ht="15.75" customHeight="1">
      <c r="A257" s="163"/>
      <c r="B257" s="32"/>
    </row>
    <row r="258" ht="15.75" customHeight="1">
      <c r="A258" s="163"/>
      <c r="B258" s="32"/>
    </row>
    <row r="259" ht="15.75" customHeight="1">
      <c r="A259" s="163"/>
      <c r="B259" s="32"/>
    </row>
    <row r="260" ht="15.75" customHeight="1">
      <c r="A260" s="163"/>
      <c r="B260" s="32"/>
    </row>
    <row r="261" ht="15.75" customHeight="1">
      <c r="A261" s="163"/>
      <c r="B261" s="32"/>
    </row>
    <row r="262" ht="15.75" customHeight="1">
      <c r="A262" s="163"/>
      <c r="B262" s="32"/>
    </row>
    <row r="263" ht="15.75" customHeight="1">
      <c r="A263" s="163"/>
      <c r="B263" s="32"/>
    </row>
    <row r="264" ht="15.75" customHeight="1">
      <c r="A264" s="163"/>
      <c r="B264" s="32"/>
    </row>
    <row r="265" ht="15.75" customHeight="1">
      <c r="A265" s="163"/>
      <c r="B265" s="32"/>
    </row>
    <row r="266" ht="15.75" customHeight="1">
      <c r="A266" s="163"/>
      <c r="B266" s="32"/>
    </row>
    <row r="267" ht="15.75" customHeight="1">
      <c r="A267" s="163"/>
      <c r="B267" s="32"/>
    </row>
    <row r="268" ht="15.75" customHeight="1">
      <c r="A268" s="163"/>
      <c r="B268" s="32"/>
    </row>
    <row r="269" ht="15.75" customHeight="1">
      <c r="A269" s="163"/>
      <c r="B269" s="32"/>
    </row>
    <row r="270" ht="15.75" customHeight="1">
      <c r="A270" s="163"/>
      <c r="B270" s="32"/>
    </row>
    <row r="271" ht="15.75" customHeight="1">
      <c r="A271" s="163"/>
      <c r="B271" s="32"/>
    </row>
    <row r="272" ht="15.75" customHeight="1">
      <c r="A272" s="163"/>
      <c r="B272" s="32"/>
    </row>
    <row r="273" ht="15.75" customHeight="1">
      <c r="A273" s="163"/>
      <c r="B273" s="32"/>
    </row>
    <row r="274" ht="15.75" customHeight="1">
      <c r="A274" s="163"/>
      <c r="B274" s="32"/>
    </row>
    <row r="275" ht="15.75" customHeight="1">
      <c r="A275" s="163"/>
      <c r="B275" s="32"/>
    </row>
    <row r="276" ht="15.75" customHeight="1">
      <c r="A276" s="163"/>
      <c r="B276" s="32"/>
    </row>
    <row r="277" ht="15.75" customHeight="1">
      <c r="A277" s="163"/>
      <c r="B277" s="32"/>
    </row>
    <row r="278" ht="15.75" customHeight="1">
      <c r="A278" s="163"/>
      <c r="B278" s="32"/>
    </row>
    <row r="279" ht="15.75" customHeight="1">
      <c r="A279" s="163"/>
      <c r="B279" s="32"/>
    </row>
    <row r="280" ht="15.75" customHeight="1">
      <c r="A280" s="163"/>
      <c r="B280" s="32"/>
    </row>
    <row r="281" ht="15.75" customHeight="1">
      <c r="A281" s="163"/>
      <c r="B281" s="32"/>
    </row>
    <row r="282" ht="15.75" customHeight="1">
      <c r="A282" s="163"/>
      <c r="B282" s="32"/>
    </row>
    <row r="283" ht="15.75" customHeight="1">
      <c r="A283" s="163"/>
      <c r="B283" s="32"/>
    </row>
    <row r="284" ht="15.75" customHeight="1">
      <c r="A284" s="163"/>
      <c r="B284" s="32"/>
    </row>
    <row r="285" ht="15.75" customHeight="1">
      <c r="A285" s="163"/>
      <c r="B285" s="32"/>
    </row>
    <row r="286" ht="15.75" customHeight="1">
      <c r="A286" s="163"/>
      <c r="B286" s="32"/>
    </row>
    <row r="287" ht="15.75" customHeight="1">
      <c r="A287" s="163"/>
      <c r="B287" s="32"/>
    </row>
    <row r="288" ht="15.75" customHeight="1">
      <c r="A288" s="163"/>
      <c r="B288" s="32"/>
    </row>
    <row r="289" ht="15.75" customHeight="1">
      <c r="A289" s="163"/>
      <c r="B289" s="32"/>
    </row>
    <row r="290" ht="15.75" customHeight="1">
      <c r="A290" s="163"/>
      <c r="B290" s="32"/>
    </row>
    <row r="291" ht="15.75" customHeight="1">
      <c r="A291" s="163"/>
      <c r="B291" s="32"/>
    </row>
    <row r="292" ht="15.75" customHeight="1">
      <c r="A292" s="163"/>
      <c r="B292" s="32"/>
    </row>
    <row r="293" ht="15.75" customHeight="1">
      <c r="A293" s="163"/>
      <c r="B293" s="32"/>
    </row>
    <row r="294" ht="15.75" customHeight="1">
      <c r="A294" s="163"/>
      <c r="B294" s="32"/>
    </row>
    <row r="295" ht="15.75" customHeight="1">
      <c r="A295" s="163"/>
      <c r="B295" s="32"/>
    </row>
    <row r="296" ht="15.75" customHeight="1">
      <c r="A296" s="163"/>
      <c r="B296" s="32"/>
    </row>
    <row r="297" ht="15.75" customHeight="1">
      <c r="A297" s="163"/>
      <c r="B297" s="32"/>
    </row>
    <row r="298" ht="15.75" customHeight="1">
      <c r="A298" s="163"/>
      <c r="B298" s="32"/>
    </row>
    <row r="299" ht="15.75" customHeight="1">
      <c r="A299" s="163"/>
      <c r="B299" s="32"/>
    </row>
    <row r="300" ht="15.75" customHeight="1">
      <c r="A300" s="163"/>
      <c r="B300" s="32"/>
    </row>
    <row r="301" ht="15.75" customHeight="1">
      <c r="A301" s="163"/>
      <c r="B301" s="32"/>
    </row>
    <row r="302" ht="15.75" customHeight="1">
      <c r="A302" s="163"/>
      <c r="B302" s="32"/>
    </row>
    <row r="303" ht="15.75" customHeight="1">
      <c r="A303" s="163"/>
      <c r="B303" s="32"/>
    </row>
    <row r="304" ht="15.75" customHeight="1">
      <c r="A304" s="163"/>
      <c r="B304" s="32"/>
    </row>
    <row r="305" ht="15.75" customHeight="1">
      <c r="A305" s="163"/>
      <c r="B305" s="32"/>
    </row>
    <row r="306" ht="15.75" customHeight="1">
      <c r="A306" s="163"/>
      <c r="B306" s="32"/>
    </row>
    <row r="307" ht="15.75" customHeight="1">
      <c r="A307" s="163"/>
      <c r="B307" s="32"/>
    </row>
    <row r="308" ht="15.75" customHeight="1">
      <c r="A308" s="163"/>
      <c r="B308" s="32"/>
    </row>
    <row r="309" ht="15.75" customHeight="1">
      <c r="A309" s="163"/>
      <c r="B309" s="32"/>
    </row>
    <row r="310" ht="15.75" customHeight="1">
      <c r="A310" s="163"/>
      <c r="B310" s="32"/>
    </row>
    <row r="311" ht="15.75" customHeight="1">
      <c r="A311" s="163"/>
      <c r="B311" s="32"/>
    </row>
    <row r="312" ht="15.75" customHeight="1">
      <c r="A312" s="163"/>
      <c r="B312" s="32"/>
    </row>
    <row r="313" ht="15.75" customHeight="1">
      <c r="A313" s="163"/>
      <c r="B313" s="32"/>
    </row>
    <row r="314" ht="15.75" customHeight="1">
      <c r="A314" s="163"/>
      <c r="B314" s="32"/>
    </row>
    <row r="315" ht="15.75" customHeight="1">
      <c r="A315" s="163"/>
      <c r="B315" s="32"/>
    </row>
    <row r="316" ht="15.75" customHeight="1">
      <c r="A316" s="163"/>
      <c r="B316" s="32"/>
    </row>
    <row r="317" ht="15.75" customHeight="1">
      <c r="A317" s="163"/>
      <c r="B317" s="32"/>
    </row>
    <row r="318" ht="15.75" customHeight="1">
      <c r="A318" s="163"/>
      <c r="B318" s="32"/>
    </row>
    <row r="319" ht="15.75" customHeight="1">
      <c r="A319" s="163"/>
      <c r="B319" s="32"/>
    </row>
    <row r="320" ht="15.75" customHeight="1">
      <c r="A320" s="163"/>
      <c r="B320" s="32"/>
    </row>
    <row r="321" ht="15.75" customHeight="1">
      <c r="A321" s="163"/>
      <c r="B321" s="32"/>
    </row>
    <row r="322" ht="15.75" customHeight="1">
      <c r="A322" s="163"/>
      <c r="B322" s="32"/>
    </row>
    <row r="323" ht="15.75" customHeight="1">
      <c r="A323" s="163"/>
      <c r="B323" s="32"/>
    </row>
    <row r="324" ht="15.75" customHeight="1">
      <c r="A324" s="163"/>
      <c r="B324" s="32"/>
    </row>
    <row r="325" ht="15.75" customHeight="1">
      <c r="A325" s="163"/>
      <c r="B325" s="32"/>
    </row>
    <row r="326" ht="15.75" customHeight="1">
      <c r="A326" s="163"/>
      <c r="B326" s="32"/>
    </row>
    <row r="327" ht="15.75" customHeight="1">
      <c r="A327" s="163"/>
      <c r="B327" s="32"/>
    </row>
    <row r="328" ht="15.75" customHeight="1">
      <c r="A328" s="163"/>
      <c r="B328" s="32"/>
    </row>
    <row r="329" ht="15.75" customHeight="1">
      <c r="A329" s="163"/>
      <c r="B329" s="32"/>
    </row>
    <row r="330" ht="15.75" customHeight="1">
      <c r="A330" s="163"/>
      <c r="B330" s="32"/>
    </row>
    <row r="331" ht="15.75" customHeight="1">
      <c r="A331" s="32"/>
      <c r="B331" s="32"/>
    </row>
    <row r="332" ht="15.75" customHeight="1">
      <c r="A332" s="32"/>
      <c r="B332" s="32"/>
    </row>
    <row r="333" ht="15.75" customHeight="1">
      <c r="A333" s="32"/>
      <c r="B333" s="32"/>
    </row>
    <row r="334" ht="15.75" customHeight="1">
      <c r="A334" s="32"/>
      <c r="B334" s="32"/>
    </row>
    <row r="335" ht="15.75" customHeight="1">
      <c r="A335" s="32"/>
      <c r="B335" s="32"/>
    </row>
    <row r="336" ht="15.75" customHeight="1">
      <c r="A336" s="32"/>
      <c r="B336" s="32"/>
    </row>
    <row r="337" ht="15.75" customHeight="1">
      <c r="A337" s="32"/>
      <c r="B337" s="32"/>
    </row>
    <row r="338" ht="15.75" customHeight="1">
      <c r="A338" s="32"/>
      <c r="B338" s="32"/>
    </row>
    <row r="339" ht="15.75" customHeight="1">
      <c r="A339" s="32"/>
      <c r="B339" s="32"/>
    </row>
    <row r="340" ht="15.75" customHeight="1">
      <c r="A340" s="32"/>
      <c r="B340" s="32"/>
    </row>
    <row r="341" ht="15.75" customHeight="1">
      <c r="A341" s="32"/>
      <c r="B341" s="32"/>
    </row>
    <row r="342" ht="15.75" customHeight="1">
      <c r="A342" s="32"/>
      <c r="B342" s="32"/>
    </row>
    <row r="343" ht="15.75" customHeight="1">
      <c r="A343" s="32"/>
      <c r="B343" s="32"/>
    </row>
    <row r="344" ht="15.75" customHeight="1">
      <c r="A344" s="32"/>
      <c r="B344" s="32"/>
    </row>
    <row r="345" ht="15.75" customHeight="1">
      <c r="A345" s="32"/>
      <c r="B345" s="32"/>
    </row>
    <row r="346" ht="15.75" customHeight="1">
      <c r="A346" s="32"/>
      <c r="B346" s="32"/>
    </row>
    <row r="347" ht="15.75" customHeight="1">
      <c r="A347" s="32"/>
      <c r="B347" s="32"/>
    </row>
    <row r="348" ht="15.75" customHeight="1">
      <c r="A348" s="32"/>
      <c r="B348" s="32"/>
    </row>
    <row r="349" ht="15.75" customHeight="1">
      <c r="A349" s="32"/>
      <c r="B349" s="32"/>
    </row>
    <row r="350" ht="15.75" customHeight="1">
      <c r="A350" s="32"/>
      <c r="B350" s="32"/>
    </row>
    <row r="351" ht="15.75" customHeight="1">
      <c r="A351" s="32"/>
      <c r="B351" s="32"/>
    </row>
    <row r="352" ht="15.75" customHeight="1">
      <c r="A352" s="32"/>
      <c r="B352" s="32"/>
    </row>
    <row r="353" ht="15.75" customHeight="1">
      <c r="A353" s="32"/>
      <c r="B353" s="32"/>
    </row>
    <row r="354" ht="15.75" customHeight="1">
      <c r="A354" s="32"/>
      <c r="B354" s="32"/>
    </row>
    <row r="355" ht="15.75" customHeight="1">
      <c r="A355" s="32"/>
      <c r="B355" s="32"/>
    </row>
    <row r="356" ht="15.75" customHeight="1">
      <c r="A356" s="32"/>
      <c r="B356" s="32"/>
    </row>
    <row r="357" ht="15.75" customHeight="1">
      <c r="A357" s="32"/>
      <c r="B357" s="32"/>
    </row>
    <row r="358" ht="15.75" customHeight="1">
      <c r="A358" s="32"/>
      <c r="B358" s="32"/>
    </row>
    <row r="359" ht="15.75" customHeight="1">
      <c r="A359" s="32"/>
      <c r="B359" s="32"/>
    </row>
    <row r="360" ht="15.75" customHeight="1">
      <c r="A360" s="32"/>
      <c r="B360" s="32"/>
    </row>
    <row r="361" ht="15.75" customHeight="1">
      <c r="A361" s="32"/>
      <c r="B361" s="32"/>
    </row>
    <row r="362" ht="15.75" customHeight="1">
      <c r="A362" s="32"/>
      <c r="B362" s="32"/>
    </row>
    <row r="363" ht="15.75" customHeight="1">
      <c r="A363" s="32"/>
      <c r="B363" s="32"/>
    </row>
    <row r="364" ht="15.75" customHeight="1">
      <c r="A364" s="32"/>
      <c r="B364" s="32"/>
    </row>
    <row r="365" ht="15.75" customHeight="1">
      <c r="A365" s="32"/>
      <c r="B365" s="32"/>
    </row>
    <row r="366" ht="15.75" customHeight="1">
      <c r="A366" s="32"/>
      <c r="B366" s="32"/>
    </row>
    <row r="367" ht="15.75" customHeight="1">
      <c r="A367" s="32"/>
      <c r="B367" s="32"/>
    </row>
    <row r="368" ht="15.75" customHeight="1">
      <c r="A368" s="32"/>
      <c r="B368" s="32"/>
    </row>
    <row r="369" ht="15.75" customHeight="1">
      <c r="A369" s="32"/>
      <c r="B369" s="32"/>
    </row>
    <row r="370" ht="15.75" customHeight="1">
      <c r="A370" s="32"/>
      <c r="B370" s="32"/>
    </row>
    <row r="371" ht="15.75" customHeight="1">
      <c r="A371" s="32"/>
      <c r="B371" s="32"/>
    </row>
    <row r="372" ht="15.75" customHeight="1">
      <c r="A372" s="32"/>
      <c r="B372" s="32"/>
    </row>
    <row r="373" ht="15.75" customHeight="1">
      <c r="A373" s="32"/>
      <c r="B373" s="32"/>
    </row>
    <row r="374" ht="15.75" customHeight="1">
      <c r="A374" s="32"/>
      <c r="B374" s="32"/>
    </row>
    <row r="375" ht="15.75" customHeight="1">
      <c r="A375" s="32"/>
      <c r="B375" s="32"/>
    </row>
    <row r="376" ht="15.75" customHeight="1">
      <c r="A376" s="32"/>
      <c r="B376" s="32"/>
    </row>
    <row r="377" ht="15.75" customHeight="1">
      <c r="A377" s="32"/>
      <c r="B377" s="32"/>
    </row>
    <row r="378" ht="15.75" customHeight="1">
      <c r="A378" s="32"/>
      <c r="B378" s="32"/>
    </row>
    <row r="379" ht="15.75" customHeight="1">
      <c r="A379" s="32"/>
      <c r="B379" s="32"/>
    </row>
    <row r="380" ht="15.75" customHeight="1">
      <c r="A380" s="32"/>
      <c r="B380" s="32"/>
    </row>
    <row r="381" ht="15.75" customHeight="1">
      <c r="A381" s="32"/>
      <c r="B381" s="32"/>
    </row>
    <row r="382" ht="15.75" customHeight="1">
      <c r="A382" s="32"/>
      <c r="B382" s="32"/>
    </row>
    <row r="383" ht="15.75" customHeight="1">
      <c r="A383" s="32"/>
      <c r="B383" s="32"/>
    </row>
    <row r="384" ht="15.75" customHeight="1">
      <c r="A384" s="32"/>
      <c r="B384" s="32"/>
    </row>
    <row r="385" ht="15.75" customHeight="1">
      <c r="A385" s="32"/>
      <c r="B385" s="32"/>
    </row>
    <row r="386" ht="15.75" customHeight="1">
      <c r="A386" s="32"/>
      <c r="B386" s="32"/>
    </row>
    <row r="387" ht="15.75" customHeight="1">
      <c r="A387" s="32"/>
      <c r="B387" s="32"/>
    </row>
    <row r="388" ht="15.75" customHeight="1">
      <c r="A388" s="32"/>
      <c r="B388" s="32"/>
    </row>
    <row r="389" ht="15.75" customHeight="1">
      <c r="A389" s="32"/>
      <c r="B389" s="32"/>
    </row>
    <row r="390" ht="15.75" customHeight="1">
      <c r="A390" s="32"/>
      <c r="B390" s="32"/>
    </row>
    <row r="391" ht="15.75" customHeight="1">
      <c r="A391" s="32"/>
      <c r="B391" s="32"/>
    </row>
    <row r="392" ht="15.75" customHeight="1">
      <c r="A392" s="32"/>
      <c r="B392" s="32"/>
    </row>
    <row r="393" ht="15.75" customHeight="1">
      <c r="A393" s="32"/>
      <c r="B393" s="32"/>
    </row>
    <row r="394" ht="15.75" customHeight="1">
      <c r="A394" s="32"/>
      <c r="B394" s="32"/>
    </row>
    <row r="395" ht="15.75" customHeight="1">
      <c r="A395" s="32"/>
      <c r="B395" s="32"/>
    </row>
    <row r="396" ht="15.75" customHeight="1">
      <c r="A396" s="32"/>
      <c r="B396" s="32"/>
    </row>
    <row r="397" ht="15.75" customHeight="1">
      <c r="A397" s="32"/>
      <c r="B397" s="32"/>
    </row>
    <row r="398" ht="15.75" customHeight="1">
      <c r="A398" s="32"/>
      <c r="B398" s="32"/>
    </row>
    <row r="399" ht="15.75" customHeight="1">
      <c r="A399" s="32"/>
      <c r="B399" s="32"/>
    </row>
    <row r="400" ht="15.75" customHeight="1">
      <c r="A400" s="32"/>
      <c r="B400" s="32"/>
    </row>
    <row r="401" ht="15.75" customHeight="1">
      <c r="A401" s="32"/>
      <c r="B401" s="32"/>
    </row>
    <row r="402" ht="15.75" customHeight="1">
      <c r="A402" s="32"/>
      <c r="B402" s="32"/>
    </row>
    <row r="403" ht="15.75" customHeight="1">
      <c r="A403" s="32"/>
      <c r="B403" s="32"/>
    </row>
    <row r="404" ht="15.75" customHeight="1">
      <c r="A404" s="32"/>
      <c r="B404" s="32"/>
    </row>
    <row r="405" ht="15.75" customHeight="1">
      <c r="A405" s="32"/>
      <c r="B405" s="32"/>
    </row>
    <row r="406" ht="15.75" customHeight="1">
      <c r="A406" s="32"/>
      <c r="B406" s="32"/>
    </row>
    <row r="407" ht="15.75" customHeight="1">
      <c r="A407" s="32"/>
      <c r="B407" s="32"/>
    </row>
    <row r="408" ht="15.75" customHeight="1">
      <c r="A408" s="32"/>
      <c r="B408" s="32"/>
    </row>
    <row r="409" ht="15.75" customHeight="1">
      <c r="A409" s="32"/>
      <c r="B409" s="32"/>
    </row>
    <row r="410" ht="15.75" customHeight="1">
      <c r="A410" s="32"/>
      <c r="B410" s="32"/>
    </row>
    <row r="411" ht="15.75" customHeight="1">
      <c r="A411" s="32"/>
      <c r="B411" s="32"/>
    </row>
    <row r="412" ht="15.75" customHeight="1">
      <c r="A412" s="32"/>
      <c r="B412" s="32"/>
    </row>
    <row r="413" ht="15.75" customHeight="1">
      <c r="A413" s="32"/>
      <c r="B413" s="32"/>
    </row>
    <row r="414" ht="15.75" customHeight="1">
      <c r="A414" s="32"/>
      <c r="B414" s="32"/>
    </row>
    <row r="415" ht="15.75" customHeight="1">
      <c r="A415" s="32"/>
      <c r="B415" s="32"/>
    </row>
    <row r="416" ht="15.75" customHeight="1">
      <c r="A416" s="32"/>
      <c r="B416" s="32"/>
    </row>
    <row r="417" ht="15.75" customHeight="1">
      <c r="A417" s="32"/>
      <c r="B417" s="32"/>
    </row>
    <row r="418" ht="15.75" customHeight="1">
      <c r="A418" s="32"/>
      <c r="B418" s="32"/>
    </row>
    <row r="419" ht="15.75" customHeight="1">
      <c r="A419" s="32"/>
      <c r="B419" s="32"/>
    </row>
    <row r="420" ht="15.75" customHeight="1">
      <c r="A420" s="32"/>
      <c r="B420" s="32"/>
    </row>
    <row r="421" ht="15.75" customHeight="1">
      <c r="A421" s="32"/>
      <c r="B421" s="32"/>
    </row>
    <row r="422" ht="15.75" customHeight="1">
      <c r="A422" s="32"/>
      <c r="B422" s="32"/>
    </row>
    <row r="423" ht="15.75" customHeight="1">
      <c r="A423" s="32"/>
      <c r="B423" s="32"/>
    </row>
    <row r="424" ht="15.75" customHeight="1">
      <c r="A424" s="32"/>
      <c r="B424" s="32"/>
    </row>
    <row r="425" ht="15.75" customHeight="1">
      <c r="A425" s="32"/>
      <c r="B425" s="32"/>
    </row>
    <row r="426" ht="15.75" customHeight="1">
      <c r="A426" s="32"/>
      <c r="B426" s="32"/>
    </row>
    <row r="427" ht="15.75" customHeight="1">
      <c r="A427" s="32"/>
      <c r="B427" s="32"/>
    </row>
    <row r="428" ht="15.75" customHeight="1">
      <c r="A428" s="32"/>
      <c r="B428" s="32"/>
    </row>
    <row r="429" ht="15.75" customHeight="1">
      <c r="A429" s="32"/>
      <c r="B429" s="32"/>
    </row>
    <row r="430" ht="15.75" customHeight="1">
      <c r="A430" s="32"/>
      <c r="B430" s="32"/>
    </row>
    <row r="431" ht="15.75" customHeight="1">
      <c r="A431" s="32"/>
      <c r="B431" s="32"/>
    </row>
    <row r="432" ht="15.75" customHeight="1">
      <c r="A432" s="32"/>
      <c r="B432" s="32"/>
    </row>
    <row r="433" ht="15.75" customHeight="1">
      <c r="A433" s="32"/>
      <c r="B433" s="32"/>
    </row>
    <row r="434" ht="15.75" customHeight="1">
      <c r="A434" s="32"/>
      <c r="B434" s="32"/>
    </row>
    <row r="435" ht="15.75" customHeight="1">
      <c r="A435" s="32"/>
      <c r="B435" s="32"/>
    </row>
    <row r="436" ht="15.75" customHeight="1">
      <c r="A436" s="32"/>
      <c r="B436" s="32"/>
    </row>
    <row r="437" ht="15.75" customHeight="1">
      <c r="A437" s="32"/>
      <c r="B437" s="32"/>
    </row>
    <row r="438" ht="15.75" customHeight="1">
      <c r="A438" s="32"/>
      <c r="B438" s="32"/>
    </row>
    <row r="439" ht="15.75" customHeight="1">
      <c r="A439" s="32"/>
      <c r="B439" s="32"/>
    </row>
    <row r="440" ht="15.75" customHeight="1">
      <c r="A440" s="32"/>
      <c r="B440" s="32"/>
    </row>
    <row r="441" ht="15.75" customHeight="1">
      <c r="A441" s="32"/>
      <c r="B441" s="32"/>
    </row>
    <row r="442" ht="15.75" customHeight="1">
      <c r="A442" s="32"/>
      <c r="B442" s="32"/>
    </row>
    <row r="443" ht="15.75" customHeight="1">
      <c r="A443" s="32"/>
      <c r="B443" s="32"/>
    </row>
    <row r="444" ht="15.75" customHeight="1">
      <c r="A444" s="32"/>
      <c r="B444" s="32"/>
    </row>
    <row r="445" ht="15.75" customHeight="1">
      <c r="A445" s="32"/>
      <c r="B445" s="32"/>
    </row>
    <row r="446" ht="15.75" customHeight="1">
      <c r="A446" s="32"/>
      <c r="B446" s="32"/>
    </row>
    <row r="447" ht="15.75" customHeight="1">
      <c r="A447" s="32"/>
      <c r="B447" s="32"/>
    </row>
    <row r="448" ht="15.75" customHeight="1">
      <c r="A448" s="32"/>
      <c r="B448" s="32"/>
    </row>
    <row r="449" ht="15.75" customHeight="1">
      <c r="A449" s="32"/>
      <c r="B449" s="32"/>
    </row>
    <row r="450" ht="15.75" customHeight="1">
      <c r="A450" s="32"/>
      <c r="B450" s="32"/>
    </row>
    <row r="451" ht="15.75" customHeight="1">
      <c r="A451" s="32"/>
      <c r="B451" s="32"/>
    </row>
    <row r="452" ht="15.75" customHeight="1">
      <c r="A452" s="32"/>
      <c r="B452" s="32"/>
    </row>
    <row r="453" ht="15.75" customHeight="1">
      <c r="A453" s="32"/>
      <c r="B453" s="32"/>
    </row>
    <row r="454" ht="15.75" customHeight="1">
      <c r="A454" s="32"/>
      <c r="B454" s="32"/>
    </row>
    <row r="455" ht="15.75" customHeight="1">
      <c r="A455" s="32"/>
      <c r="B455" s="32"/>
    </row>
    <row r="456" ht="15.75" customHeight="1">
      <c r="A456" s="32"/>
      <c r="B456" s="32"/>
    </row>
    <row r="457" ht="15.75" customHeight="1">
      <c r="A457" s="32"/>
      <c r="B457" s="32"/>
    </row>
    <row r="458" ht="15.75" customHeight="1">
      <c r="A458" s="32"/>
      <c r="B458" s="32"/>
    </row>
    <row r="459" ht="15.75" customHeight="1">
      <c r="A459" s="32"/>
      <c r="B459" s="32"/>
    </row>
    <row r="460" ht="15.75" customHeight="1">
      <c r="A460" s="32"/>
      <c r="B460" s="32"/>
    </row>
    <row r="461" ht="15.75" customHeight="1">
      <c r="A461" s="32"/>
      <c r="B461" s="32"/>
    </row>
    <row r="462" ht="15.75" customHeight="1">
      <c r="A462" s="32"/>
      <c r="B462" s="32"/>
    </row>
    <row r="463" ht="15.75" customHeight="1">
      <c r="A463" s="32"/>
      <c r="B463" s="32"/>
    </row>
    <row r="464" ht="15.75" customHeight="1">
      <c r="A464" s="32"/>
      <c r="B464" s="32"/>
    </row>
    <row r="465" ht="15.75" customHeight="1">
      <c r="A465" s="32"/>
      <c r="B465" s="32"/>
    </row>
    <row r="466" ht="15.75" customHeight="1">
      <c r="A466" s="32"/>
      <c r="B466" s="32"/>
    </row>
    <row r="467" ht="15.75" customHeight="1">
      <c r="A467" s="32"/>
      <c r="B467" s="32"/>
    </row>
    <row r="468" ht="15.75" customHeight="1">
      <c r="A468" s="32"/>
      <c r="B468" s="32"/>
    </row>
    <row r="469" ht="15.75" customHeight="1">
      <c r="A469" s="32"/>
      <c r="B469" s="32"/>
    </row>
    <row r="470" ht="15.75" customHeight="1">
      <c r="A470" s="32"/>
      <c r="B470" s="32"/>
    </row>
    <row r="471" ht="15.75" customHeight="1">
      <c r="A471" s="32"/>
      <c r="B471" s="32"/>
    </row>
    <row r="472" ht="15.75" customHeight="1">
      <c r="A472" s="32"/>
      <c r="B472" s="32"/>
    </row>
    <row r="473" ht="15.75" customHeight="1">
      <c r="A473" s="32"/>
      <c r="B473" s="32"/>
    </row>
    <row r="474" ht="15.75" customHeight="1">
      <c r="A474" s="32"/>
      <c r="B474" s="32"/>
    </row>
    <row r="475" ht="15.75" customHeight="1">
      <c r="A475" s="32"/>
      <c r="B475" s="32"/>
    </row>
    <row r="476" ht="15.75" customHeight="1">
      <c r="A476" s="32"/>
      <c r="B476" s="32"/>
    </row>
    <row r="477" ht="15.75" customHeight="1">
      <c r="A477" s="32"/>
      <c r="B477" s="32"/>
    </row>
    <row r="478" ht="15.75" customHeight="1">
      <c r="A478" s="32"/>
      <c r="B478" s="32"/>
    </row>
    <row r="479" ht="15.75" customHeight="1">
      <c r="A479" s="32"/>
      <c r="B479" s="32"/>
    </row>
    <row r="480" ht="15.75" customHeight="1">
      <c r="A480" s="32"/>
      <c r="B480" s="32"/>
    </row>
    <row r="481" ht="15.75" customHeight="1">
      <c r="A481" s="32"/>
      <c r="B481" s="32"/>
    </row>
    <row r="482" ht="15.75" customHeight="1">
      <c r="A482" s="32"/>
      <c r="B482" s="32"/>
    </row>
    <row r="483" ht="15.75" customHeight="1">
      <c r="A483" s="32"/>
      <c r="B483" s="32"/>
    </row>
    <row r="484" ht="15.75" customHeight="1">
      <c r="A484" s="32"/>
      <c r="B484" s="32"/>
    </row>
    <row r="485" ht="15.75" customHeight="1">
      <c r="A485" s="32"/>
      <c r="B485" s="32"/>
    </row>
    <row r="486" ht="15.75" customHeight="1">
      <c r="A486" s="32"/>
      <c r="B486" s="32"/>
    </row>
    <row r="487" ht="15.75" customHeight="1">
      <c r="A487" s="32"/>
      <c r="B487" s="32"/>
    </row>
    <row r="488" ht="15.75" customHeight="1">
      <c r="A488" s="32"/>
      <c r="B488" s="32"/>
    </row>
    <row r="489" ht="15.75" customHeight="1">
      <c r="A489" s="32"/>
      <c r="B489" s="32"/>
    </row>
    <row r="490" ht="15.75" customHeight="1">
      <c r="A490" s="32"/>
      <c r="B490" s="32"/>
    </row>
    <row r="491" ht="15.75" customHeight="1">
      <c r="A491" s="32"/>
      <c r="B491" s="32"/>
    </row>
    <row r="492" ht="15.75" customHeight="1">
      <c r="A492" s="32"/>
      <c r="B492" s="32"/>
    </row>
    <row r="493" ht="15.75" customHeight="1">
      <c r="A493" s="32"/>
      <c r="B493" s="32"/>
    </row>
    <row r="494" ht="15.75" customHeight="1">
      <c r="A494" s="32"/>
      <c r="B494" s="32"/>
    </row>
    <row r="495" ht="15.75" customHeight="1">
      <c r="A495" s="32"/>
      <c r="B495" s="32"/>
    </row>
    <row r="496" ht="15.75" customHeight="1">
      <c r="A496" s="32"/>
      <c r="B496" s="32"/>
    </row>
    <row r="497" ht="15.75" customHeight="1">
      <c r="A497" s="32"/>
      <c r="B497" s="32"/>
    </row>
    <row r="498" ht="15.75" customHeight="1">
      <c r="A498" s="32"/>
      <c r="B498" s="32"/>
    </row>
    <row r="499" ht="15.75" customHeight="1">
      <c r="A499" s="32"/>
      <c r="B499" s="32"/>
    </row>
    <row r="500" ht="15.75" customHeight="1">
      <c r="A500" s="32"/>
      <c r="B500" s="32"/>
    </row>
    <row r="501" ht="15.75" customHeight="1">
      <c r="A501" s="32"/>
      <c r="B501" s="32"/>
    </row>
    <row r="502" ht="15.75" customHeight="1">
      <c r="A502" s="32"/>
      <c r="B502" s="32"/>
    </row>
    <row r="503" ht="15.75" customHeight="1">
      <c r="A503" s="32"/>
      <c r="B503" s="32"/>
    </row>
    <row r="504" ht="15.75" customHeight="1">
      <c r="A504" s="32"/>
      <c r="B504" s="32"/>
    </row>
    <row r="505" ht="15.75" customHeight="1">
      <c r="A505" s="32"/>
      <c r="B505" s="32"/>
    </row>
    <row r="506" ht="15.75" customHeight="1">
      <c r="A506" s="32"/>
      <c r="B506" s="32"/>
    </row>
    <row r="507" ht="15.75" customHeight="1">
      <c r="A507" s="32"/>
      <c r="B507" s="32"/>
    </row>
    <row r="508" ht="15.75" customHeight="1">
      <c r="A508" s="32"/>
      <c r="B508" s="32"/>
    </row>
    <row r="509" ht="15.75" customHeight="1">
      <c r="A509" s="32"/>
      <c r="B509" s="32"/>
    </row>
    <row r="510" ht="15.75" customHeight="1">
      <c r="A510" s="32"/>
      <c r="B510" s="32"/>
    </row>
    <row r="511" ht="15.75" customHeight="1">
      <c r="A511" s="32"/>
      <c r="B511" s="32"/>
    </row>
    <row r="512" ht="15.75" customHeight="1">
      <c r="A512" s="32"/>
      <c r="B512" s="32"/>
    </row>
    <row r="513" ht="15.75" customHeight="1">
      <c r="A513" s="32"/>
      <c r="B513" s="32"/>
    </row>
    <row r="514" ht="15.75" customHeight="1">
      <c r="A514" s="32"/>
      <c r="B514" s="32"/>
    </row>
    <row r="515" ht="15.75" customHeight="1">
      <c r="A515" s="32"/>
      <c r="B515" s="32"/>
    </row>
    <row r="516" ht="15.75" customHeight="1">
      <c r="A516" s="32"/>
      <c r="B516" s="32"/>
    </row>
    <row r="517" ht="15.75" customHeight="1">
      <c r="A517" s="32"/>
      <c r="B517" s="32"/>
    </row>
    <row r="518" ht="15.75" customHeight="1">
      <c r="A518" s="32"/>
      <c r="B518" s="32"/>
    </row>
    <row r="519" ht="15.75" customHeight="1">
      <c r="A519" s="32"/>
      <c r="B519" s="32"/>
    </row>
    <row r="520" ht="15.75" customHeight="1">
      <c r="A520" s="32"/>
      <c r="B520" s="32"/>
    </row>
    <row r="521" ht="15.75" customHeight="1">
      <c r="A521" s="32"/>
      <c r="B521" s="32"/>
    </row>
    <row r="522" ht="15.75" customHeight="1">
      <c r="A522" s="32"/>
      <c r="B522" s="32"/>
    </row>
    <row r="523" ht="15.75" customHeight="1">
      <c r="A523" s="32"/>
      <c r="B523" s="32"/>
    </row>
    <row r="524" ht="15.75" customHeight="1">
      <c r="A524" s="32"/>
      <c r="B524" s="32"/>
    </row>
    <row r="525" ht="15.75" customHeight="1">
      <c r="A525" s="32"/>
      <c r="B525" s="32"/>
    </row>
    <row r="526" ht="15.75" customHeight="1">
      <c r="A526" s="32"/>
      <c r="B526" s="32"/>
    </row>
    <row r="527" ht="15.75" customHeight="1">
      <c r="A527" s="32"/>
      <c r="B527" s="32"/>
    </row>
    <row r="528" ht="15.75" customHeight="1">
      <c r="A528" s="32"/>
      <c r="B528" s="32"/>
    </row>
    <row r="529" ht="15.75" customHeight="1">
      <c r="A529" s="32"/>
      <c r="B529" s="32"/>
    </row>
    <row r="530" ht="15.75" customHeight="1">
      <c r="A530" s="32"/>
      <c r="B530" s="32"/>
    </row>
    <row r="531" ht="15.75" customHeight="1">
      <c r="A531" s="32"/>
      <c r="B531" s="32"/>
    </row>
    <row r="532" ht="15.75" customHeight="1">
      <c r="A532" s="32"/>
      <c r="B532" s="32"/>
    </row>
    <row r="533" ht="15.75" customHeight="1">
      <c r="A533" s="32"/>
      <c r="B533" s="32"/>
    </row>
    <row r="534" ht="15.75" customHeight="1">
      <c r="A534" s="32"/>
      <c r="B534" s="32"/>
    </row>
    <row r="535" ht="15.75" customHeight="1">
      <c r="A535" s="32"/>
      <c r="B535" s="32"/>
    </row>
    <row r="536" ht="15.75" customHeight="1">
      <c r="A536" s="32"/>
      <c r="B536" s="32"/>
    </row>
    <row r="537" ht="15.75" customHeight="1">
      <c r="A537" s="32"/>
      <c r="B537" s="32"/>
    </row>
    <row r="538" ht="15.75" customHeight="1">
      <c r="A538" s="32"/>
      <c r="B538" s="32"/>
    </row>
    <row r="539" ht="15.75" customHeight="1">
      <c r="A539" s="32"/>
      <c r="B539" s="32"/>
    </row>
    <row r="540" ht="15.75" customHeight="1">
      <c r="A540" s="32"/>
      <c r="B540" s="32"/>
    </row>
    <row r="541" ht="15.75" customHeight="1">
      <c r="A541" s="32"/>
      <c r="B541" s="32"/>
    </row>
    <row r="542" ht="15.75" customHeight="1">
      <c r="A542" s="32"/>
      <c r="B542" s="32"/>
    </row>
    <row r="543" ht="15.75" customHeight="1">
      <c r="A543" s="32"/>
      <c r="B543" s="32"/>
    </row>
    <row r="544" ht="15.75" customHeight="1">
      <c r="A544" s="32"/>
      <c r="B544" s="32"/>
    </row>
    <row r="545" ht="15.75" customHeight="1">
      <c r="A545" s="32"/>
      <c r="B545" s="32"/>
    </row>
    <row r="546" ht="15.75" customHeight="1">
      <c r="A546" s="32"/>
      <c r="B546" s="32"/>
    </row>
    <row r="547" ht="15.75" customHeight="1">
      <c r="A547" s="32"/>
      <c r="B547" s="32"/>
    </row>
    <row r="548" ht="15.75" customHeight="1">
      <c r="A548" s="32"/>
      <c r="B548" s="32"/>
    </row>
    <row r="549" ht="15.75" customHeight="1">
      <c r="A549" s="32"/>
      <c r="B549" s="32"/>
    </row>
    <row r="550" ht="15.75" customHeight="1">
      <c r="A550" s="32"/>
      <c r="B550" s="32"/>
    </row>
    <row r="551" ht="15.75" customHeight="1">
      <c r="A551" s="32"/>
      <c r="B551" s="32"/>
    </row>
    <row r="552" ht="15.75" customHeight="1">
      <c r="A552" s="32"/>
      <c r="B552" s="32"/>
    </row>
    <row r="553" ht="15.75" customHeight="1">
      <c r="A553" s="32"/>
      <c r="B553" s="32"/>
    </row>
    <row r="554" ht="15.75" customHeight="1">
      <c r="A554" s="32"/>
      <c r="B554" s="32"/>
    </row>
    <row r="555" ht="15.75" customHeight="1">
      <c r="A555" s="32"/>
      <c r="B555" s="32"/>
    </row>
    <row r="556" ht="15.75" customHeight="1">
      <c r="A556" s="32"/>
      <c r="B556" s="32"/>
    </row>
    <row r="557" ht="15.75" customHeight="1">
      <c r="A557" s="32"/>
      <c r="B557" s="32"/>
    </row>
    <row r="558" ht="15.75" customHeight="1">
      <c r="A558" s="32"/>
      <c r="B558" s="32"/>
    </row>
    <row r="559" ht="15.75" customHeight="1">
      <c r="A559" s="32"/>
      <c r="B559" s="32"/>
    </row>
    <row r="560" ht="15.75" customHeight="1">
      <c r="A560" s="32"/>
      <c r="B560" s="32"/>
    </row>
    <row r="561" ht="15.75" customHeight="1">
      <c r="A561" s="32"/>
      <c r="B561" s="32"/>
    </row>
    <row r="562" ht="15.75" customHeight="1">
      <c r="A562" s="32"/>
      <c r="B562" s="32"/>
    </row>
    <row r="563" ht="15.75" customHeight="1">
      <c r="A563" s="32"/>
      <c r="B563" s="32"/>
    </row>
    <row r="564" ht="15.75" customHeight="1">
      <c r="A564" s="32"/>
      <c r="B564" s="32"/>
    </row>
    <row r="565" ht="15.75" customHeight="1">
      <c r="A565" s="32"/>
      <c r="B565" s="32"/>
    </row>
    <row r="566" ht="15.75" customHeight="1">
      <c r="A566" s="32"/>
      <c r="B566" s="32"/>
    </row>
    <row r="567" ht="15.75" customHeight="1">
      <c r="A567" s="32"/>
      <c r="B567" s="32"/>
    </row>
    <row r="568" ht="15.75" customHeight="1">
      <c r="A568" s="32"/>
      <c r="B568" s="32"/>
    </row>
    <row r="569" ht="15.75" customHeight="1">
      <c r="A569" s="32"/>
      <c r="B569" s="32"/>
    </row>
    <row r="570" ht="15.75" customHeight="1">
      <c r="A570" s="32"/>
      <c r="B570" s="32"/>
    </row>
    <row r="571" ht="15.75" customHeight="1">
      <c r="A571" s="32"/>
      <c r="B571" s="32"/>
    </row>
    <row r="572" ht="15.75" customHeight="1">
      <c r="A572" s="32"/>
      <c r="B572" s="32"/>
    </row>
    <row r="573" ht="15.75" customHeight="1">
      <c r="A573" s="32"/>
      <c r="B573" s="32"/>
    </row>
    <row r="574" ht="15.75" customHeight="1">
      <c r="A574" s="32"/>
      <c r="B574" s="32"/>
    </row>
    <row r="575" ht="15.75" customHeight="1">
      <c r="A575" s="32"/>
      <c r="B575" s="32"/>
    </row>
    <row r="576" ht="15.75" customHeight="1">
      <c r="A576" s="32"/>
      <c r="B576" s="32"/>
    </row>
    <row r="577" ht="15.75" customHeight="1">
      <c r="A577" s="32"/>
      <c r="B577" s="32"/>
    </row>
    <row r="578" ht="15.75" customHeight="1">
      <c r="A578" s="32"/>
      <c r="B578" s="32"/>
    </row>
    <row r="579" ht="15.75" customHeight="1">
      <c r="A579" s="32"/>
      <c r="B579" s="32"/>
    </row>
    <row r="580" ht="15.75" customHeight="1">
      <c r="A580" s="32"/>
      <c r="B580" s="32"/>
    </row>
    <row r="581" ht="15.75" customHeight="1">
      <c r="A581" s="32"/>
      <c r="B581" s="32"/>
    </row>
    <row r="582" ht="15.75" customHeight="1">
      <c r="A582" s="32"/>
      <c r="B582" s="32"/>
    </row>
    <row r="583" ht="15.75" customHeight="1">
      <c r="A583" s="32"/>
      <c r="B583" s="32"/>
    </row>
    <row r="584" ht="15.75" customHeight="1">
      <c r="A584" s="32"/>
      <c r="B584" s="32"/>
    </row>
    <row r="585" ht="15.75" customHeight="1">
      <c r="A585" s="32"/>
      <c r="B585" s="32"/>
    </row>
    <row r="586" ht="15.75" customHeight="1">
      <c r="A586" s="32"/>
      <c r="B586" s="32"/>
    </row>
    <row r="587" ht="15.75" customHeight="1">
      <c r="A587" s="32"/>
      <c r="B587" s="32"/>
    </row>
    <row r="588" ht="15.75" customHeight="1">
      <c r="A588" s="32"/>
      <c r="B588" s="32"/>
    </row>
    <row r="589" ht="15.75" customHeight="1">
      <c r="A589" s="32"/>
      <c r="B589" s="32"/>
    </row>
    <row r="590" ht="15.75" customHeight="1">
      <c r="A590" s="32"/>
      <c r="B590" s="32"/>
    </row>
    <row r="591" ht="15.75" customHeight="1">
      <c r="A591" s="32"/>
      <c r="B591" s="32"/>
    </row>
    <row r="592" ht="15.75" customHeight="1">
      <c r="A592" s="32"/>
      <c r="B592" s="32"/>
    </row>
    <row r="593" ht="15.75" customHeight="1">
      <c r="A593" s="32"/>
      <c r="B593" s="32"/>
    </row>
    <row r="594" ht="15.75" customHeight="1">
      <c r="A594" s="32"/>
      <c r="B594" s="32"/>
    </row>
    <row r="595" ht="15.75" customHeight="1">
      <c r="A595" s="32"/>
      <c r="B595" s="32"/>
    </row>
    <row r="596" ht="15.75" customHeight="1">
      <c r="A596" s="32"/>
      <c r="B596" s="32"/>
    </row>
    <row r="597" ht="15.75" customHeight="1">
      <c r="A597" s="32"/>
      <c r="B597" s="32"/>
    </row>
    <row r="598" ht="15.75" customHeight="1">
      <c r="A598" s="32"/>
      <c r="B598" s="32"/>
    </row>
    <row r="599" ht="15.75" customHeight="1">
      <c r="A599" s="32"/>
      <c r="B599" s="32"/>
    </row>
    <row r="600" ht="15.75" customHeight="1">
      <c r="A600" s="32"/>
      <c r="B600" s="32"/>
    </row>
    <row r="601" ht="15.75" customHeight="1">
      <c r="A601" s="32"/>
      <c r="B601" s="32"/>
    </row>
    <row r="602" ht="15.75" customHeight="1">
      <c r="A602" s="32"/>
      <c r="B602" s="32"/>
    </row>
    <row r="603" ht="15.75" customHeight="1">
      <c r="A603" s="32"/>
      <c r="B603" s="32"/>
    </row>
    <row r="604" ht="15.75" customHeight="1">
      <c r="A604" s="32"/>
      <c r="B604" s="32"/>
    </row>
    <row r="605" ht="15.75" customHeight="1">
      <c r="A605" s="32"/>
      <c r="B605" s="32"/>
    </row>
    <row r="606" ht="15.75" customHeight="1">
      <c r="A606" s="32"/>
      <c r="B606" s="32"/>
    </row>
    <row r="607" ht="15.75" customHeight="1">
      <c r="A607" s="32"/>
      <c r="B607" s="32"/>
    </row>
    <row r="608" ht="15.75" customHeight="1">
      <c r="A608" s="32"/>
      <c r="B608" s="32"/>
    </row>
    <row r="609" ht="15.75" customHeight="1">
      <c r="A609" s="32"/>
      <c r="B609" s="32"/>
    </row>
    <row r="610" ht="15.75" customHeight="1">
      <c r="A610" s="32"/>
      <c r="B610" s="32"/>
    </row>
    <row r="611" ht="15.75" customHeight="1">
      <c r="A611" s="32"/>
      <c r="B611" s="32"/>
    </row>
    <row r="612" ht="15.75" customHeight="1">
      <c r="A612" s="32"/>
      <c r="B612" s="32"/>
    </row>
    <row r="613" ht="15.75" customHeight="1">
      <c r="A613" s="32"/>
      <c r="B613" s="32"/>
    </row>
    <row r="614" ht="15.75" customHeight="1">
      <c r="A614" s="32"/>
      <c r="B614" s="32"/>
    </row>
    <row r="615" ht="15.75" customHeight="1">
      <c r="A615" s="32"/>
      <c r="B615" s="32"/>
    </row>
    <row r="616" ht="15.75" customHeight="1">
      <c r="A616" s="32"/>
      <c r="B616" s="32"/>
    </row>
    <row r="617" ht="15.75" customHeight="1">
      <c r="A617" s="32"/>
      <c r="B617" s="32"/>
    </row>
    <row r="618" ht="15.75" customHeight="1">
      <c r="A618" s="32"/>
      <c r="B618" s="32"/>
    </row>
    <row r="619" ht="15.75" customHeight="1">
      <c r="A619" s="32"/>
      <c r="B619" s="32"/>
    </row>
    <row r="620" ht="15.75" customHeight="1">
      <c r="A620" s="32"/>
      <c r="B620" s="32"/>
    </row>
    <row r="621" ht="15.75" customHeight="1">
      <c r="A621" s="32"/>
      <c r="B621" s="32"/>
    </row>
    <row r="622" ht="15.75" customHeight="1">
      <c r="A622" s="32"/>
      <c r="B622" s="32"/>
    </row>
    <row r="623" ht="15.75" customHeight="1">
      <c r="A623" s="32"/>
      <c r="B623" s="32"/>
    </row>
    <row r="624" ht="15.75" customHeight="1">
      <c r="A624" s="32"/>
      <c r="B624" s="32"/>
    </row>
    <row r="625" ht="15.75" customHeight="1">
      <c r="A625" s="32"/>
      <c r="B625" s="32"/>
    </row>
    <row r="626" ht="15.75" customHeight="1">
      <c r="A626" s="32"/>
      <c r="B626" s="32"/>
    </row>
    <row r="627" ht="15.75" customHeight="1">
      <c r="A627" s="32"/>
      <c r="B627" s="32"/>
    </row>
    <row r="628" ht="15.75" customHeight="1">
      <c r="A628" s="32"/>
      <c r="B628" s="32"/>
    </row>
    <row r="629" ht="15.75" customHeight="1">
      <c r="A629" s="32"/>
      <c r="B629" s="32"/>
    </row>
    <row r="630" ht="15.75" customHeight="1">
      <c r="A630" s="32"/>
      <c r="B630" s="32"/>
    </row>
    <row r="631" ht="15.75" customHeight="1">
      <c r="A631" s="32"/>
      <c r="B631" s="32"/>
    </row>
    <row r="632" ht="15.75" customHeight="1">
      <c r="A632" s="32"/>
      <c r="B632" s="32"/>
    </row>
    <row r="633" ht="15.75" customHeight="1">
      <c r="A633" s="32"/>
      <c r="B633" s="32"/>
    </row>
    <row r="634" ht="15.75" customHeight="1">
      <c r="A634" s="32"/>
      <c r="B634" s="32"/>
    </row>
    <row r="635" ht="15.75" customHeight="1">
      <c r="A635" s="32"/>
      <c r="B635" s="32"/>
    </row>
    <row r="636" ht="15.75" customHeight="1">
      <c r="A636" s="32"/>
      <c r="B636" s="32"/>
    </row>
    <row r="637" ht="15.75" customHeight="1">
      <c r="A637" s="32"/>
      <c r="B637" s="32"/>
    </row>
    <row r="638" ht="15.75" customHeight="1">
      <c r="A638" s="32"/>
      <c r="B638" s="32"/>
    </row>
    <row r="639" ht="15.75" customHeight="1">
      <c r="A639" s="32"/>
      <c r="B639" s="32"/>
    </row>
    <row r="640" ht="15.75" customHeight="1">
      <c r="A640" s="32"/>
      <c r="B640" s="32"/>
    </row>
    <row r="641" ht="15.75" customHeight="1">
      <c r="A641" s="32"/>
      <c r="B641" s="32"/>
    </row>
    <row r="642" ht="15.75" customHeight="1">
      <c r="A642" s="32"/>
      <c r="B642" s="32"/>
    </row>
    <row r="643" ht="15.75" customHeight="1">
      <c r="A643" s="32"/>
      <c r="B643" s="32"/>
    </row>
    <row r="644" ht="15.75" customHeight="1">
      <c r="A644" s="32"/>
      <c r="B644" s="32"/>
    </row>
    <row r="645" ht="15.75" customHeight="1">
      <c r="A645" s="32"/>
      <c r="B645" s="32"/>
    </row>
    <row r="646" ht="15.75" customHeight="1">
      <c r="A646" s="32"/>
      <c r="B646" s="32"/>
    </row>
    <row r="647" ht="15.75" customHeight="1">
      <c r="A647" s="32"/>
      <c r="B647" s="32"/>
    </row>
    <row r="648" ht="15.75" customHeight="1">
      <c r="A648" s="32"/>
      <c r="B648" s="32"/>
    </row>
    <row r="649" ht="15.75" customHeight="1">
      <c r="A649" s="32"/>
      <c r="B649" s="32"/>
    </row>
    <row r="650" ht="15.75" customHeight="1">
      <c r="A650" s="32"/>
      <c r="B650" s="32"/>
    </row>
    <row r="651" ht="15.75" customHeight="1">
      <c r="A651" s="32"/>
      <c r="B651" s="32"/>
    </row>
    <row r="652" ht="15.75" customHeight="1">
      <c r="A652" s="32"/>
      <c r="B652" s="32"/>
    </row>
    <row r="653" ht="15.75" customHeight="1">
      <c r="A653" s="32"/>
      <c r="B653" s="32"/>
    </row>
    <row r="654" ht="15.75" customHeight="1">
      <c r="A654" s="32"/>
      <c r="B654" s="32"/>
    </row>
    <row r="655" ht="15.75" customHeight="1">
      <c r="A655" s="32"/>
      <c r="B655" s="32"/>
    </row>
    <row r="656" ht="15.75" customHeight="1">
      <c r="A656" s="32"/>
      <c r="B656" s="32"/>
    </row>
    <row r="657" ht="15.75" customHeight="1">
      <c r="A657" s="32"/>
      <c r="B657" s="32"/>
    </row>
    <row r="658" ht="15.75" customHeight="1">
      <c r="A658" s="32"/>
      <c r="B658" s="32"/>
    </row>
    <row r="659" ht="15.75" customHeight="1">
      <c r="A659" s="32"/>
      <c r="B659" s="32"/>
    </row>
    <row r="660" ht="15.75" customHeight="1">
      <c r="A660" s="32"/>
      <c r="B660" s="32"/>
    </row>
    <row r="661" ht="15.75" customHeight="1">
      <c r="A661" s="32"/>
      <c r="B661" s="32"/>
    </row>
    <row r="662" ht="15.75" customHeight="1">
      <c r="A662" s="32"/>
      <c r="B662" s="32"/>
    </row>
    <row r="663" ht="15.75" customHeight="1">
      <c r="A663" s="32"/>
      <c r="B663" s="32"/>
    </row>
    <row r="664" ht="15.75" customHeight="1">
      <c r="A664" s="32"/>
      <c r="B664" s="32"/>
    </row>
    <row r="665" ht="15.75" customHeight="1">
      <c r="A665" s="32"/>
      <c r="B665" s="32"/>
    </row>
    <row r="666" ht="15.75" customHeight="1">
      <c r="A666" s="32"/>
      <c r="B666" s="32"/>
    </row>
    <row r="667" ht="15.75" customHeight="1">
      <c r="A667" s="32"/>
      <c r="B667" s="32"/>
    </row>
    <row r="668" ht="15.75" customHeight="1">
      <c r="A668" s="32"/>
      <c r="B668" s="32"/>
    </row>
    <row r="669" ht="15.75" customHeight="1">
      <c r="A669" s="32"/>
      <c r="B669" s="32"/>
    </row>
    <row r="670" ht="15.75" customHeight="1">
      <c r="A670" s="32"/>
      <c r="B670" s="32"/>
    </row>
    <row r="671" ht="15.75" customHeight="1">
      <c r="A671" s="32"/>
      <c r="B671" s="32"/>
    </row>
    <row r="672" ht="15.75" customHeight="1">
      <c r="A672" s="32"/>
      <c r="B672" s="32"/>
    </row>
    <row r="673" ht="15.75" customHeight="1">
      <c r="A673" s="32"/>
      <c r="B673" s="32"/>
    </row>
    <row r="674" ht="15.75" customHeight="1">
      <c r="A674" s="32"/>
      <c r="B674" s="32"/>
    </row>
    <row r="675" ht="15.75" customHeight="1">
      <c r="A675" s="32"/>
      <c r="B675" s="32"/>
    </row>
    <row r="676" ht="15.75" customHeight="1">
      <c r="A676" s="32"/>
      <c r="B676" s="32"/>
    </row>
    <row r="677" ht="15.75" customHeight="1">
      <c r="A677" s="32"/>
      <c r="B677" s="32"/>
    </row>
    <row r="678" ht="15.75" customHeight="1">
      <c r="A678" s="32"/>
      <c r="B678" s="32"/>
    </row>
    <row r="679" ht="15.75" customHeight="1">
      <c r="A679" s="32"/>
      <c r="B679" s="32"/>
    </row>
    <row r="680" ht="15.75" customHeight="1">
      <c r="A680" s="32"/>
      <c r="B680" s="32"/>
    </row>
    <row r="681" ht="15.75" customHeight="1">
      <c r="A681" s="32"/>
      <c r="B681" s="32"/>
    </row>
    <row r="682" ht="15.75" customHeight="1">
      <c r="A682" s="32"/>
      <c r="B682" s="32"/>
    </row>
    <row r="683" ht="15.75" customHeight="1">
      <c r="A683" s="32"/>
      <c r="B683" s="32"/>
    </row>
    <row r="684" ht="15.75" customHeight="1">
      <c r="A684" s="32"/>
      <c r="B684" s="32"/>
    </row>
    <row r="685" ht="15.75" customHeight="1">
      <c r="A685" s="32"/>
      <c r="B685" s="32"/>
    </row>
    <row r="686" ht="15.75" customHeight="1">
      <c r="A686" s="32"/>
      <c r="B686" s="32"/>
    </row>
    <row r="687" ht="15.75" customHeight="1">
      <c r="A687" s="32"/>
      <c r="B687" s="32"/>
    </row>
    <row r="688" ht="15.75" customHeight="1">
      <c r="A688" s="32"/>
      <c r="B688" s="32"/>
    </row>
    <row r="689" ht="15.75" customHeight="1">
      <c r="A689" s="32"/>
      <c r="B689" s="32"/>
    </row>
    <row r="690" ht="15.75" customHeight="1">
      <c r="A690" s="32"/>
      <c r="B690" s="32"/>
    </row>
    <row r="691" ht="15.75" customHeight="1">
      <c r="A691" s="32"/>
      <c r="B691" s="32"/>
    </row>
    <row r="692" ht="15.75" customHeight="1">
      <c r="A692" s="32"/>
      <c r="B692" s="32"/>
    </row>
    <row r="693" ht="15.75" customHeight="1">
      <c r="A693" s="32"/>
      <c r="B693" s="32"/>
    </row>
    <row r="694" ht="15.75" customHeight="1">
      <c r="A694" s="32"/>
      <c r="B694" s="32"/>
    </row>
    <row r="695" ht="15.75" customHeight="1">
      <c r="A695" s="32"/>
      <c r="B695" s="32"/>
    </row>
    <row r="696" ht="15.75" customHeight="1">
      <c r="A696" s="32"/>
      <c r="B696" s="32"/>
    </row>
    <row r="697" ht="15.75" customHeight="1">
      <c r="A697" s="32"/>
      <c r="B697" s="32"/>
    </row>
    <row r="698" ht="15.75" customHeight="1">
      <c r="A698" s="32"/>
      <c r="B698" s="32"/>
    </row>
    <row r="699" ht="15.75" customHeight="1">
      <c r="A699" s="32"/>
      <c r="B699" s="32"/>
    </row>
    <row r="700" ht="15.75" customHeight="1">
      <c r="A700" s="32"/>
      <c r="B700" s="32"/>
    </row>
    <row r="701" ht="15.75" customHeight="1">
      <c r="A701" s="32"/>
      <c r="B701" s="32"/>
    </row>
    <row r="702" ht="15.75" customHeight="1">
      <c r="A702" s="32"/>
      <c r="B702" s="32"/>
    </row>
    <row r="703" ht="15.75" customHeight="1">
      <c r="A703" s="32"/>
      <c r="B703" s="32"/>
    </row>
    <row r="704" ht="15.75" customHeight="1">
      <c r="A704" s="32"/>
      <c r="B704" s="32"/>
    </row>
    <row r="705" ht="15.75" customHeight="1">
      <c r="A705" s="32"/>
      <c r="B705" s="32"/>
    </row>
    <row r="706" ht="15.75" customHeight="1">
      <c r="A706" s="32"/>
      <c r="B706" s="32"/>
    </row>
    <row r="707" ht="15.75" customHeight="1">
      <c r="A707" s="32"/>
      <c r="B707" s="32"/>
    </row>
    <row r="708" ht="15.75" customHeight="1">
      <c r="A708" s="32"/>
      <c r="B708" s="32"/>
    </row>
    <row r="709" ht="15.75" customHeight="1">
      <c r="A709" s="32"/>
      <c r="B709" s="32"/>
    </row>
    <row r="710" ht="15.75" customHeight="1">
      <c r="A710" s="32"/>
      <c r="B710" s="32"/>
    </row>
    <row r="711" ht="15.75" customHeight="1">
      <c r="A711" s="32"/>
      <c r="B711" s="32"/>
    </row>
    <row r="712" ht="15.75" customHeight="1">
      <c r="A712" s="32"/>
      <c r="B712" s="32"/>
    </row>
    <row r="713" ht="15.75" customHeight="1">
      <c r="A713" s="32"/>
      <c r="B713" s="32"/>
    </row>
    <row r="714" ht="15.75" customHeight="1">
      <c r="A714" s="32"/>
      <c r="B714" s="32"/>
    </row>
    <row r="715" ht="15.75" customHeight="1">
      <c r="A715" s="32"/>
      <c r="B715" s="32"/>
    </row>
    <row r="716" ht="15.75" customHeight="1">
      <c r="A716" s="32"/>
      <c r="B716" s="32"/>
    </row>
    <row r="717" ht="15.75" customHeight="1">
      <c r="A717" s="32"/>
      <c r="B717" s="32"/>
    </row>
    <row r="718" ht="15.75" customHeight="1">
      <c r="A718" s="32"/>
      <c r="B718" s="32"/>
    </row>
    <row r="719" ht="15.75" customHeight="1">
      <c r="A719" s="32"/>
      <c r="B719" s="32"/>
    </row>
    <row r="720" ht="15.75" customHeight="1">
      <c r="A720" s="32"/>
      <c r="B720" s="32"/>
    </row>
    <row r="721" ht="15.75" customHeight="1">
      <c r="A721" s="32"/>
      <c r="B721" s="32"/>
    </row>
    <row r="722" ht="15.75" customHeight="1">
      <c r="A722" s="32"/>
      <c r="B722" s="32"/>
    </row>
    <row r="723" ht="15.75" customHeight="1">
      <c r="A723" s="32"/>
      <c r="B723" s="32"/>
    </row>
    <row r="724" ht="15.75" customHeight="1">
      <c r="A724" s="32"/>
      <c r="B724" s="32"/>
    </row>
    <row r="725" ht="15.75" customHeight="1">
      <c r="A725" s="32"/>
      <c r="B725" s="32"/>
    </row>
    <row r="726" ht="15.75" customHeight="1">
      <c r="A726" s="32"/>
      <c r="B726" s="32"/>
    </row>
    <row r="727" ht="15.75" customHeight="1">
      <c r="A727" s="32"/>
      <c r="B727" s="32"/>
    </row>
    <row r="728" ht="15.75" customHeight="1">
      <c r="A728" s="32"/>
      <c r="B728" s="32"/>
    </row>
    <row r="729" ht="15.75" customHeight="1">
      <c r="A729" s="32"/>
      <c r="B729" s="32"/>
    </row>
    <row r="730" ht="15.75" customHeight="1">
      <c r="A730" s="32"/>
      <c r="B730" s="32"/>
    </row>
    <row r="731" ht="15.75" customHeight="1">
      <c r="A731" s="32"/>
      <c r="B731" s="32"/>
    </row>
    <row r="732" ht="15.75" customHeight="1">
      <c r="A732" s="32"/>
      <c r="B732" s="32"/>
    </row>
    <row r="733" ht="15.75" customHeight="1">
      <c r="A733" s="32"/>
      <c r="B733" s="32"/>
    </row>
    <row r="734" ht="15.75" customHeight="1">
      <c r="A734" s="32"/>
      <c r="B734" s="32"/>
    </row>
    <row r="735" ht="15.75" customHeight="1">
      <c r="A735" s="32"/>
      <c r="B735" s="32"/>
    </row>
    <row r="736" ht="15.75" customHeight="1">
      <c r="A736" s="32"/>
      <c r="B736" s="32"/>
    </row>
    <row r="737" ht="15.75" customHeight="1">
      <c r="A737" s="32"/>
      <c r="B737" s="32"/>
    </row>
    <row r="738" ht="15.75" customHeight="1">
      <c r="A738" s="32"/>
      <c r="B738" s="32"/>
    </row>
    <row r="739" ht="15.75" customHeight="1">
      <c r="A739" s="32"/>
      <c r="B739" s="32"/>
    </row>
    <row r="740" ht="15.75" customHeight="1">
      <c r="A740" s="32"/>
      <c r="B740" s="32"/>
    </row>
    <row r="741" ht="15.75" customHeight="1">
      <c r="A741" s="32"/>
      <c r="B741" s="32"/>
    </row>
    <row r="742" ht="15.75" customHeight="1">
      <c r="A742" s="32"/>
      <c r="B742" s="32"/>
    </row>
    <row r="743" ht="15.75" customHeight="1">
      <c r="A743" s="32"/>
      <c r="B743" s="32"/>
    </row>
    <row r="744" ht="15.75" customHeight="1">
      <c r="A744" s="32"/>
      <c r="B744" s="32"/>
    </row>
    <row r="745" ht="15.75" customHeight="1">
      <c r="A745" s="32"/>
      <c r="B745" s="32"/>
    </row>
    <row r="746" ht="15.75" customHeight="1">
      <c r="A746" s="32"/>
      <c r="B746" s="32"/>
    </row>
    <row r="747" ht="15.75" customHeight="1">
      <c r="A747" s="32"/>
      <c r="B747" s="32"/>
    </row>
    <row r="748" ht="15.75" customHeight="1">
      <c r="A748" s="32"/>
      <c r="B748" s="32"/>
    </row>
    <row r="749" ht="15.75" customHeight="1">
      <c r="A749" s="32"/>
      <c r="B749" s="32"/>
    </row>
    <row r="750" ht="15.75" customHeight="1">
      <c r="A750" s="32"/>
      <c r="B750" s="32"/>
    </row>
    <row r="751" ht="15.75" customHeight="1">
      <c r="A751" s="32"/>
      <c r="B751" s="32"/>
    </row>
    <row r="752" ht="15.75" customHeight="1">
      <c r="A752" s="32"/>
      <c r="B752" s="32"/>
    </row>
    <row r="753" ht="15.75" customHeight="1">
      <c r="A753" s="32"/>
      <c r="B753" s="32"/>
    </row>
    <row r="754" ht="15.75" customHeight="1">
      <c r="A754" s="32"/>
      <c r="B754" s="32"/>
    </row>
    <row r="755" ht="15.75" customHeight="1">
      <c r="A755" s="32"/>
      <c r="B755" s="32"/>
    </row>
    <row r="756" ht="15.75" customHeight="1">
      <c r="A756" s="32"/>
      <c r="B756" s="32"/>
    </row>
    <row r="757" ht="15.75" customHeight="1">
      <c r="A757" s="32"/>
      <c r="B757" s="32"/>
    </row>
    <row r="758" ht="15.75" customHeight="1">
      <c r="A758" s="32"/>
      <c r="B758" s="32"/>
    </row>
    <row r="759" ht="15.75" customHeight="1">
      <c r="A759" s="32"/>
      <c r="B759" s="32"/>
    </row>
    <row r="760" ht="15.75" customHeight="1">
      <c r="A760" s="32"/>
      <c r="B760" s="32"/>
    </row>
    <row r="761" ht="15.75" customHeight="1">
      <c r="A761" s="32"/>
      <c r="B761" s="32"/>
    </row>
    <row r="762" ht="15.75" customHeight="1">
      <c r="A762" s="32"/>
      <c r="B762" s="32"/>
    </row>
    <row r="763" ht="15.75" customHeight="1">
      <c r="A763" s="32"/>
      <c r="B763" s="32"/>
    </row>
    <row r="764" ht="15.75" customHeight="1">
      <c r="A764" s="32"/>
      <c r="B764" s="32"/>
    </row>
    <row r="765" ht="15.75" customHeight="1">
      <c r="A765" s="32"/>
      <c r="B765" s="32"/>
    </row>
    <row r="766" ht="15.75" customHeight="1">
      <c r="A766" s="32"/>
      <c r="B766" s="32"/>
    </row>
    <row r="767" ht="15.75" customHeight="1">
      <c r="A767" s="32"/>
      <c r="B767" s="32"/>
    </row>
    <row r="768" ht="15.75" customHeight="1">
      <c r="A768" s="32"/>
      <c r="B768" s="32"/>
    </row>
    <row r="769" ht="15.75" customHeight="1">
      <c r="A769" s="32"/>
      <c r="B769" s="32"/>
    </row>
    <row r="770" ht="15.75" customHeight="1">
      <c r="A770" s="32"/>
      <c r="B770" s="32"/>
    </row>
    <row r="771" ht="15.75" customHeight="1">
      <c r="A771" s="32"/>
      <c r="B771" s="32"/>
    </row>
    <row r="772" ht="15.75" customHeight="1">
      <c r="A772" s="32"/>
      <c r="B772" s="32"/>
    </row>
    <row r="773" ht="15.75" customHeight="1">
      <c r="A773" s="32"/>
      <c r="B773" s="32"/>
    </row>
    <row r="774" ht="15.75" customHeight="1">
      <c r="A774" s="32"/>
      <c r="B774" s="32"/>
    </row>
    <row r="775" ht="15.75" customHeight="1">
      <c r="A775" s="32"/>
      <c r="B775" s="32"/>
    </row>
    <row r="776" ht="15.75" customHeight="1">
      <c r="A776" s="32"/>
      <c r="B776" s="32"/>
    </row>
    <row r="777" ht="15.75" customHeight="1">
      <c r="A777" s="32"/>
      <c r="B777" s="32"/>
    </row>
    <row r="778" ht="15.75" customHeight="1">
      <c r="A778" s="32"/>
      <c r="B778" s="32"/>
    </row>
    <row r="779" ht="15.75" customHeight="1">
      <c r="A779" s="32"/>
      <c r="B779" s="32"/>
    </row>
    <row r="780" ht="15.75" customHeight="1">
      <c r="A780" s="32"/>
      <c r="B780" s="32"/>
    </row>
    <row r="781" ht="15.75" customHeight="1">
      <c r="A781" s="32"/>
      <c r="B781" s="32"/>
    </row>
    <row r="782" ht="15.75" customHeight="1">
      <c r="A782" s="32"/>
      <c r="B782" s="32"/>
    </row>
    <row r="783" ht="15.75" customHeight="1">
      <c r="A783" s="32"/>
      <c r="B783" s="32"/>
    </row>
    <row r="784" ht="15.75" customHeight="1">
      <c r="A784" s="32"/>
      <c r="B784" s="32"/>
    </row>
    <row r="785" ht="15.75" customHeight="1">
      <c r="A785" s="32"/>
      <c r="B785" s="32"/>
    </row>
    <row r="786" ht="15.75" customHeight="1">
      <c r="A786" s="32"/>
      <c r="B786" s="32"/>
    </row>
    <row r="787" ht="15.75" customHeight="1">
      <c r="A787" s="32"/>
      <c r="B787" s="32"/>
    </row>
    <row r="788" ht="15.75" customHeight="1">
      <c r="A788" s="32"/>
      <c r="B788" s="32"/>
    </row>
    <row r="789" ht="15.75" customHeight="1">
      <c r="A789" s="32"/>
      <c r="B789" s="32"/>
    </row>
    <row r="790" ht="15.75" customHeight="1">
      <c r="A790" s="32"/>
      <c r="B790" s="32"/>
    </row>
    <row r="791" ht="15.75" customHeight="1">
      <c r="A791" s="32"/>
      <c r="B791" s="32"/>
    </row>
    <row r="792" ht="15.75" customHeight="1">
      <c r="A792" s="32"/>
      <c r="B792" s="32"/>
    </row>
    <row r="793" ht="15.75" customHeight="1">
      <c r="A793" s="32"/>
      <c r="B793" s="32"/>
    </row>
    <row r="794" ht="15.75" customHeight="1">
      <c r="A794" s="32"/>
      <c r="B794" s="32"/>
    </row>
    <row r="795" ht="15.75" customHeight="1">
      <c r="A795" s="32"/>
      <c r="B795" s="32"/>
    </row>
    <row r="796" ht="15.75" customHeight="1">
      <c r="A796" s="32"/>
      <c r="B796" s="32"/>
    </row>
    <row r="797" ht="15.75" customHeight="1">
      <c r="A797" s="32"/>
      <c r="B797" s="32"/>
    </row>
    <row r="798" ht="15.75" customHeight="1">
      <c r="A798" s="32"/>
      <c r="B798" s="32"/>
    </row>
    <row r="799" ht="15.75" customHeight="1">
      <c r="A799" s="32"/>
      <c r="B799" s="32"/>
    </row>
    <row r="800" ht="15.75" customHeight="1">
      <c r="A800" s="32"/>
      <c r="B800" s="32"/>
    </row>
    <row r="801" ht="15.75" customHeight="1">
      <c r="A801" s="32"/>
      <c r="B801" s="32"/>
    </row>
    <row r="802" ht="15.75" customHeight="1">
      <c r="A802" s="32"/>
      <c r="B802" s="32"/>
    </row>
    <row r="803" ht="15.75" customHeight="1">
      <c r="A803" s="32"/>
      <c r="B803" s="32"/>
    </row>
    <row r="804" ht="15.75" customHeight="1">
      <c r="A804" s="32"/>
      <c r="B804" s="32"/>
    </row>
    <row r="805" ht="15.75" customHeight="1">
      <c r="A805" s="32"/>
      <c r="B805" s="32"/>
    </row>
    <row r="806" ht="15.75" customHeight="1">
      <c r="A806" s="32"/>
      <c r="B806" s="32"/>
    </row>
    <row r="807" ht="15.75" customHeight="1">
      <c r="A807" s="32"/>
      <c r="B807" s="32"/>
    </row>
    <row r="808" ht="15.75" customHeight="1">
      <c r="A808" s="32"/>
      <c r="B808" s="32"/>
    </row>
    <row r="809" ht="15.75" customHeight="1">
      <c r="A809" s="32"/>
      <c r="B809" s="32"/>
    </row>
    <row r="810" ht="15.75" customHeight="1">
      <c r="A810" s="32"/>
      <c r="B810" s="32"/>
    </row>
    <row r="811" ht="15.75" customHeight="1">
      <c r="A811" s="32"/>
      <c r="B811" s="32"/>
    </row>
    <row r="812" ht="15.75" customHeight="1">
      <c r="A812" s="32"/>
      <c r="B812" s="32"/>
    </row>
    <row r="813" ht="15.75" customHeight="1">
      <c r="A813" s="32"/>
      <c r="B813" s="32"/>
    </row>
    <row r="814" ht="15.75" customHeight="1">
      <c r="A814" s="32"/>
      <c r="B814" s="32"/>
    </row>
    <row r="815" ht="15.75" customHeight="1">
      <c r="A815" s="32"/>
      <c r="B815" s="32"/>
    </row>
    <row r="816" ht="15.75" customHeight="1">
      <c r="A816" s="32"/>
      <c r="B816" s="32"/>
    </row>
    <row r="817" ht="15.75" customHeight="1">
      <c r="A817" s="32"/>
      <c r="B817" s="32"/>
    </row>
    <row r="818" ht="15.75" customHeight="1">
      <c r="A818" s="32"/>
      <c r="B818" s="32"/>
    </row>
    <row r="819" ht="15.75" customHeight="1">
      <c r="A819" s="32"/>
      <c r="B819" s="32"/>
    </row>
    <row r="820" ht="15.75" customHeight="1">
      <c r="A820" s="32"/>
      <c r="B820" s="32"/>
    </row>
    <row r="821" ht="15.75" customHeight="1">
      <c r="A821" s="32"/>
      <c r="B821" s="32"/>
    </row>
    <row r="822" ht="15.75" customHeight="1">
      <c r="A822" s="32"/>
      <c r="B822" s="32"/>
    </row>
    <row r="823" ht="15.75" customHeight="1">
      <c r="A823" s="32"/>
      <c r="B823" s="32"/>
    </row>
    <row r="824" ht="15.75" customHeight="1">
      <c r="A824" s="32"/>
      <c r="B824" s="32"/>
    </row>
    <row r="825" ht="15.75" customHeight="1">
      <c r="A825" s="32"/>
      <c r="B825" s="32"/>
    </row>
    <row r="826" ht="15.75" customHeight="1">
      <c r="A826" s="32"/>
      <c r="B826" s="32"/>
    </row>
    <row r="827" ht="15.75" customHeight="1">
      <c r="A827" s="32"/>
      <c r="B827" s="32"/>
    </row>
    <row r="828" ht="15.75" customHeight="1">
      <c r="A828" s="32"/>
      <c r="B828" s="32"/>
    </row>
    <row r="829" ht="15.75" customHeight="1">
      <c r="A829" s="32"/>
      <c r="B829" s="32"/>
    </row>
    <row r="830" ht="15.75" customHeight="1">
      <c r="A830" s="32"/>
      <c r="B830" s="32"/>
    </row>
    <row r="831" ht="15.75" customHeight="1">
      <c r="A831" s="32"/>
      <c r="B831" s="32"/>
    </row>
    <row r="832" ht="15.75" customHeight="1">
      <c r="A832" s="32"/>
      <c r="B832" s="32"/>
    </row>
    <row r="833" ht="15.75" customHeight="1">
      <c r="A833" s="32"/>
      <c r="B833" s="32"/>
    </row>
    <row r="834" ht="15.75" customHeight="1">
      <c r="A834" s="32"/>
      <c r="B834" s="32"/>
    </row>
    <row r="835" ht="15.75" customHeight="1">
      <c r="A835" s="32"/>
      <c r="B835" s="32"/>
    </row>
    <row r="836" ht="15.75" customHeight="1">
      <c r="A836" s="32"/>
      <c r="B836" s="32"/>
    </row>
    <row r="837" ht="15.75" customHeight="1">
      <c r="A837" s="32"/>
      <c r="B837" s="32"/>
    </row>
    <row r="838" ht="15.75" customHeight="1">
      <c r="A838" s="32"/>
      <c r="B838" s="32"/>
    </row>
    <row r="839" ht="15.75" customHeight="1">
      <c r="A839" s="32"/>
      <c r="B839" s="32"/>
    </row>
    <row r="840" ht="15.75" customHeight="1">
      <c r="A840" s="32"/>
      <c r="B840" s="32"/>
    </row>
    <row r="841" ht="15.75" customHeight="1">
      <c r="A841" s="32"/>
      <c r="B841" s="32"/>
    </row>
    <row r="842" ht="15.75" customHeight="1">
      <c r="A842" s="32"/>
      <c r="B842" s="32"/>
    </row>
    <row r="843" ht="15.75" customHeight="1">
      <c r="A843" s="32"/>
      <c r="B843" s="32"/>
    </row>
    <row r="844" ht="15.75" customHeight="1">
      <c r="A844" s="32"/>
      <c r="B844" s="32"/>
    </row>
    <row r="845" ht="15.75" customHeight="1">
      <c r="A845" s="32"/>
      <c r="B845" s="32"/>
    </row>
    <row r="846" ht="15.75" customHeight="1">
      <c r="A846" s="32"/>
      <c r="B846" s="32"/>
    </row>
    <row r="847" ht="15.75" customHeight="1">
      <c r="A847" s="32"/>
      <c r="B847" s="32"/>
    </row>
    <row r="848" ht="15.75" customHeight="1">
      <c r="A848" s="32"/>
      <c r="B848" s="32"/>
    </row>
    <row r="849" ht="15.75" customHeight="1">
      <c r="A849" s="32"/>
      <c r="B849" s="32"/>
    </row>
    <row r="850" ht="15.75" customHeight="1">
      <c r="A850" s="32"/>
      <c r="B850" s="32"/>
    </row>
    <row r="851" ht="15.75" customHeight="1">
      <c r="A851" s="32"/>
      <c r="B851" s="32"/>
    </row>
    <row r="852" ht="15.75" customHeight="1">
      <c r="A852" s="32"/>
      <c r="B852" s="32"/>
    </row>
    <row r="853" ht="15.75" customHeight="1">
      <c r="A853" s="32"/>
      <c r="B853" s="32"/>
    </row>
    <row r="854" ht="15.75" customHeight="1">
      <c r="A854" s="32"/>
      <c r="B854" s="32"/>
    </row>
    <row r="855" ht="15.75" customHeight="1">
      <c r="A855" s="32"/>
      <c r="B855" s="32"/>
    </row>
    <row r="856" ht="15.75" customHeight="1">
      <c r="A856" s="32"/>
      <c r="B856" s="32"/>
    </row>
    <row r="857" ht="15.75" customHeight="1">
      <c r="A857" s="32"/>
      <c r="B857" s="32"/>
    </row>
    <row r="858" ht="15.75" customHeight="1">
      <c r="A858" s="32"/>
      <c r="B858" s="32"/>
    </row>
    <row r="859" ht="15.75" customHeight="1">
      <c r="A859" s="32"/>
      <c r="B859" s="32"/>
    </row>
    <row r="860" ht="15.75" customHeight="1">
      <c r="A860" s="32"/>
      <c r="B860" s="32"/>
    </row>
    <row r="861" ht="15.75" customHeight="1">
      <c r="A861" s="32"/>
      <c r="B861" s="32"/>
    </row>
    <row r="862" ht="15.75" customHeight="1">
      <c r="A862" s="32"/>
      <c r="B862" s="32"/>
    </row>
    <row r="863" ht="15.75" customHeight="1">
      <c r="A863" s="32"/>
      <c r="B863" s="32"/>
    </row>
    <row r="864" ht="15.75" customHeight="1">
      <c r="A864" s="32"/>
      <c r="B864" s="32"/>
    </row>
    <row r="865" ht="15.75" customHeight="1">
      <c r="A865" s="32"/>
      <c r="B865" s="32"/>
    </row>
    <row r="866" ht="15.75" customHeight="1">
      <c r="A866" s="32"/>
      <c r="B866" s="32"/>
    </row>
    <row r="867" ht="15.75" customHeight="1">
      <c r="A867" s="32"/>
      <c r="B867" s="32"/>
    </row>
    <row r="868" ht="15.75" customHeight="1">
      <c r="A868" s="32"/>
      <c r="B868" s="32"/>
    </row>
    <row r="869" ht="15.75" customHeight="1">
      <c r="A869" s="32"/>
      <c r="B869" s="32"/>
    </row>
    <row r="870" ht="15.75" customHeight="1">
      <c r="A870" s="32"/>
      <c r="B870" s="32"/>
    </row>
    <row r="871" ht="15.75" customHeight="1">
      <c r="A871" s="32"/>
      <c r="B871" s="32"/>
    </row>
    <row r="872" ht="15.75" customHeight="1">
      <c r="A872" s="32"/>
      <c r="B872" s="32"/>
    </row>
    <row r="873" ht="15.75" customHeight="1">
      <c r="A873" s="32"/>
      <c r="B873" s="32"/>
    </row>
    <row r="874" ht="15.75" customHeight="1">
      <c r="A874" s="32"/>
      <c r="B874" s="32"/>
    </row>
    <row r="875" ht="15.75" customHeight="1">
      <c r="A875" s="32"/>
      <c r="B875" s="32"/>
    </row>
    <row r="876" ht="15.75" customHeight="1">
      <c r="A876" s="32"/>
      <c r="B876" s="32"/>
    </row>
    <row r="877" ht="15.75" customHeight="1">
      <c r="A877" s="32"/>
      <c r="B877" s="32"/>
    </row>
    <row r="878" ht="15.75" customHeight="1">
      <c r="A878" s="32"/>
      <c r="B878" s="32"/>
    </row>
    <row r="879" ht="15.75" customHeight="1">
      <c r="A879" s="32"/>
      <c r="B879" s="32"/>
    </row>
    <row r="880" ht="15.75" customHeight="1">
      <c r="A880" s="32"/>
      <c r="B880" s="32"/>
    </row>
    <row r="881" ht="15.75" customHeight="1">
      <c r="A881" s="32"/>
      <c r="B881" s="32"/>
    </row>
    <row r="882" ht="15.75" customHeight="1">
      <c r="A882" s="32"/>
      <c r="B882" s="32"/>
    </row>
    <row r="883" ht="15.75" customHeight="1">
      <c r="A883" s="32"/>
      <c r="B883" s="32"/>
    </row>
    <row r="884" ht="15.75" customHeight="1">
      <c r="A884" s="32"/>
      <c r="B884" s="32"/>
    </row>
    <row r="885" ht="15.75" customHeight="1">
      <c r="A885" s="32"/>
      <c r="B885" s="32"/>
    </row>
    <row r="886" ht="15.75" customHeight="1">
      <c r="A886" s="32"/>
      <c r="B886" s="32"/>
    </row>
    <row r="887" ht="15.75" customHeight="1">
      <c r="A887" s="32"/>
      <c r="B887" s="32"/>
    </row>
    <row r="888" ht="15.75" customHeight="1">
      <c r="A888" s="32"/>
      <c r="B888" s="32"/>
    </row>
    <row r="889" ht="15.75" customHeight="1">
      <c r="A889" s="32"/>
      <c r="B889" s="32"/>
    </row>
    <row r="890" ht="15.75" customHeight="1">
      <c r="A890" s="32"/>
      <c r="B890" s="32"/>
    </row>
    <row r="891" ht="15.75" customHeight="1">
      <c r="A891" s="32"/>
      <c r="B891" s="32"/>
    </row>
    <row r="892" ht="15.75" customHeight="1">
      <c r="A892" s="32"/>
      <c r="B892" s="32"/>
    </row>
    <row r="893" ht="15.75" customHeight="1">
      <c r="A893" s="32"/>
      <c r="B893" s="32"/>
    </row>
    <row r="894" ht="15.75" customHeight="1">
      <c r="A894" s="32"/>
      <c r="B894" s="32"/>
    </row>
    <row r="895" ht="15.75" customHeight="1">
      <c r="A895" s="32"/>
      <c r="B895" s="32"/>
    </row>
    <row r="896" ht="15.75" customHeight="1">
      <c r="A896" s="32"/>
      <c r="B896" s="32"/>
    </row>
    <row r="897" ht="15.75" customHeight="1">
      <c r="A897" s="32"/>
      <c r="B897" s="32"/>
    </row>
    <row r="898" ht="15.75" customHeight="1">
      <c r="A898" s="32"/>
      <c r="B898" s="32"/>
    </row>
    <row r="899" ht="15.75" customHeight="1">
      <c r="A899" s="32"/>
      <c r="B899" s="32"/>
    </row>
    <row r="900" ht="15.75" customHeight="1">
      <c r="A900" s="32"/>
      <c r="B900" s="32"/>
    </row>
    <row r="901" ht="15.75" customHeight="1">
      <c r="A901" s="32"/>
      <c r="B901" s="32"/>
    </row>
    <row r="902" ht="15.75" customHeight="1">
      <c r="A902" s="32"/>
      <c r="B902" s="32"/>
    </row>
    <row r="903" ht="15.75" customHeight="1">
      <c r="A903" s="32"/>
      <c r="B903" s="32"/>
    </row>
    <row r="904" ht="15.75" customHeight="1">
      <c r="A904" s="32"/>
      <c r="B904" s="32"/>
    </row>
    <row r="905" ht="15.75" customHeight="1">
      <c r="A905" s="32"/>
      <c r="B905" s="32"/>
    </row>
    <row r="906" ht="15.75" customHeight="1">
      <c r="A906" s="32"/>
      <c r="B906" s="32"/>
    </row>
    <row r="907" ht="15.75" customHeight="1">
      <c r="A907" s="32"/>
      <c r="B907" s="32"/>
    </row>
    <row r="908" ht="15.75" customHeight="1">
      <c r="A908" s="32"/>
      <c r="B908" s="32"/>
    </row>
    <row r="909" ht="15.75" customHeight="1">
      <c r="A909" s="32"/>
      <c r="B909" s="32"/>
    </row>
    <row r="910" ht="15.75" customHeight="1">
      <c r="A910" s="32"/>
      <c r="B910" s="32"/>
    </row>
    <row r="911" ht="15.75" customHeight="1">
      <c r="A911" s="32"/>
      <c r="B911" s="32"/>
    </row>
    <row r="912" ht="15.75" customHeight="1">
      <c r="A912" s="32"/>
      <c r="B912" s="32"/>
    </row>
    <row r="913" ht="15.75" customHeight="1">
      <c r="A913" s="32"/>
      <c r="B913" s="32"/>
    </row>
    <row r="914" ht="15.75" customHeight="1">
      <c r="A914" s="32"/>
      <c r="B914" s="32"/>
    </row>
    <row r="915" ht="15.75" customHeight="1">
      <c r="A915" s="32"/>
      <c r="B915" s="32"/>
    </row>
    <row r="916" ht="15.75" customHeight="1">
      <c r="A916" s="32"/>
      <c r="B916" s="32"/>
    </row>
    <row r="917" ht="15.75" customHeight="1">
      <c r="A917" s="32"/>
      <c r="B917" s="32"/>
    </row>
    <row r="918" ht="15.75" customHeight="1">
      <c r="A918" s="32"/>
      <c r="B918" s="32"/>
    </row>
    <row r="919" ht="15.75" customHeight="1">
      <c r="A919" s="32"/>
      <c r="B919" s="32"/>
    </row>
    <row r="920" ht="15.75" customHeight="1">
      <c r="A920" s="32"/>
      <c r="B920" s="32"/>
    </row>
    <row r="921" ht="15.75" customHeight="1">
      <c r="A921" s="32"/>
      <c r="B921" s="32"/>
    </row>
    <row r="922" ht="15.75" customHeight="1">
      <c r="A922" s="32"/>
      <c r="B922" s="32"/>
    </row>
    <row r="923" ht="15.75" customHeight="1">
      <c r="A923" s="32"/>
      <c r="B923" s="32"/>
    </row>
    <row r="924" ht="15.75" customHeight="1">
      <c r="A924" s="32"/>
      <c r="B924" s="32"/>
    </row>
    <row r="925" ht="15.75" customHeight="1">
      <c r="A925" s="32"/>
      <c r="B925" s="32"/>
    </row>
    <row r="926" ht="15.75" customHeight="1">
      <c r="A926" s="32"/>
      <c r="B926" s="32"/>
    </row>
    <row r="927" ht="15.75" customHeight="1">
      <c r="A927" s="32"/>
      <c r="B927" s="32"/>
    </row>
    <row r="928" ht="15.75" customHeight="1">
      <c r="A928" s="32"/>
      <c r="B928" s="32"/>
    </row>
    <row r="929" ht="15.75" customHeight="1">
      <c r="A929" s="32"/>
      <c r="B929" s="32"/>
    </row>
    <row r="930" ht="15.75" customHeight="1">
      <c r="A930" s="32"/>
      <c r="B930" s="32"/>
    </row>
    <row r="931" ht="15.75" customHeight="1">
      <c r="A931" s="32"/>
      <c r="B931" s="32"/>
    </row>
    <row r="932" ht="15.75" customHeight="1">
      <c r="A932" s="32"/>
      <c r="B932" s="32"/>
    </row>
    <row r="933" ht="15.75" customHeight="1">
      <c r="A933" s="32"/>
      <c r="B933" s="32"/>
    </row>
    <row r="934" ht="15.75" customHeight="1">
      <c r="A934" s="32"/>
      <c r="B934" s="32"/>
    </row>
    <row r="935" ht="15.75" customHeight="1">
      <c r="A935" s="32"/>
      <c r="B935" s="32"/>
    </row>
    <row r="936" ht="15.75" customHeight="1">
      <c r="A936" s="32"/>
      <c r="B936" s="32"/>
    </row>
    <row r="937" ht="15.75" customHeight="1">
      <c r="A937" s="32"/>
      <c r="B937" s="32"/>
    </row>
    <row r="938" ht="15.75" customHeight="1">
      <c r="A938" s="32"/>
      <c r="B938" s="32"/>
    </row>
    <row r="939" ht="15.75" customHeight="1">
      <c r="A939" s="32"/>
      <c r="B939" s="32"/>
    </row>
    <row r="940" ht="15.75" customHeight="1">
      <c r="A940" s="32"/>
      <c r="B940" s="32"/>
    </row>
    <row r="941" ht="15.75" customHeight="1">
      <c r="A941" s="32"/>
      <c r="B941" s="32"/>
    </row>
    <row r="942" ht="15.75" customHeight="1">
      <c r="A942" s="32"/>
      <c r="B942" s="32"/>
    </row>
    <row r="943" ht="15.75" customHeight="1">
      <c r="A943" s="32"/>
      <c r="B943" s="32"/>
    </row>
    <row r="944" ht="15.75" customHeight="1">
      <c r="A944" s="32"/>
      <c r="B944" s="32"/>
    </row>
    <row r="945" ht="15.75" customHeight="1">
      <c r="A945" s="32"/>
      <c r="B945" s="32"/>
    </row>
    <row r="946" ht="15.75" customHeight="1">
      <c r="A946" s="32"/>
      <c r="B946" s="32"/>
    </row>
    <row r="947" ht="15.75" customHeight="1">
      <c r="A947" s="32"/>
      <c r="B947" s="32"/>
    </row>
    <row r="948" ht="15.75" customHeight="1">
      <c r="A948" s="32"/>
      <c r="B948" s="32"/>
    </row>
    <row r="949" ht="15.75" customHeight="1">
      <c r="A949" s="32"/>
      <c r="B949" s="32"/>
    </row>
    <row r="950" ht="15.75" customHeight="1">
      <c r="A950" s="32"/>
      <c r="B950" s="32"/>
    </row>
    <row r="951" ht="15.75" customHeight="1">
      <c r="A951" s="32"/>
      <c r="B951" s="32"/>
    </row>
    <row r="952" ht="15.75" customHeight="1">
      <c r="A952" s="32"/>
      <c r="B952" s="32"/>
    </row>
    <row r="953" ht="15.75" customHeight="1">
      <c r="A953" s="32"/>
      <c r="B953" s="32"/>
    </row>
    <row r="954" ht="15.75" customHeight="1">
      <c r="A954" s="32"/>
      <c r="B954" s="32"/>
    </row>
    <row r="955" ht="15.75" customHeight="1">
      <c r="A955" s="32"/>
      <c r="B955" s="32"/>
    </row>
    <row r="956" ht="15.75" customHeight="1">
      <c r="A956" s="32"/>
      <c r="B956" s="32"/>
    </row>
    <row r="957" ht="15.75" customHeight="1">
      <c r="A957" s="32"/>
      <c r="B957" s="32"/>
    </row>
    <row r="958" ht="15.75" customHeight="1">
      <c r="A958" s="32"/>
      <c r="B958" s="32"/>
    </row>
    <row r="959" ht="15.75" customHeight="1">
      <c r="A959" s="32"/>
      <c r="B959" s="32"/>
    </row>
    <row r="960" ht="15.75" customHeight="1">
      <c r="A960" s="32"/>
      <c r="B960" s="32"/>
    </row>
    <row r="961" ht="15.75" customHeight="1">
      <c r="A961" s="32"/>
      <c r="B961" s="32"/>
    </row>
    <row r="962" ht="15.75" customHeight="1">
      <c r="A962" s="32"/>
      <c r="B962" s="32"/>
    </row>
    <row r="963" ht="15.75" customHeight="1">
      <c r="A963" s="32"/>
      <c r="B963" s="32"/>
    </row>
    <row r="964" ht="15.75" customHeight="1">
      <c r="A964" s="32"/>
      <c r="B964" s="32"/>
    </row>
    <row r="965" ht="15.75" customHeight="1">
      <c r="A965" s="32"/>
      <c r="B965" s="32"/>
    </row>
    <row r="966" ht="15.75" customHeight="1">
      <c r="A966" s="32"/>
      <c r="B966" s="32"/>
    </row>
    <row r="967" ht="15.75" customHeight="1">
      <c r="A967" s="32"/>
      <c r="B967" s="32"/>
    </row>
    <row r="968" ht="15.75" customHeight="1">
      <c r="A968" s="32"/>
      <c r="B968" s="32"/>
    </row>
    <row r="969" ht="15.75" customHeight="1">
      <c r="A969" s="32"/>
      <c r="B969" s="32"/>
    </row>
    <row r="970" ht="15.75" customHeight="1">
      <c r="A970" s="32"/>
      <c r="B970" s="32"/>
    </row>
    <row r="971" ht="15.75" customHeight="1">
      <c r="A971" s="32"/>
      <c r="B971" s="32"/>
    </row>
    <row r="972" ht="15.75" customHeight="1">
      <c r="A972" s="32"/>
      <c r="B972" s="32"/>
    </row>
    <row r="973" ht="15.75" customHeight="1">
      <c r="A973" s="32"/>
      <c r="B973" s="32"/>
    </row>
    <row r="974" ht="15.75" customHeight="1">
      <c r="A974" s="32"/>
      <c r="B974" s="32"/>
    </row>
    <row r="975" ht="15.75" customHeight="1">
      <c r="A975" s="32"/>
      <c r="B975" s="32"/>
    </row>
    <row r="976" ht="15.75" customHeight="1">
      <c r="A976" s="32"/>
      <c r="B976" s="32"/>
    </row>
    <row r="977" ht="15.75" customHeight="1">
      <c r="A977" s="32"/>
      <c r="B977" s="32"/>
    </row>
    <row r="978" ht="15.75" customHeight="1">
      <c r="A978" s="32"/>
      <c r="B978" s="32"/>
    </row>
    <row r="979" ht="15.75" customHeight="1">
      <c r="A979" s="32"/>
      <c r="B979" s="32"/>
    </row>
    <row r="980" ht="15.75" customHeight="1">
      <c r="A980" s="32"/>
      <c r="B980" s="32"/>
    </row>
    <row r="981" ht="15.75" customHeight="1">
      <c r="A981" s="32"/>
      <c r="B981" s="32"/>
    </row>
    <row r="982" ht="15.75" customHeight="1">
      <c r="A982" s="32"/>
      <c r="B982" s="32"/>
    </row>
    <row r="983" ht="15.75" customHeight="1">
      <c r="A983" s="32"/>
      <c r="B983" s="32"/>
    </row>
    <row r="984" ht="15.75" customHeight="1">
      <c r="A984" s="32"/>
      <c r="B984" s="32"/>
    </row>
    <row r="985" ht="15.75" customHeight="1">
      <c r="A985" s="32"/>
      <c r="B985" s="32"/>
    </row>
    <row r="986" ht="15.75" customHeight="1">
      <c r="A986" s="32"/>
      <c r="B986" s="32"/>
    </row>
    <row r="987" ht="15.75" customHeight="1">
      <c r="A987" s="32"/>
      <c r="B987" s="32"/>
    </row>
    <row r="988" ht="15.75" customHeight="1">
      <c r="A988" s="32"/>
      <c r="B988" s="32"/>
    </row>
    <row r="989" ht="15.75" customHeight="1">
      <c r="A989" s="32"/>
      <c r="B989" s="32"/>
    </row>
    <row r="990" ht="15.75" customHeight="1">
      <c r="A990" s="32"/>
      <c r="B990" s="32"/>
    </row>
    <row r="991" ht="15.75" customHeight="1">
      <c r="A991" s="32"/>
      <c r="B991" s="32"/>
    </row>
    <row r="992" ht="15.75" customHeight="1">
      <c r="A992" s="32"/>
      <c r="B992" s="32"/>
    </row>
    <row r="993" ht="15.75" customHeight="1">
      <c r="A993" s="32"/>
      <c r="B993" s="32"/>
    </row>
    <row r="994" ht="15.75" customHeight="1">
      <c r="A994" s="32"/>
      <c r="B994" s="32"/>
    </row>
    <row r="995" ht="15.75" customHeight="1">
      <c r="A995" s="32"/>
      <c r="B995" s="32"/>
    </row>
    <row r="996" ht="15.75" customHeight="1">
      <c r="A996" s="32"/>
      <c r="B996" s="32"/>
    </row>
    <row r="997" ht="15.75" customHeight="1">
      <c r="A997" s="32"/>
      <c r="B997" s="32"/>
    </row>
    <row r="998" ht="15.75" customHeight="1">
      <c r="A998" s="32"/>
      <c r="B998" s="32"/>
    </row>
    <row r="999" ht="15.75" customHeight="1">
      <c r="A999" s="32"/>
      <c r="B999" s="32"/>
    </row>
    <row r="1000" ht="15.75" customHeight="1">
      <c r="A1000" s="32"/>
      <c r="B1000" s="32"/>
    </row>
  </sheetData>
  <printOptions/>
  <pageMargins bottom="1.0" footer="0.0" header="0.0" left="0.75" right="0.75" top="1.0"/>
  <pageSetup orientation="landscape"/>
  <drawing r:id="rId1"/>
</worksheet>
</file>